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7.xml.rels" ContentType="application/vnd.openxmlformats-package.relationships+xml"/>
  <Override PartName="/xl/worksheets/_rels/sheet32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33.xml.rels" ContentType="application/vnd.openxmlformats-package.relationships+xml"/>
  <Override PartName="/xl/worksheets/_rels/sheet10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9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28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ecks" sheetId="2" state="visible" r:id="rId4"/>
    <sheet name="AI_Insights" sheetId="3" state="visible" r:id="rId5"/>
    <sheet name="Enterprises" sheetId="4" state="visible" r:id="rId6"/>
    <sheet name="Land" sheetId="5" state="visible" r:id="rId7"/>
    <sheet name="IS_Monthly" sheetId="6" state="visible" r:id="rId8"/>
    <sheet name="IS_Annual_Enterprise" sheetId="7" state="visible" r:id="rId9"/>
    <sheet name="IS_Detail" sheetId="8" state="visible" r:id="rId10"/>
    <sheet name="BS_Monthly" sheetId="9" state="visible" r:id="rId11"/>
    <sheet name="CF_Monthly" sheetId="10" state="visible" r:id="rId12"/>
    <sheet name="Ratios" sheetId="11" state="visible" r:id="rId13"/>
    <sheet name="Budget_vs_Actual" sheetId="12" state="visible" r:id="rId14"/>
    <sheet name="Budget_Monthly" sheetId="13" state="visible" r:id="rId15"/>
    <sheet name="Forecast_12M" sheetId="14" state="visible" r:id="rId16"/>
    <sheet name="Forecast_Assumptions" sheetId="15" state="visible" r:id="rId17"/>
    <sheet name="Cash_13_Week" sheetId="16" state="visible" r:id="rId18"/>
    <sheet name="Cash_13_Week_Items" sheetId="17" state="visible" r:id="rId19"/>
    <sheet name="Scenario_Levers" sheetId="18" state="visible" r:id="rId20"/>
    <sheet name="Unit_Econ_Crops" sheetId="19" state="visible" r:id="rId21"/>
    <sheet name="Transactions" sheetId="20" state="visible" r:id="rId22"/>
    <sheet name="AR_Invoices" sheetId="21" state="visible" r:id="rId23"/>
    <sheet name="AP_Bills" sheetId="22" state="visible" r:id="rId24"/>
    <sheet name="Crop_Seasons" sheetId="23" state="visible" r:id="rId25"/>
    <sheet name="Production_Log" sheetId="24" state="visible" r:id="rId26"/>
    <sheet name="Inventory" sheetId="25" state="visible" r:id="rId27"/>
    <sheet name="Assets" sheetId="26" state="visible" r:id="rId28"/>
    <sheet name="Depreciation" sheetId="27" state="visible" r:id="rId29"/>
    <sheet name="Loans" sheetId="28" state="visible" r:id="rId30"/>
    <sheet name="Loan_Schedule" sheetId="29" state="visible" r:id="rId31"/>
    <sheet name="Operating_Line" sheetId="30" state="visible" r:id="rId32"/>
    <sheet name="Labor_Hours" sheetId="31" state="visible" r:id="rId33"/>
    <sheet name="Customers" sheetId="32" state="visible" r:id="rId34"/>
    <sheet name="Vendors" sheetId="33" state="visible" r:id="rId35"/>
    <sheet name="Chart_of_Accounts" sheetId="34" state="visible" r:id="rId36"/>
  </sheets>
  <definedNames>
    <definedName function="false" hidden="true" localSheetId="2" name="_xlnm._FilterDatabase" vbProcedure="false">AI_Insights!$A$2:$H$12</definedName>
    <definedName function="false" hidden="true" localSheetId="21" name="_xlnm._FilterDatabase" vbProcedure="false">AP_Bills!$A$1:$Q$202</definedName>
    <definedName function="false" hidden="true" localSheetId="20" name="_xlnm._FilterDatabase" vbProcedure="false">AR_Invoices!$A$1:$O$108</definedName>
    <definedName function="false" hidden="true" localSheetId="25" name="_xlnm._FilterDatabase" vbProcedure="false">Assets!$A$1:$AB$20</definedName>
    <definedName function="false" hidden="true" localSheetId="12" name="_xlnm._FilterDatabase" vbProcedure="false">Budget_Monthly!$A$1:$H$49</definedName>
    <definedName function="false" hidden="true" localSheetId="11" name="_xlnm._FilterDatabase" vbProcedure="false">Budget_vs_Actual!$A$1:$R$36</definedName>
    <definedName function="false" hidden="true" localSheetId="15" name="_xlnm._FilterDatabase" vbProcedure="false">Cash_13_Week!$A$2:$AK$15</definedName>
    <definedName function="false" hidden="true" localSheetId="16" name="_xlnm._FilterDatabase" vbProcedure="false">Cash_13_Week_Items!$A$1:$K$92</definedName>
    <definedName function="false" hidden="true" localSheetId="9" name="_xlnm._FilterDatabase" vbProcedure="false">CF_Monthly!$A$2:$AK$47</definedName>
    <definedName function="false" hidden="true" localSheetId="33" name="_xlnm._FilterDatabase" vbProcedure="false">Chart_of_Accounts!$A$1:$F$87</definedName>
    <definedName function="false" hidden="true" localSheetId="22" name="_xlnm._FilterDatabase" vbProcedure="false">Crop_Seasons!$A$1:$U$18</definedName>
    <definedName function="false" hidden="true" localSheetId="31" name="_xlnm._FilterDatabase" vbProcedure="false">Customers!$A$1:$G$14</definedName>
    <definedName function="false" hidden="true" localSheetId="26" name="_xlnm._FilterDatabase" vbProcedure="false">Depreciation!$A$1:$E$150</definedName>
    <definedName function="false" hidden="true" localSheetId="3" name="_xlnm._FilterDatabase" vbProcedure="false">Enterprises!$A$1:$F$7</definedName>
    <definedName function="false" hidden="true" localSheetId="13" name="_xlnm._FilterDatabase" vbProcedure="false">Forecast_12M!$A$2:$AQ$38</definedName>
    <definedName function="false" hidden="true" localSheetId="14" name="_xlnm._FilterDatabase" vbProcedure="false">Forecast_Assumptions!$A$1:$E$15</definedName>
    <definedName function="false" hidden="true" localSheetId="24" name="_xlnm._FilterDatabase" vbProcedure="false">Inventory!$A$1:$P$162</definedName>
    <definedName function="false" hidden="true" localSheetId="6" name="_xlnm._FilterDatabase" vbProcedure="false">IS_Annual_Enterprise!$A$2:$Q$30</definedName>
    <definedName function="false" hidden="true" localSheetId="7" name="_xlnm._FilterDatabase" vbProcedure="false">IS_Detail!$A$1:$I$969</definedName>
    <definedName function="false" hidden="true" localSheetId="30" name="_xlnm._FilterDatabase" vbProcedure="false">Labor_Hours!$A$1:$I$143</definedName>
    <definedName function="false" hidden="true" localSheetId="4" name="_xlnm._FilterDatabase" vbProcedure="false">Land!$A$1:$G$6</definedName>
    <definedName function="false" hidden="true" localSheetId="28" name="_xlnm._FilterDatabase" vbProcedure="false">Loan_Schedule!$A$1:$I$142</definedName>
    <definedName function="false" hidden="true" localSheetId="27" name="_xlnm._FilterDatabase" vbProcedure="false">Loans!$A$1:$X$7</definedName>
    <definedName function="false" hidden="true" localSheetId="29" name="_xlnm._FilterDatabase" vbProcedure="false">Operating_Line!$A$1:$H$46</definedName>
    <definedName function="false" hidden="true" localSheetId="23" name="_xlnm._FilterDatabase" vbProcedure="false">Production_Log!$A$1:$I$92</definedName>
    <definedName function="false" hidden="true" localSheetId="10" name="_xlnm._FilterDatabase" vbProcedure="false">Ratios!$A$1:$AK$6</definedName>
    <definedName function="false" hidden="true" localSheetId="17" name="_xlnm._FilterDatabase" vbProcedure="false">Scenario_Levers!$A$1:$I$6</definedName>
    <definedName function="false" hidden="true" localSheetId="19" name="_xlnm._FilterDatabase" vbProcedure="false">Transactions!$A$1:$Z$1092</definedName>
    <definedName function="false" hidden="true" localSheetId="18" name="_xlnm._FilterDatabase" vbProcedure="false">Unit_Econ_Crops!$A$1:$AD$18</definedName>
    <definedName function="false" hidden="true" localSheetId="32" name="_xlnm._FilterDatabase" vbProcedure="false">Vendors!$A$1:$G$23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<sst xmlns="http://schemas.openxmlformats.org/spreadsheetml/2006/main" count="27584" uniqueCount="3227">
  <si>
    <t xml:space="preserve">Whitfield Farms LLC</t>
  </si>
  <si>
    <t xml:space="preserve">AcreFlow test account SAM - Profitable with periodic cash-flow squeeze</t>
  </si>
  <si>
    <t xml:space="preserve">Fictional business. All names, customers, vendors and lenders are invented; market prices approximate public 2023-2026 data.</t>
  </si>
  <si>
    <t xml:space="preserve">Owner: Sam Whitfield ("Farmer Sam"); spouse Megan Whitfield</t>
  </si>
  <si>
    <t xml:space="preserve">Location: McPherson County (near Canton), Kansas + Carson County (near Panhandle), Texas</t>
  </si>
  <si>
    <t xml:space="preserve">Years Operating: 18</t>
  </si>
  <si>
    <t xml:space="preserve">Total Acres: 400</t>
  </si>
  <si>
    <t xml:space="preserve">Business Structure: Multi-member LLC taxed as partnership (Sam &amp; Megan)</t>
  </si>
  <si>
    <t xml:space="preserve">Primary Activities: KS corn/soybean/wheat rotation (125 ac pivot-irrigated, 160 ac dryland); TX dryland cotton (96 planted ac, fully custom-farmed); custom combining &amp; grain hauling for neighbors</t>
  </si>
  <si>
    <t xml:space="preserve">Employees Full Time: 0</t>
  </si>
  <si>
    <t xml:space="preserve">Employees Seasonal: 1 seasonal hand/CDL truck driver (May-Nov)</t>
  </si>
  <si>
    <t xml:space="preserve">Family Labor: Sam full-time (operates combine on custom jobs); Megan runs grain cart at harvest and keeps books (unpaid)</t>
  </si>
  <si>
    <t xml:space="preserve">Contractor Usage: All TX cotton field operations, stripping, ginning contracted; KS fertilizer custom-applied by co-op</t>
  </si>
  <si>
    <t xml:space="preserve">Accounting Method: Cash-basis tax; AcreFlow accrual-adjusted incl. growing crops at cost and stored grain at market</t>
  </si>
  <si>
    <t xml:space="preserve">Major Revenue Streams: Corn, soybeans, wheat; cotton lint via marketing pool + cottonseed; custom combining &amp; hauling; crop insurance &amp; USDA programs</t>
  </si>
  <si>
    <t xml:space="preserve">Major Financial Goals: Clean up the operating line each year; decide on combine replacement (~3,900 sep hrs); make TX cotton pay without ad-hoc government aid</t>
  </si>
  <si>
    <t xml:space="preserve">Primary Financial Challenge: Heavy equipment debt service + inputs before harvest; cotton pool and custom clients pay slowly; line hits its $250k limit each summer</t>
  </si>
  <si>
    <t xml:space="preserve">Data period: actuals 1/1/2023 - 9/30/2026; forecasts 10/1/2026 - 9/30/2027 (base / optimistic / downside).</t>
  </si>
  <si>
    <t xml:space="preserve">Statement tabs (IS_Monthly, BS_Monthly) compute subtotals with live formulas; Checks ties statements back to the ledger.</t>
  </si>
  <si>
    <t xml:space="preserve">Data tabs are values, ready to import; the same tables (all four businesses) are in the CSV package with a data dictionary.</t>
  </si>
  <si>
    <t xml:space="preserve">Data generation plan (this account)</t>
  </si>
  <si>
    <t xml:space="preserve">Business profile: Whitfield Farms LLC (Sam &amp; Megan Whitfield), partnership-taxed LLC; 300 owned acres in McPherson Co., KS (home, bins, shop) + 100 inherited acres of dryland cotton in Carson Co., TX.</t>
  </si>
  <si>
    <t xml:space="preserve">Revenue streams: corn, soybeans and HRW wheat (sold at harvest or from 25,000 bu of on-farm bins); cotton lint through a co-op marketing pool (55% advance in Jan, progress payments Apr/Jul, final Oct) + cottonseed; custom combining ($/ac) and grain hauling ($/bu) for 8 neighbors; crop insurance indemnities; USDA ARC/PLC, ECAP (2025), SDRP (2025), Farmer Bridge Assistance (2026).</t>
  </si>
  <si>
    <t xml:space="preserve">Enterprises: COT (Texas cotton, all field work contracted), CORN, SOY, WHT (Kansas), CUS (custom harvesting &amp; hauling), OVH.</t>
  </si>
  <si>
    <t xml:space="preserve">Acreage: KS-P1 125 ac pivot (corn/soy), KS-D1 &amp; KS-D2 80 ac dryland each (wheat/soy/corn rotation), 15 ac HQ; TX-C1 96 planted + 4 turnrow acres.</t>
  </si>
  <si>
    <t xml:space="preserve">Crops: every season has planting date, expected (APH) vs actual yield, marketing plan and sales; 2023 drought (wheat 31 bu, dryland corn 74 bu, cotton 276 lb + indemnities); 2026 Kansas wheat freeze/drought (36 bu).</t>
  </si>
  <si>
    <t xml:space="preserve">Equipment: 2019 JD S770 combine (bought 2022, ~88% custom hours) + corn &amp; draper heads; JD 8R 280 (Mar-2025, traded 7830); Kinze 16-row planter; drill; sprayer; grain cart; Peterbilt semi + hopper (Aug-2024; old tandem truck sold); pivot, bins/dryer, shop; F-350.</t>
  </si>
  <si>
    <t xml:space="preserve">Labor: Sam (operates combine), Megan (grain cart, books), 1 seasonal hand/CDL driver May-Nov; TX contractors for shredding, bedding, planting, spraying, stripping; gin.</t>
  </si>
  <si>
    <t xml:space="preserve">Debt: KS land loan ($420k 2019, 4.35%, annual), combine/head note ($262k, 7 annual), tractor note ($165k 2025, 6 annual), semi note (48 monthly), pickup note (paid off May-2026), $250k operating line at prime + 1%.</t>
  </si>
  <si>
    <t xml:space="preserve">Revenue: ~$375-445k/yr. Profitability: net farm income $15k (2023 drought), $76k (2024), $102k (2025); base forecast +$72k for Oct-26 to Sep-27.</t>
  </si>
  <si>
    <t xml:space="preserve">Primary challenge: seasonal cash. Inputs are prepaid in Dec, combine and tractor payments fall in Jan and Mar, cotton pool cash arrives 2-10 months after harvest, and custom clients pay in 30-120 days. The line hits its limit each summer and year-end balances are rising.</t>
  </si>
  <si>
    <t xml:space="preserve">Seasonality: Dec prepay; Mar-May inputs/planting; Jun-Jul wheat harvest + custom wheat run; Sep-Nov fall harvest + custom corn/soy; Nov-Dec cotton stripping &amp; ginning; Jan-Oct pool payments.</t>
  </si>
  <si>
    <t xml:space="preserve">Integrity checks - live formulas tying statements to the ledger and sub-ledgers (all differences should be 0)</t>
  </si>
  <si>
    <t xml:space="preserve">Check</t>
  </si>
  <si>
    <t xml:space="preserve">Year</t>
  </si>
  <si>
    <t xml:space="preserve">Ledger value (formula)</t>
  </si>
  <si>
    <t xml:space="preserve">Statement value</t>
  </si>
  <si>
    <t xml:space="preserve">Difference</t>
  </si>
  <si>
    <t xml:space="preserve">Revenue: ledger (section REV) vs IS_Annual TOTAL</t>
  </si>
  <si>
    <t xml:space="preserve">Cost of production: ledger (section COP) vs IS_Annual TOTAL</t>
  </si>
  <si>
    <t xml:space="preserve">Interest: ledger (section INT) vs IS_Annual TOTAL</t>
  </si>
  <si>
    <t xml:space="preserve">Balance sheet: max |assets - liabilities - equity| across all month-ends</t>
  </si>
  <si>
    <t xml:space="preserve">Cash: BS_Monthly cash at 9/30/2026 vs CF_Monthly ending cash</t>
  </si>
  <si>
    <t xml:space="preserve">Cash: opening cash + SUM(ledger cash_effect) vs BS cash at 9/30/2026</t>
  </si>
  <si>
    <t xml:space="preserve">Accounts receivable: open AR invoices vs BS AR at 9/30/2026 (BS also includes small non-invoiced items)</t>
  </si>
  <si>
    <t xml:space="preserve">Debt: Loans principal at 9/30/2026 (term + line) vs BS term debt + operating line</t>
  </si>
  <si>
    <t xml:space="preserve">All checks pass</t>
  </si>
  <si>
    <t xml:space="preserve">AcreFlow financial-intelligence output for this account. Every figure is computed from the tables in this workbook.</t>
  </si>
  <si>
    <t xml:space="preserve">insight_id</t>
  </si>
  <si>
    <t xml:space="preserve">severity</t>
  </si>
  <si>
    <t xml:space="preserve">category</t>
  </si>
  <si>
    <t xml:space="preserve">title</t>
  </si>
  <si>
    <t xml:space="preserve">finding</t>
  </si>
  <si>
    <t xml:space="preserve">recommendation</t>
  </si>
  <si>
    <t xml:space="preserve">key_metrics</t>
  </si>
  <si>
    <t xml:space="preserve">source_tables</t>
  </si>
  <si>
    <t xml:space="preserve">INS-SAM-01</t>
  </si>
  <si>
    <t xml:space="preserve">Positive</t>
  </si>
  <si>
    <t xml:space="preserve">Enterprise profitability</t>
  </si>
  <si>
    <t xml:space="preserve">Custom harvesting carries the whole business</t>
  </si>
  <si>
    <t xml:space="preserve">Custom combining &amp; hauling earned $126,969 in 2025 (after its 85% share of combine depreciation, combine-loan interest, labor and repairs) on $265,688 of revenue - 60% of farm revenue. Total farm operating income was $42,941; without custom work the farm would have lost money in every year 2023-2025.</t>
  </si>
  <si>
    <t xml:space="preserve">Protect this enterprise: lock in 2027 client acres early, keep the combine reliable, and price fall corn at the KSU survey's upper range ($49-50/ac).</t>
  </si>
  <si>
    <t xml:space="preserve">{"custom_ni_2025": 126968.72, "custom_rev_share_2025": 0.599}</t>
  </si>
  <si>
    <t xml:space="preserve">income_statement_annual_by_enterprise</t>
  </si>
  <si>
    <t xml:space="preserve">INS-SAM-02</t>
  </si>
  <si>
    <t xml:space="preserve">Warning</t>
  </si>
  <si>
    <t xml:space="preserve">Unprofitable crop</t>
  </si>
  <si>
    <t xml:space="preserve">Texas cotton has lost money every year, even with emergency aid</t>
  </si>
  <si>
    <t xml:space="preserve">Cotton profit per acre (including insurance and government payments, but no land charge): 2023 -$133, 2024 -$96, 2025 -$85; 2026 projects -$47. Break-even pool price ran $0.99-$1.39/lb against pool prices of $0.62-0.73. Custom costs alone ($210+/ac including stripping) consume most of the revenue.</t>
  </si>
  <si>
    <t xml:space="preserve">Compare against cash-renting the 100 ac (~$35-45/ac dryland Panhandle) or a crop-share lease; at the 2026 base price ($0.82) cotton only approaches break-even.</t>
  </si>
  <si>
    <t xml:space="preserve">{"cotton_profit_per_acre_2023": -133.39, "cotton_profit_per_acre_2024": -96.28, "cotton_profit_per_acre_2025": -85.34, "cotton_profit_per_acre_2026": -46.84}</t>
  </si>
  <si>
    <t xml:space="preserve">unit_economics_crops</t>
  </si>
  <si>
    <t xml:space="preserve">INS-SAM-03</t>
  </si>
  <si>
    <t xml:space="preserve">Critical</t>
  </si>
  <si>
    <t xml:space="preserve">Upcoming cash shortage</t>
  </si>
  <si>
    <t xml:space="preserve">Profitable on paper, but the line can't carry next summer</t>
  </si>
  <si>
    <t xml:space="preserve">Year-end operating-line balances have ratcheted up: $92,000 (2023), $124,000 (2024), $175,000 (2025). The line reached its $250,000 limit in Aug-2026. The base-case 12-month forecast earns $72,263 of net farm income but still shows a cash shortfall of $44,510 in Jul-2027 with the line maxed - driven by Jan combine + Mar tractor payments, Dec prepaid inputs and slow cotton-pool cash.</t>
  </si>
  <si>
    <t xml:space="preserve">Before Jan-2027: term out ~$100k of the line over 5 years, renegotiate combine payment timing to Sep (after wheat custom season), and stop prepaying 2027 inputs in December.</t>
  </si>
  <si>
    <t xml:space="preserve">{"line_ye_2023": 92000.0, "line_ye_2025": 175000.0, "forecast_min_cash": -44509.53}</t>
  </si>
  <si>
    <t xml:space="preserve">operating_line_monthly; forecast_12_month; cash_forecast_13_week</t>
  </si>
  <si>
    <t xml:space="preserve">INS-SAM-04</t>
  </si>
  <si>
    <t xml:space="preserve">Liquidity &amp; repayment capacity</t>
  </si>
  <si>
    <t xml:space="preserve">Working capital is eroding as the line funds term payments</t>
  </si>
  <si>
    <t xml:space="preserve">Year-end working capital went -$11,631, -$34,490, -$67,673 (2023-2025). Term debt coverage was FY2023 0.59, FY2024 1.19, FY2025 1.39, TTM Sep-2026 0.85 - below the 1.25 most lenders want in 2023 and TTM.</t>
  </si>
  <si>
    <t xml:space="preserve">Treat the TDCR as the binding constraint: no new term debt until it holds above 1.25; ask the lender to re-amortize the remaining combine and tractor balances together over 6 years.</t>
  </si>
  <si>
    <t xml:space="preserve">{"wc_FY2023": -11630.71, "wc_FY2024": -34489.54, "wc_FY2025": -67672.96, "tdcr_FY2023": 0.5947, "tdcr_FY2024": 1.1903, "tdcr_FY2025": 1.3923, "tdcr_TTM Sep-2026": 0.847}</t>
  </si>
  <si>
    <t xml:space="preserve">financial_ratios</t>
  </si>
  <si>
    <t xml:space="preserve">INS-SAM-05</t>
  </si>
  <si>
    <t xml:space="preserve">Watch</t>
  </si>
  <si>
    <t xml:space="preserve">Equipment</t>
  </si>
  <si>
    <t xml:space="preserve">The combine is wearing out quickly</t>
  </si>
  <si>
    <t xml:space="preserve">The 2019 S770 logged about 469 separator hours in 2025 (~88% custom work) and has roughly 3,810 total hours. Combine repairs &amp; pre-season service ran 2023 $20,101, 2024 $25,381, 2025 $38,495, 2026 $25,330 (2026 YTD), including the Aug-2025 rotor-gearbox/feeder-house failure ($18,420). The combine note ($45,115/yr) runs to Jan-2029.</t>
  </si>
  <si>
    <t xml:space="preserve">Run the repair-vs-replace model now: trading to a lower-hour S780 (~$520k) only pays if 2027+ custom acres hold above ~4,000. Otherwise budget ~$25k/yr in repairs and a backup-combine arrangement.</t>
  </si>
  <si>
    <t xml:space="preserve">{"combine_repairs": {"2023": 20101.0, "2024": 25380.56, "2025": 38495.04, "2026": 25330.4}, "separator_hours_2025": 469}</t>
  </si>
  <si>
    <t xml:space="preserve">assets; production_records; transactions</t>
  </si>
  <si>
    <t xml:space="preserve">INS-SAM-06</t>
  </si>
  <si>
    <t xml:space="preserve">Receivables</t>
  </si>
  <si>
    <t xml:space="preserve">One custom client owes for last fall's corn harvest</t>
  </si>
  <si>
    <t xml:space="preserve">Rudd Brothers Partnership owes $12,843 for Nov-2025 corn harvesting, now 354 days outstanding (324 past due; the acre count is disputed). Ostrander Farms pays in 91 days on average against net-30 terms.</t>
  </si>
  <si>
    <t xml:space="preserve">Require a 25% deposit or same-week payment from Rudd before fall-2026 work; reserve or write off the balance; add a 1.5%/month late fee to custom invoices.</t>
  </si>
  <si>
    <t xml:space="preserve">{"rudd_balance": 12843.25, "ostrander_avg_days": 91}</t>
  </si>
  <si>
    <t xml:space="preserve">ar_invoices</t>
  </si>
  <si>
    <t xml:space="preserve">INS-SAM-07</t>
  </si>
  <si>
    <t xml:space="preserve">Customer concentration</t>
  </si>
  <si>
    <t xml:space="preserve">26% of custom revenue comes from one client</t>
  </si>
  <si>
    <t xml:space="preserve">Heartland Land &amp; Cattle (CUS-SAM-101) provided $69,145 of $265,688 custom revenue in 2025 (26%).</t>
  </si>
  <si>
    <t xml:space="preserve">Sign a multi-year custom agreement with Heartland and add 1-2 smaller clients to diversify.</t>
  </si>
  <si>
    <t xml:space="preserve">{"top_client_share": 0.26}</t>
  </si>
  <si>
    <t xml:space="preserve">transactions; customers</t>
  </si>
  <si>
    <t xml:space="preserve">INS-SAM-08</t>
  </si>
  <si>
    <t xml:space="preserve">Commodity price risk</t>
  </si>
  <si>
    <t xml:space="preserve">Storing corn has cut both ways</t>
  </si>
  <si>
    <t xml:space="preserve">Holding 60% of the 2023 pivot corn crop past harvest ($4.65) and selling it in Mar-May 2024 ($4.25-4.30) cost about $5,744 versus harvest-time sale. In 2025 the same strategy gained (harvest $3.85, stored sales $4.20-4.30, average $4.12). Unpriced grain in the bin is a speculative position funded by the operating line.</t>
  </si>
  <si>
    <t xml:space="preserve">Store only with a positive carry captured by a forward or HTA contract (as done with the 4,000 bu soybean contract @ $10.45 for Nov-2026).</t>
  </si>
  <si>
    <t xml:space="preserve">{"corn23_avg_price": 4.41, "corn25_avg_price": 4.12}</t>
  </si>
  <si>
    <t xml:space="preserve">crop_seasons; transactions</t>
  </si>
  <si>
    <t xml:space="preserve">INS-SAM-09</t>
  </si>
  <si>
    <t xml:space="preserve">Input-cost sensitivity</t>
  </si>
  <si>
    <t xml:space="preserve">A 20% fertilizer increase would take 6% of 2025 profit</t>
  </si>
  <si>
    <t xml:space="preserve">Fertilizer spend was $28,491 in 2025; +20% (anhydrous was already +34% year over year in July 2026) costs $5,698, or 6% of 2025 net farm income ($101,633).</t>
  </si>
  <si>
    <t xml:space="preserve">Book fall-2026 anhydrous needs on the dip and use variable-rate N on the dryland corn ground.</t>
  </si>
  <si>
    <t xml:space="preserve">{"fertilizer_2025": 28491.2, "impact_plus_20pct": 5698.240000000001}</t>
  </si>
  <si>
    <t xml:space="preserve">transactions (5020); scenario_levers</t>
  </si>
  <si>
    <t xml:space="preserve">INS-SAM-10</t>
  </si>
  <si>
    <t xml:space="preserve">Government dependence</t>
  </si>
  <si>
    <t xml:space="preserve">Ad-hoc federal aid supplied a large share of recent profit</t>
  </si>
  <si>
    <t xml:space="preserve">Government program payments were $1,388 (2024), $25,850 (2025) and $22,429 (2026 YTD, mostly the Farmer Bridge Assistance payment). 2025's $25,850 equals 25% of that year's net farm income.</t>
  </si>
  <si>
    <t xml:space="preserve">Build budgets without ad-hoc programs (ECAP/FBA/SDRP); count only enrolled ARC/PLC with OBBBA reference prices.</t>
  </si>
  <si>
    <t xml:space="preserve">{"2024": 1388.0, "2025": 25850.04, "2026": 22429.0}</t>
  </si>
  <si>
    <t xml:space="preserve">transactions (4210)</t>
  </si>
  <si>
    <t xml:space="preserve">enterprise_id</t>
  </si>
  <si>
    <t xml:space="preserve">business_id</t>
  </si>
  <si>
    <t xml:space="preserve">enterprise_name</t>
  </si>
  <si>
    <t xml:space="preserve">enterprise_type</t>
  </si>
  <si>
    <t xml:space="preserve">parent_enterprise_id</t>
  </si>
  <si>
    <t xml:space="preserve">notes</t>
  </si>
  <si>
    <t xml:space="preserve">ENT-SAM-COT</t>
  </si>
  <si>
    <t xml:space="preserve">BIZ-SAM</t>
  </si>
  <si>
    <t xml:space="preserve">Texas dryland cotton (Carson Co.)</t>
  </si>
  <si>
    <t xml:space="preserve">Crop</t>
  </si>
  <si>
    <t xml:space="preserve">96 planted ac, all field work contracted</t>
  </si>
  <si>
    <t xml:space="preserve">ENT-SAM-CORN</t>
  </si>
  <si>
    <t xml:space="preserve">Kansas corn</t>
  </si>
  <si>
    <t xml:space="preserve">Pivot-irrigated and dryland</t>
  </si>
  <si>
    <t xml:space="preserve">ENT-SAM-SOY</t>
  </si>
  <si>
    <t xml:space="preserve">Kansas soybeans</t>
  </si>
  <si>
    <t xml:space="preserve">ENT-SAM-WHT</t>
  </si>
  <si>
    <t xml:space="preserve">Kansas hard red winter wheat</t>
  </si>
  <si>
    <t xml:space="preserve">Dryland</t>
  </si>
  <si>
    <t xml:space="preserve">ENT-SAM-CUS</t>
  </si>
  <si>
    <t xml:space="preserve">Custom harvesting &amp; grain hauling</t>
  </si>
  <si>
    <t xml:space="preserve">Service</t>
  </si>
  <si>
    <t xml:space="preserve">~3,800-4,800 ac/yr for 8 neighbors</t>
  </si>
  <si>
    <t xml:space="preserve">ENT-SAM-OVH</t>
  </si>
  <si>
    <t xml:space="preserve">Kansas farm overhead &amp; financing</t>
  </si>
  <si>
    <t xml:space="preserve">Overhead</t>
  </si>
  <si>
    <t xml:space="preserve">Shop, land loan, operating line, insurance</t>
  </si>
  <si>
    <t xml:space="preserve">parcel_id</t>
  </si>
  <si>
    <t xml:space="preserve">parcel_name</t>
  </si>
  <si>
    <t xml:space="preserve">acres</t>
  </si>
  <si>
    <t xml:space="preserve">use</t>
  </si>
  <si>
    <t xml:space="preserve">tenure</t>
  </si>
  <si>
    <t xml:space="preserve">LP-SAM-P1</t>
  </si>
  <si>
    <t xml:space="preserve">KS-P1 center pivot</t>
  </si>
  <si>
    <t xml:space="preserve">Irrigated corn/soy rotation</t>
  </si>
  <si>
    <t xml:space="preserve">Owned</t>
  </si>
  <si>
    <t xml:space="preserve">LP-SAM-D1</t>
  </si>
  <si>
    <t xml:space="preserve">KS-D1 dryland</t>
  </si>
  <si>
    <t xml:space="preserve">Wheat / soy / corn rotation</t>
  </si>
  <si>
    <t xml:space="preserve">Owned (2019 purchase)</t>
  </si>
  <si>
    <t xml:space="preserve">LP-SAM-D2</t>
  </si>
  <si>
    <t xml:space="preserve">KS-D2 dryland</t>
  </si>
  <si>
    <t xml:space="preserve">LP-SAM-HQ</t>
  </si>
  <si>
    <t xml:space="preserve">KS homestead, bins, shop, waterways</t>
  </si>
  <si>
    <t xml:space="preserve">Headquarters</t>
  </si>
  <si>
    <t xml:space="preserve">LP-SAM-TX</t>
  </si>
  <si>
    <t xml:space="preserve">TX-C1 Carson Co. dryland</t>
  </si>
  <si>
    <t xml:space="preserve">Cotton (96 planted + 4 turnrows)</t>
  </si>
  <si>
    <t xml:space="preserve">Owned (inherited 2017)</t>
  </si>
  <si>
    <t xml:space="preserve">Monthly income statement (accrual). Subtotals are formulas. Source: income_statement_monthly_summary / _detail.</t>
  </si>
  <si>
    <t xml:space="preserve">Line item</t>
  </si>
  <si>
    <t xml:space="preserve">Revenue</t>
  </si>
  <si>
    <t xml:space="preserve">Cost of production</t>
  </si>
  <si>
    <t xml:space="preserve">Gross profit</t>
  </si>
  <si>
    <t xml:space="preserve">Gross margin %</t>
  </si>
  <si>
    <t xml:space="preserve">Overhead / operating expenses</t>
  </si>
  <si>
    <t xml:space="preserve">EBITDA</t>
  </si>
  <si>
    <t xml:space="preserve">Depreciation</t>
  </si>
  <si>
    <t xml:space="preserve">Operating profit</t>
  </si>
  <si>
    <t xml:space="preserve">Interest</t>
  </si>
  <si>
    <t xml:space="preserve">Gain (loss) on asset sales</t>
  </si>
  <si>
    <t xml:space="preserve">Net income (operating basis)</t>
  </si>
  <si>
    <t xml:space="preserve">Change in crop/hay/feed/supply inventories</t>
  </si>
  <si>
    <t xml:space="preserve">Change in livestock values</t>
  </si>
  <si>
    <t xml:space="preserve">Net farm income (accrual)</t>
  </si>
  <si>
    <t xml:space="preserve">Annual P&amp;L by enterprise (2026 = YTD Sep). Enterprise rows include internal transfers at market; TOTAL excludes them.</t>
  </si>
  <si>
    <t xml:space="preserve">period</t>
  </si>
  <si>
    <t xml:space="preserve">revenue</t>
  </si>
  <si>
    <t xml:space="preserve">internal_transfers_net</t>
  </si>
  <si>
    <t xml:space="preserve">cost_of_production</t>
  </si>
  <si>
    <t xml:space="preserve">gross_profit</t>
  </si>
  <si>
    <t xml:space="preserve">gross_margin_pct</t>
  </si>
  <si>
    <t xml:space="preserve">overhead</t>
  </si>
  <si>
    <t xml:space="preserve">ebitda</t>
  </si>
  <si>
    <t xml:space="preserve">depreciation</t>
  </si>
  <si>
    <t xml:space="preserve">interest</t>
  </si>
  <si>
    <t xml:space="preserve">gain_on_asset_sales</t>
  </si>
  <si>
    <t xml:space="preserve">net_income_operating_basis</t>
  </si>
  <si>
    <t xml:space="preserve">inventory_change</t>
  </si>
  <si>
    <t xml:space="preserve">livestock_value_change</t>
  </si>
  <si>
    <t xml:space="preserve">net_farm_income_accrual</t>
  </si>
  <si>
    <t xml:space="preserve">TOTAL</t>
  </si>
  <si>
    <t xml:space="preserve">month_end</t>
  </si>
  <si>
    <t xml:space="preserve">year</t>
  </si>
  <si>
    <t xml:space="preserve">section</t>
  </si>
  <si>
    <t xml:space="preserve">line_item</t>
  </si>
  <si>
    <t xml:space="preserve">account_code</t>
  </si>
  <si>
    <t xml:space="preserve">account_name</t>
  </si>
  <si>
    <t xml:space="preserve">amount</t>
  </si>
  <si>
    <t xml:space="preserve">DEP</t>
  </si>
  <si>
    <t xml:space="preserve">7010</t>
  </si>
  <si>
    <t xml:space="preserve">COP</t>
  </si>
  <si>
    <t xml:space="preserve">Contractors &amp; custom hire</t>
  </si>
  <si>
    <t xml:space="preserve">5050</t>
  </si>
  <si>
    <t xml:space="preserve">Custom hire - field operations</t>
  </si>
  <si>
    <t xml:space="preserve">INVCHG</t>
  </si>
  <si>
    <t xml:space="preserve">Change in inventories</t>
  </si>
  <si>
    <t xml:space="preserve">7040</t>
  </si>
  <si>
    <t xml:space="preserve">Change in crop, hay, feed &amp; supply inventory</t>
  </si>
  <si>
    <t xml:space="preserve">OVH</t>
  </si>
  <si>
    <t xml:space="preserve">Insurance</t>
  </si>
  <si>
    <t xml:space="preserve">6010</t>
  </si>
  <si>
    <t xml:space="preserve">Insurance - property &amp; liability</t>
  </si>
  <si>
    <t xml:space="preserve">Professional &amp; admin</t>
  </si>
  <si>
    <t xml:space="preserve">6090</t>
  </si>
  <si>
    <t xml:space="preserve">Dues, licenses &amp; subscriptions</t>
  </si>
  <si>
    <t xml:space="preserve">INT</t>
  </si>
  <si>
    <t xml:space="preserve">7020</t>
  </si>
  <si>
    <t xml:space="preserve">Interest - term debt</t>
  </si>
  <si>
    <t xml:space="preserve">Utilities</t>
  </si>
  <si>
    <t xml:space="preserve">6030</t>
  </si>
  <si>
    <t xml:space="preserve">Vehicles</t>
  </si>
  <si>
    <t xml:space="preserve">6050</t>
  </si>
  <si>
    <t xml:space="preserve">Vehicle expense</t>
  </si>
  <si>
    <t xml:space="preserve">6100</t>
  </si>
  <si>
    <t xml:space="preserve">Office, phone &amp; software</t>
  </si>
  <si>
    <t xml:space="preserve">7021</t>
  </si>
  <si>
    <t xml:space="preserve">Interest - operating line</t>
  </si>
  <si>
    <t xml:space="preserve">REV</t>
  </si>
  <si>
    <t xml:space="preserve">Crop sales</t>
  </si>
  <si>
    <t xml:space="preserve">4010</t>
  </si>
  <si>
    <t xml:space="preserve">Grain sales</t>
  </si>
  <si>
    <t xml:space="preserve">6080</t>
  </si>
  <si>
    <t xml:space="preserve">Professional fees</t>
  </si>
  <si>
    <t xml:space="preserve">Fertilizer</t>
  </si>
  <si>
    <t xml:space="preserve">5020</t>
  </si>
  <si>
    <t xml:space="preserve">Fertilizer &amp; lime</t>
  </si>
  <si>
    <t xml:space="preserve">Crop insurance</t>
  </si>
  <si>
    <t xml:space="preserve">5040</t>
  </si>
  <si>
    <t xml:space="preserve">Crop insurance premiums</t>
  </si>
  <si>
    <t xml:space="preserve">Repairs &amp; maintenance</t>
  </si>
  <si>
    <t xml:space="preserve">5150</t>
  </si>
  <si>
    <t xml:space="preserve">Repairs - machinery &amp; equipment</t>
  </si>
  <si>
    <t xml:space="preserve">Chemicals</t>
  </si>
  <si>
    <t xml:space="preserve">5030</t>
  </si>
  <si>
    <t xml:space="preserve">Seed &amp; plants</t>
  </si>
  <si>
    <t xml:space="preserve">5010</t>
  </si>
  <si>
    <t xml:space="preserve">Fuel</t>
  </si>
  <si>
    <t xml:space="preserve">5140</t>
  </si>
  <si>
    <t xml:space="preserve">Fuel &amp; oil</t>
  </si>
  <si>
    <t xml:space="preserve">Direct labor</t>
  </si>
  <si>
    <t xml:space="preserve">5130</t>
  </si>
  <si>
    <t xml:space="preserve">Hired labor - wages</t>
  </si>
  <si>
    <t xml:space="preserve">5131</t>
  </si>
  <si>
    <t xml:space="preserve">Payroll taxes &amp; benefits</t>
  </si>
  <si>
    <t xml:space="preserve">Irrigation</t>
  </si>
  <si>
    <t xml:space="preserve">5160</t>
  </si>
  <si>
    <t xml:space="preserve">Irrigation energy &amp; water</t>
  </si>
  <si>
    <t xml:space="preserve">Custom work revenue</t>
  </si>
  <si>
    <t xml:space="preserve">4090</t>
  </si>
  <si>
    <t xml:space="preserve">Custom harvesting revenue</t>
  </si>
  <si>
    <t xml:space="preserve">4091</t>
  </si>
  <si>
    <t xml:space="preserve">Custom grain hauling revenue</t>
  </si>
  <si>
    <t xml:space="preserve">Transportation</t>
  </si>
  <si>
    <t xml:space="preserve">5180</t>
  </si>
  <si>
    <t xml:space="preserve">Trucking &amp; freight</t>
  </si>
  <si>
    <t xml:space="preserve">Insurance &amp; government</t>
  </si>
  <si>
    <t xml:space="preserve">4200</t>
  </si>
  <si>
    <t xml:space="preserve">Crop insurance proceeds</t>
  </si>
  <si>
    <t xml:space="preserve">Harvesting &amp; ginning</t>
  </si>
  <si>
    <t xml:space="preserve">5055</t>
  </si>
  <si>
    <t xml:space="preserve">Custom harvesting &amp; baling (contracted)</t>
  </si>
  <si>
    <t xml:space="preserve">4020</t>
  </si>
  <si>
    <t xml:space="preserve">Cotton lint sales</t>
  </si>
  <si>
    <t xml:space="preserve">4025</t>
  </si>
  <si>
    <t xml:space="preserve">Cottonseed sales</t>
  </si>
  <si>
    <t xml:space="preserve">5060</t>
  </si>
  <si>
    <t xml:space="preserve">Ginning &amp; warehousing</t>
  </si>
  <si>
    <t xml:space="preserve">Property taxes</t>
  </si>
  <si>
    <t xml:space="preserve">6020</t>
  </si>
  <si>
    <t xml:space="preserve">GAIN</t>
  </si>
  <si>
    <t xml:space="preserve">7030</t>
  </si>
  <si>
    <t xml:space="preserve">Gain (loss) on sale of assets</t>
  </si>
  <si>
    <t xml:space="preserve">4210</t>
  </si>
  <si>
    <t xml:space="preserve">Government program payments</t>
  </si>
  <si>
    <t xml:space="preserve">Month-end balance sheets. Inventories &amp; livestock at market; land at cost. Totals and balance check are formulas (check row must be 0).</t>
  </si>
  <si>
    <t xml:space="preserve">ASSETS</t>
  </si>
  <si>
    <t xml:space="preserve">Cash</t>
  </si>
  <si>
    <t xml:space="preserve">Accounts receivable</t>
  </si>
  <si>
    <t xml:space="preserve">Prepaid expenses</t>
  </si>
  <si>
    <t xml:space="preserve">Crop &amp; hay inventory</t>
  </si>
  <si>
    <t xml:space="preserve">Feed inventory</t>
  </si>
  <si>
    <t xml:space="preserve">Investment in growing crops</t>
  </si>
  <si>
    <t xml:space="preserve">Supplies, semen &amp; packaged meat</t>
  </si>
  <si>
    <t xml:space="preserve">Market livestock</t>
  </si>
  <si>
    <t xml:space="preserve">Total current assets</t>
  </si>
  <si>
    <t xml:space="preserve">Breeding livestock (market)</t>
  </si>
  <si>
    <t xml:space="preserve">Machinery &amp; equipment (net)</t>
  </si>
  <si>
    <t xml:space="preserve">Vehicles (net)</t>
  </si>
  <si>
    <t xml:space="preserve">Buildings &amp; improvements (net)</t>
  </si>
  <si>
    <t xml:space="preserve">Land (cost basis)</t>
  </si>
  <si>
    <t xml:space="preserve">Total non-current assets</t>
  </si>
  <si>
    <t xml:space="preserve">TOTAL ASSETS</t>
  </si>
  <si>
    <t xml:space="preserve">LIABILITIES</t>
  </si>
  <si>
    <t xml:space="preserve">Accounts payable</t>
  </si>
  <si>
    <t xml:space="preserve">Credit cards</t>
  </si>
  <si>
    <t xml:space="preserve">Accrued property tax</t>
  </si>
  <si>
    <t xml:space="preserve">Accrued payroll tax</t>
  </si>
  <si>
    <t xml:space="preserve">Customer deposits (deferred revenue)</t>
  </si>
  <si>
    <t xml:space="preserve">Operating line</t>
  </si>
  <si>
    <t xml:space="preserve">Current portion of term debt</t>
  </si>
  <si>
    <t xml:space="preserve">Total current liabilities</t>
  </si>
  <si>
    <t xml:space="preserve">Land loans (non-current)</t>
  </si>
  <si>
    <t xml:space="preserve">Equipment loans (non-current)</t>
  </si>
  <si>
    <t xml:space="preserve">Vehicle loans (non-current)</t>
  </si>
  <si>
    <t xml:space="preserve">Other term debt (non-current)</t>
  </si>
  <si>
    <t xml:space="preserve">TOTAL LIABILITIES</t>
  </si>
  <si>
    <t xml:space="preserve">EQUITY</t>
  </si>
  <si>
    <t xml:space="preserve">Owner contributed capital</t>
  </si>
  <si>
    <t xml:space="preserve">Retained earnings</t>
  </si>
  <si>
    <t xml:space="preserve">TOTAL EQUITY</t>
  </si>
  <si>
    <t xml:space="preserve">Balance check (assets - liabilities - equity)</t>
  </si>
  <si>
    <t xml:space="preserve">memo: cumulative owner distributions since 1/2023</t>
  </si>
  <si>
    <t xml:space="preserve">memo: land at market value</t>
  </si>
  <si>
    <t xml:space="preserve">memo: market-value net worth</t>
  </si>
  <si>
    <t xml:space="preserve">Monthly cash flow by class (signed: + inflow).</t>
  </si>
  <si>
    <t xml:space="preserve">beginning_cash</t>
  </si>
  <si>
    <t xml:space="preserve">Asset sale proceeds</t>
  </si>
  <si>
    <t xml:space="preserve">Chemical purchases</t>
  </si>
  <si>
    <t xml:space="preserve">Commodity-sale receipts</t>
  </si>
  <si>
    <t xml:space="preserve">Contractor payments</t>
  </si>
  <si>
    <t xml:space="preserve">Customer collections</t>
  </si>
  <si>
    <t xml:space="preserve">Debt payments - interest</t>
  </si>
  <si>
    <t xml:space="preserve">Debt payments - principal</t>
  </si>
  <si>
    <t xml:space="preserve">Equipment &amp; capital purchases</t>
  </si>
  <si>
    <t xml:space="preserve">Feed purchases</t>
  </si>
  <si>
    <t xml:space="preserve">Fertilizer purchases</t>
  </si>
  <si>
    <t xml:space="preserve">Genetics payments</t>
  </si>
  <si>
    <t xml:space="preserve">Insurance &amp; government payments</t>
  </si>
  <si>
    <t xml:space="preserve">Lease receipts</t>
  </si>
  <si>
    <t xml:space="preserve">Livestock purchases</t>
  </si>
  <si>
    <t xml:space="preserve">Livestock-sale receipts</t>
  </si>
  <si>
    <t xml:space="preserve">Loan proceeds</t>
  </si>
  <si>
    <t xml:space="preserve">Operating line draws</t>
  </si>
  <si>
    <t xml:space="preserve">Operating line repayments</t>
  </si>
  <si>
    <t xml:space="preserve">Other operating payments</t>
  </si>
  <si>
    <t xml:space="preserve">Other receipts</t>
  </si>
  <si>
    <t xml:space="preserve">Owner contributions</t>
  </si>
  <si>
    <t xml:space="preserve">Owner distributions</t>
  </si>
  <si>
    <t xml:space="preserve">Payroll</t>
  </si>
  <si>
    <t xml:space="preserve">Processing payments</t>
  </si>
  <si>
    <t xml:space="preserve">Repairs</t>
  </si>
  <si>
    <t xml:space="preserve">Seed purchases</t>
  </si>
  <si>
    <t xml:space="preserve">Taxes</t>
  </si>
  <si>
    <t xml:space="preserve">Taxes (owner estimated income tax)</t>
  </si>
  <si>
    <t xml:space="preserve">Veterinary payments</t>
  </si>
  <si>
    <t xml:space="preserve">net_cash_flow</t>
  </si>
  <si>
    <t xml:space="preserve">ending_cash</t>
  </si>
  <si>
    <t xml:space="preserve">operating_line_balance</t>
  </si>
  <si>
    <t xml:space="preserve">period_start</t>
  </si>
  <si>
    <t xml:space="preserve">period_end</t>
  </si>
  <si>
    <t xml:space="preserve">gross_revenue_accrual</t>
  </si>
  <si>
    <t xml:space="preserve">net_farm_income</t>
  </si>
  <si>
    <t xml:space="preserve">current_ratio</t>
  </si>
  <si>
    <t xml:space="preserve">working_capital</t>
  </si>
  <si>
    <t xml:space="preserve">working_capital_to_gross_revenue</t>
  </si>
  <si>
    <t xml:space="preserve">debt_to_asset</t>
  </si>
  <si>
    <t xml:space="preserve">equity_to_asset</t>
  </si>
  <si>
    <t xml:space="preserve">debt_to_equity</t>
  </si>
  <si>
    <t xml:space="preserve">debt_to_asset_market</t>
  </si>
  <si>
    <t xml:space="preserve">owner_labor_mgmt_charge</t>
  </si>
  <si>
    <t xml:space="preserve">rate_of_return_on_assets_cost</t>
  </si>
  <si>
    <t xml:space="preserve">rate_of_return_on_assets_market</t>
  </si>
  <si>
    <t xml:space="preserve">rate_of_return_on_equity</t>
  </si>
  <si>
    <t xml:space="preserve">operating_profit_margin</t>
  </si>
  <si>
    <t xml:space="preserve">asset_turnover</t>
  </si>
  <si>
    <t xml:space="preserve">operating_expense_ratio</t>
  </si>
  <si>
    <t xml:space="preserve">depreciation_expense_ratio</t>
  </si>
  <si>
    <t xml:space="preserve">interest_expense_ratio</t>
  </si>
  <si>
    <t xml:space="preserve">net_farm_income_ratio</t>
  </si>
  <si>
    <t xml:space="preserve">term_interest_paid</t>
  </si>
  <si>
    <t xml:space="preserve">term_principal_paid</t>
  </si>
  <si>
    <t xml:space="preserve">scheduled_term_debt_payments</t>
  </si>
  <si>
    <t xml:space="preserve">owner_withdrawals</t>
  </si>
  <si>
    <t xml:space="preserve">owner_contributions</t>
  </si>
  <si>
    <t xml:space="preserve">capital_debt_repayment_capacity</t>
  </si>
  <si>
    <t xml:space="preserve">repayment_margin</t>
  </si>
  <si>
    <t xml:space="preserve">term_debt_coverage_ratio</t>
  </si>
  <si>
    <t xml:space="preserve">total_debt</t>
  </si>
  <si>
    <t xml:space="preserve">operating_line_end</t>
  </si>
  <si>
    <t xml:space="preserve">cash_end</t>
  </si>
  <si>
    <t xml:space="preserve">note</t>
  </si>
  <si>
    <t xml:space="preserve">FY2023</t>
  </si>
  <si>
    <t xml:space="preserve">Gross revenue = revenue + inventory &amp; livestock value changes + gains (FFSC accrual). YTD ratios not annualized except WC/GR.</t>
  </si>
  <si>
    <t xml:space="preserve">FY2024</t>
  </si>
  <si>
    <t xml:space="preserve">FY2025</t>
  </si>
  <si>
    <t xml:space="preserve">TTM Sep-2026</t>
  </si>
  <si>
    <t xml:space="preserve">YTD Sep-2026 (not annualized)</t>
  </si>
  <si>
    <t xml:space="preserve">planned_revenue</t>
  </si>
  <si>
    <t xml:space="preserve">actual_revenue</t>
  </si>
  <si>
    <t xml:space="preserve">revenue_variance</t>
  </si>
  <si>
    <t xml:space="preserve">planned_expenses</t>
  </si>
  <si>
    <t xml:space="preserve">actual_expenses</t>
  </si>
  <si>
    <t xml:space="preserve">expense_variance</t>
  </si>
  <si>
    <t xml:space="preserve">planned_gross_margin</t>
  </si>
  <si>
    <t xml:space="preserve">actual_gross_margin</t>
  </si>
  <si>
    <t xml:space="preserve">planned_gross_margin_pct</t>
  </si>
  <si>
    <t xml:space="preserve">actual_gross_margin_pct</t>
  </si>
  <si>
    <t xml:space="preserve">planned_net_income</t>
  </si>
  <si>
    <t xml:space="preserve">actual_net_income</t>
  </si>
  <si>
    <t xml:space="preserve">net_income_variance</t>
  </si>
  <si>
    <t xml:space="preserve">basis</t>
  </si>
  <si>
    <t xml:space="preserve">Full year</t>
  </si>
  <si>
    <t xml:space="preserve">Operating basis (excludes inventory &amp; livestock value changes); enterprise rows include internal transfers</t>
  </si>
  <si>
    <t xml:space="preserve">YTD Jan-Sep</t>
  </si>
  <si>
    <t xml:space="preserve">Full-year budget (reference)</t>
  </si>
  <si>
    <t xml:space="preserve">Monthly forecast Oct-2026 to Sep-2027 by scenario (IS + cash flow). Negative ending cash = projected shortfall with the line maxed.</t>
  </si>
  <si>
    <t xml:space="preserve">scenario</t>
  </si>
  <si>
    <t xml:space="preserve">net_income_before_inventory</t>
  </si>
  <si>
    <t xml:space="preserve">cf_Collections - invoices outstanding at 9/30</t>
  </si>
  <si>
    <t xml:space="preserve">cf_Expected commodity sales</t>
  </si>
  <si>
    <t xml:space="preserve">cf_Expected livestock sales</t>
  </si>
  <si>
    <t xml:space="preserve">cf_Expected customer receipts</t>
  </si>
  <si>
    <t xml:space="preserve">cf_Government &amp; insurance receipts</t>
  </si>
  <si>
    <t xml:space="preserve">cf_Other receipts (leases, misc.)</t>
  </si>
  <si>
    <t xml:space="preserve">cf_Asset sales</t>
  </si>
  <si>
    <t xml:space="preserve">cf_Payment of AP/accruals outstanding at 9/30</t>
  </si>
  <si>
    <t xml:space="preserve">cf_Payroll</t>
  </si>
  <si>
    <t xml:space="preserve">cf_Planned input purchases</t>
  </si>
  <si>
    <t xml:space="preserve">cf_Contractor payments</t>
  </si>
  <si>
    <t xml:space="preserve">cf_Veterinary &amp; genetics</t>
  </si>
  <si>
    <t xml:space="preserve">cf_Processing</t>
  </si>
  <si>
    <t xml:space="preserve">cf_Fuel, repairs &amp; equipment expenses</t>
  </si>
  <si>
    <t xml:space="preserve">cf_Insurance</t>
  </si>
  <si>
    <t xml:space="preserve">cf_Property &amp; payroll taxes</t>
  </si>
  <si>
    <t xml:space="preserve">cf_Other operating payments</t>
  </si>
  <si>
    <t xml:space="preserve">cf_Scheduled debt payments</t>
  </si>
  <si>
    <t xml:space="preserve">cf_Operating line interest</t>
  </si>
  <si>
    <t xml:space="preserve">cf_Equipment &amp; capital purchases</t>
  </si>
  <si>
    <t xml:space="preserve">cf_Owner distributions</t>
  </si>
  <si>
    <t xml:space="preserve">cf_Owner estimated income taxes</t>
  </si>
  <si>
    <t xml:space="preserve">cf_Operating line draws</t>
  </si>
  <si>
    <t xml:space="preserve">cf_Operating line repayments</t>
  </si>
  <si>
    <t xml:space="preserve">cf_Term loan proceeds</t>
  </si>
  <si>
    <t xml:space="preserve">cf_Owner contributions</t>
  </si>
  <si>
    <t xml:space="preserve">Base</t>
  </si>
  <si>
    <t xml:space="preserve">Optimistic</t>
  </si>
  <si>
    <t xml:space="preserve">Downside</t>
  </si>
  <si>
    <t xml:space="preserve">driver</t>
  </si>
  <si>
    <t xml:space="preserve">assumption</t>
  </si>
  <si>
    <t xml:space="preserve">source_or_note</t>
  </si>
  <si>
    <t xml:space="preserve">Cotton pool price 2026 crop</t>
  </si>
  <si>
    <t xml:space="preserve">$0.82/lb lint</t>
  </si>
  <si>
    <t xml:space="preserve">Dec-26 futures ~88.8c (Aug 2026) less pool basis/costs</t>
  </si>
  <si>
    <t xml:space="preserve">$0.88/lb</t>
  </si>
  <si>
    <t xml:space="preserve">$0.70/lb (-15%)</t>
  </si>
  <si>
    <t xml:space="preserve">Cotton yield 2026</t>
  </si>
  <si>
    <t xml:space="preserve">455 lb lint/ac</t>
  </si>
  <si>
    <t xml:space="preserve">APH 440</t>
  </si>
  <si>
    <t xml:space="preserve">525 lb/ac</t>
  </si>
  <si>
    <t xml:space="preserve">300 lb/ac</t>
  </si>
  <si>
    <t xml:space="preserve">Late-season drought / hail</t>
  </si>
  <si>
    <t xml:space="preserve">Corn / soybean / wheat cash prices</t>
  </si>
  <si>
    <t xml:space="preserve">Corn $4.20-4.30, soy $10.25-10.40, wheat $5.55-5.70</t>
  </si>
  <si>
    <t xml:space="preserve">Central KS cash</t>
  </si>
  <si>
    <t xml:space="preserve">Grain prices</t>
  </si>
  <si>
    <t xml:space="preserve">Corn $4.45-4.60, soy $10.80-11.10, wheat $6.00-6.20</t>
  </si>
  <si>
    <t xml:space="preserve">Corn $3.55-3.80, soy $9.10-9.40, wheat $4.75-4.95</t>
  </si>
  <si>
    <t xml:space="preserve">All</t>
  </si>
  <si>
    <t xml:space="preserve">Known contract</t>
  </si>
  <si>
    <t xml:space="preserve">Forward contract #FC-2611: 4,000 bu soybeans @ $10.45, Nov-2026 delivery</t>
  </si>
  <si>
    <t xml:space="preserve">Hedges ~50% of 2026 irrigated soy</t>
  </si>
  <si>
    <t xml:space="preserve">Base/Opt/Down</t>
  </si>
  <si>
    <t xml:space="preserve">Yield factor 2027 crops</t>
  </si>
  <si>
    <t xml:space="preserve">100% / 105-108% / 72-85% of APH</t>
  </si>
  <si>
    <t xml:space="preserve">Downside wheat 72% (repeat of 2026 freeze)</t>
  </si>
  <si>
    <t xml:space="preserve">Custom harvest acres 2027</t>
  </si>
  <si>
    <t xml:space="preserve">Wheat 1,900; soybeans 1,450; corn 1,300</t>
  </si>
  <si>
    <t xml:space="preserve">Client commitments; rates +$1/ac</t>
  </si>
  <si>
    <t xml:space="preserve">Prime rate</t>
  </si>
  <si>
    <t xml:space="preserve">6.50% / 6.25% / 7.25%</t>
  </si>
  <si>
    <t xml:space="preserve">Line = prime + 1.00%</t>
  </si>
  <si>
    <t xml:space="preserve">ARC/PLC 2025 crop (Oct 2026)</t>
  </si>
  <si>
    <t xml:space="preserve">Base $14,470 / Opt $10,700 / Down $18,700</t>
  </si>
  <si>
    <t xml:space="preserve">OBBBA reference prices</t>
  </si>
  <si>
    <t xml:space="preserve">Rolling 13-week cash forecast from 10/1/2026 (base case).</t>
  </si>
  <si>
    <t xml:space="preserve">week</t>
  </si>
  <si>
    <t xml:space="preserve">week_start</t>
  </si>
  <si>
    <t xml:space="preserve">week_end</t>
  </si>
  <si>
    <t xml:space="preserve">starting_cash</t>
  </si>
  <si>
    <t xml:space="preserve">Collections - invoices outstanding at 9/30</t>
  </si>
  <si>
    <t xml:space="preserve">Expected commodity sales</t>
  </si>
  <si>
    <t xml:space="preserve">Expected livestock sales</t>
  </si>
  <si>
    <t xml:space="preserve">Expected customer receipts</t>
  </si>
  <si>
    <t xml:space="preserve">Government &amp; insurance receipts</t>
  </si>
  <si>
    <t xml:space="preserve">Other receipts (leases, misc.)</t>
  </si>
  <si>
    <t xml:space="preserve">Asset sales</t>
  </si>
  <si>
    <t xml:space="preserve">Total receipts</t>
  </si>
  <si>
    <t xml:space="preserve">Payment of AP/accruals outstanding at 9/30</t>
  </si>
  <si>
    <t xml:space="preserve">Planned input purchases</t>
  </si>
  <si>
    <t xml:space="preserve">Veterinary &amp; genetics</t>
  </si>
  <si>
    <t xml:space="preserve">Processing</t>
  </si>
  <si>
    <t xml:space="preserve">Fuel, repairs &amp; equipment expenses</t>
  </si>
  <si>
    <t xml:space="preserve">Property &amp; payroll taxes</t>
  </si>
  <si>
    <t xml:space="preserve">Scheduled debt payments</t>
  </si>
  <si>
    <t xml:space="preserve">Operating line interest</t>
  </si>
  <si>
    <t xml:space="preserve">Owner estimated income taxes</t>
  </si>
  <si>
    <t xml:space="preserve">Total disbursements</t>
  </si>
  <si>
    <t xml:space="preserve">Net cash before financing</t>
  </si>
  <si>
    <t xml:space="preserve">Term loan proceeds</t>
  </si>
  <si>
    <t xml:space="preserve">Ending projected cash</t>
  </si>
  <si>
    <t xml:space="preserve">Operating line balance</t>
  </si>
  <si>
    <t xml:space="preserve">Line availability</t>
  </si>
  <si>
    <t xml:space="preserve">expected_date</t>
  </si>
  <si>
    <t xml:space="preserve">group</t>
  </si>
  <si>
    <t xml:space="preserve">counterparty_id</t>
  </si>
  <si>
    <t xml:space="preserve">description</t>
  </si>
  <si>
    <t xml:space="preserve">source</t>
  </si>
  <si>
    <t xml:space="preserve">VEN-SAM-013</t>
  </si>
  <si>
    <t xml:space="preserve">Pre-season combine service, sieves, belts, knife sections (corn)</t>
  </si>
  <si>
    <t xml:space="preserve">Open invoice/bill at 9/30</t>
  </si>
  <si>
    <t xml:space="preserve">VEN-SAM-017</t>
  </si>
  <si>
    <t xml:space="preserve">Seasonal hand/truck driver (107 h) - custom 60%</t>
  </si>
  <si>
    <t xml:space="preserve">Operating plan (base case)</t>
  </si>
  <si>
    <t xml:space="preserve">Seasonal hand - own farm 40%</t>
  </si>
  <si>
    <t xml:space="preserve">8041</t>
  </si>
  <si>
    <t xml:space="preserve">Owner distribution - family living</t>
  </si>
  <si>
    <t xml:space="preserve">VEN-SAM-016</t>
  </si>
  <si>
    <t xml:space="preserve">Shop/bins electricity</t>
  </si>
  <si>
    <t xml:space="preserve">CUS-SAM-001</t>
  </si>
  <si>
    <t xml:space="preserve">Soybeans - forward contract #FC-2611 3,488 bu @ $10.45</t>
  </si>
  <si>
    <t xml:space="preserve">CUS-SAM-005</t>
  </si>
  <si>
    <t xml:space="preserve">ARC/PLC - 2025 crop (wheat, corn, seed cotton PLC; new OBBBA reference prices)</t>
  </si>
  <si>
    <t xml:space="preserve">Pre-season combine service, sieves, belts, knife sections (soybeans)</t>
  </si>
  <si>
    <t xml:space="preserve">Employer payroll taxes</t>
  </si>
  <si>
    <t xml:space="preserve">Seasonal hand/truck driver (116 h) - custom 60%</t>
  </si>
  <si>
    <t xml:space="preserve">VEN-SAM-009</t>
  </si>
  <si>
    <t xml:space="preserve">Interest - LN-SAM-004 payment 26/48</t>
  </si>
  <si>
    <t xml:space="preserve">Loan schedule</t>
  </si>
  <si>
    <t xml:space="preserve">8011</t>
  </si>
  <si>
    <t xml:space="preserve">Principal - LN-SAM-004 payment 26/48</t>
  </si>
  <si>
    <t xml:space="preserve">8020</t>
  </si>
  <si>
    <t xml:space="preserve">Draw on operating line (First Plains Bank)</t>
  </si>
  <si>
    <t xml:space="preserve">VEN-SAM-001</t>
  </si>
  <si>
    <t xml:space="preserve">Diesel - harvest &amp; hauling Corn</t>
  </si>
  <si>
    <t xml:space="preserve">Machinery repairs/parts allocated - Corn</t>
  </si>
  <si>
    <t xml:space="preserve">CUS-SAM-002</t>
  </si>
  <si>
    <t xml:space="preserve">2025 cotton - pool progress/final (50,016 lb @ $0.615 est. pool price)</t>
  </si>
  <si>
    <t xml:space="preserve">Header trailer/lowboy moves &amp; permits (soybeans run)</t>
  </si>
  <si>
    <t xml:space="preserve">Header trailer/lowboy moves &amp; permits (corn run)</t>
  </si>
  <si>
    <t xml:space="preserve">Phone, internet, farm software (Climate/FarmLogs)</t>
  </si>
  <si>
    <t xml:space="preserve">Pickup fuel &amp; upkeep</t>
  </si>
  <si>
    <t xml:space="preserve">Seasonal hand/truck driver (102 h) - custom 60%</t>
  </si>
  <si>
    <t xml:space="preserve">Operating line interest (7.50%)</t>
  </si>
  <si>
    <t xml:space="preserve">8021</t>
  </si>
  <si>
    <t xml:space="preserve">Repayment on operating line (First Plains Bank)</t>
  </si>
  <si>
    <t xml:space="preserve">Drying propane &amp; electricity (7,840 bu)</t>
  </si>
  <si>
    <t xml:space="preserve">Diesel - harvest &amp; hauling Soybeans</t>
  </si>
  <si>
    <t xml:space="preserve">Machinery repairs/parts allocated - Soybeans</t>
  </si>
  <si>
    <t xml:space="preserve">Semi service, tires, DOT inspection</t>
  </si>
  <si>
    <t xml:space="preserve">Wheat seed (certified HRW) 80 ac</t>
  </si>
  <si>
    <t xml:space="preserve">Starter P (11-52-0) with drill</t>
  </si>
  <si>
    <t xml:space="preserve">Diesel - drilling wheat</t>
  </si>
  <si>
    <t xml:space="preserve">CUS-SAM-101</t>
  </si>
  <si>
    <t xml:space="preserve">Custom combining soybeans 363 ac @ $44/ac - Heartland Land &amp; Cattle</t>
  </si>
  <si>
    <t xml:space="preserve">Custom hauling 12,524 bu @ $0.21/bu - Heartland Land &amp; Cattle</t>
  </si>
  <si>
    <t xml:space="preserve">Seasonal hand/truck driver (63 h) - custom 60%</t>
  </si>
  <si>
    <t xml:space="preserve">Interest - LN-SAM-004 payment 27/48</t>
  </si>
  <si>
    <t xml:space="preserve">Principal - LN-SAM-004 payment 27/48</t>
  </si>
  <si>
    <t xml:space="preserve">VEN-SAM-003</t>
  </si>
  <si>
    <t xml:space="preserve">Harvest-aid application (96 ac)</t>
  </si>
  <si>
    <t xml:space="preserve">VEN-SAM-006</t>
  </si>
  <si>
    <t xml:space="preserve">Harvest aid (defoliant/boll opener) (96 ac)</t>
  </si>
  <si>
    <t xml:space="preserve">CUS-SAM-105</t>
  </si>
  <si>
    <t xml:space="preserve">Custom combining soybeans 183 ac @ $44/ac - Lindquist Family Farms</t>
  </si>
  <si>
    <t xml:space="preserve">Custom hauling 6,314 bu @ $0.21/bu - Lindquist Family Farms</t>
  </si>
  <si>
    <t xml:space="preserve">Diesel - custom combining soybeans (1,430 ac)</t>
  </si>
  <si>
    <t xml:space="preserve">Truck diesel - custom hauling (soybeans)</t>
  </si>
  <si>
    <t xml:space="preserve">Custom combining corn 142 ac @ $48/ac - Lindquist Family Farms</t>
  </si>
  <si>
    <t xml:space="preserve">Custom hauling 17,572 bu @ $0.21/bu - Lindquist Family Farms</t>
  </si>
  <si>
    <t xml:space="preserve">CUS-SAM-103</t>
  </si>
  <si>
    <t xml:space="preserve">Custom combining soybeans 196 ac @ $44/ac - Rudd Brothers Partnership</t>
  </si>
  <si>
    <t xml:space="preserve">Custom hauling 6,762 bu @ $0.21/bu - Rudd Brothers Partnership</t>
  </si>
  <si>
    <t xml:space="preserve">CUS-SAM-104</t>
  </si>
  <si>
    <t xml:space="preserve">Custom combining soybeans 131 ac @ $44/ac - Gail Schrag</t>
  </si>
  <si>
    <t xml:space="preserve">Custom hauling 4,520 bu @ $0.21/bu - Gail Schrag</t>
  </si>
  <si>
    <t xml:space="preserve">CUS-SAM-107</t>
  </si>
  <si>
    <t xml:space="preserve">Custom combining soybeans 128 ac @ $44/ac - Dale &amp; Jo Unruh</t>
  </si>
  <si>
    <t xml:space="preserve">Custom hauling 4,416 bu @ $0.21/bu - Dale &amp; Jo Unruh</t>
  </si>
  <si>
    <t xml:space="preserve">VEN-SAM-007</t>
  </si>
  <si>
    <t xml:space="preserve">Interest - LN-SAM-001 payment 8/20</t>
  </si>
  <si>
    <t xml:space="preserve">Principal - LN-SAM-001 payment 8/20</t>
  </si>
  <si>
    <t xml:space="preserve">Custom combining corn 120 ac @ $48/ac - Gail Schrag</t>
  </si>
  <si>
    <t xml:space="preserve">Custom hauling 14,850 bu @ $0.21/bu - Gail Schrag</t>
  </si>
  <si>
    <t xml:space="preserve">CUS-SAM-108</t>
  </si>
  <si>
    <t xml:space="preserve">Custom combining corn 94 ac @ $48/ac - Smoky Hill Farms LLC</t>
  </si>
  <si>
    <t xml:space="preserve">Custom hauling 11,632 bu @ $0.21/bu - Smoky Hill Farms LLC</t>
  </si>
  <si>
    <t xml:space="preserve">Diesel - custom combining corn (1,290 ac)</t>
  </si>
  <si>
    <t xml:space="preserve">Truck diesel - custom hauling (corn)</t>
  </si>
  <si>
    <t xml:space="preserve">Custom combining corn 179 ac @ $47/ac - Rudd Brothers Partnership</t>
  </si>
  <si>
    <t xml:space="preserve">Custom hauling 22,151 bu @ $0.2/bu - Rudd Brothers Partnership</t>
  </si>
  <si>
    <t xml:space="preserve">Custom combining soybeans 110 ac @ $44/ac - Smoky Hill Farms LLC</t>
  </si>
  <si>
    <t xml:space="preserve">Custom hauling 3,795 bu @ $0.21/bu - Smoky Hill Farms LLC</t>
  </si>
  <si>
    <t xml:space="preserve">Shop supplies, filters, tires</t>
  </si>
  <si>
    <t xml:space="preserve">Interest - LN-SAM-004 payment 28/48</t>
  </si>
  <si>
    <t xml:space="preserve">Principal - LN-SAM-004 payment 28/48</t>
  </si>
  <si>
    <t xml:space="preserve">CUS-SAM-004</t>
  </si>
  <si>
    <t xml:space="preserve">Wheat (2026 crop) 864 bu @ $5.56 from bin</t>
  </si>
  <si>
    <t xml:space="preserve">VEN-SAM-002</t>
  </si>
  <si>
    <t xml:space="preserve">Corn seed 125 ac (prepaid Dec)</t>
  </si>
  <si>
    <t xml:space="preserve">Anhydrous 220 lb N (prepaid Dec)</t>
  </si>
  <si>
    <t xml:space="preserve">Custom combining corn 374 ac @ $48/ac - Heartland Land &amp; Cattle</t>
  </si>
  <si>
    <t xml:space="preserve">Custom hauling 46,282 bu @ $0.21/bu - Heartland Land &amp; Cattle</t>
  </si>
  <si>
    <t xml:space="preserve">VEN-SAM-014</t>
  </si>
  <si>
    <t xml:space="preserve">2026 KS property tax - 1st half</t>
  </si>
  <si>
    <t xml:space="preserve">Custom combining corn 122 ac @ $48/ac - Dale &amp; Jo Unruh</t>
  </si>
  <si>
    <t xml:space="preserve">Custom hauling 15,098 bu @ $0.21/bu - Dale &amp; Jo Unruh</t>
  </si>
  <si>
    <t xml:space="preserve">lever_id</t>
  </si>
  <si>
    <t xml:space="preserve">decision_question</t>
  </si>
  <si>
    <t xml:space="preserve">base_value</t>
  </si>
  <si>
    <t xml:space="preserve">scenario_change</t>
  </si>
  <si>
    <t xml:space="preserve">estimated_annual_impact</t>
  </si>
  <si>
    <t xml:space="preserve">impact_unit</t>
  </si>
  <si>
    <t xml:space="preserve">calculation_basis</t>
  </si>
  <si>
    <t xml:space="preserve">LEV-SAM-01</t>
  </si>
  <si>
    <t xml:space="preserve">What happens if cotton prices decline 15%?</t>
  </si>
  <si>
    <t xml:space="preserve">Cotton pool price (2026 crop)</t>
  </si>
  <si>
    <t xml:space="preserve">-15% to $0.70</t>
  </si>
  <si>
    <t xml:space="preserve">$ / yr</t>
  </si>
  <si>
    <t xml:space="preserve">43,680 lb lint x $0.82 x 15%; downside forecast scenario also cuts yield to 300 lb/ac. Base vs downside 12-mo NFI: $72,263 vs $34,121</t>
  </si>
  <si>
    <t xml:space="preserve">LEV-SAM-02</t>
  </si>
  <si>
    <t xml:space="preserve">Should Sam replace his combine?</t>
  </si>
  <si>
    <t xml:space="preserve">Combine annual cost (2025 repairs + note)</t>
  </si>
  <si>
    <t xml:space="preserve">Trade for ~1,200-hr S780 at $520k ($210k trade, $310k financed 7 yr @ 7.5%)</t>
  </si>
  <si>
    <t xml:space="preserve">2025 repairs $38,495 + current note $45,115 vs new payment $58,528 + ~$6,000 warranty-era repairs. Positive = replacing saves cash; also adds ~$30k/yr depreciation.</t>
  </si>
  <si>
    <t xml:space="preserve">LEV-SAM-03</t>
  </si>
  <si>
    <t xml:space="preserve">Is custom harvesting more profitable than time on his own farm?</t>
  </si>
  <si>
    <t xml:space="preserve">Custom net income per separator hour (2025)</t>
  </si>
  <si>
    <t xml:space="preserve">per hour</t>
  </si>
  <si>
    <t xml:space="preserve">$ / separator hour</t>
  </si>
  <si>
    <t xml:space="preserve">Custom 2025 net $126,969 / 441 hrs; own KS crops earned $-9,233 operating income on 285 ac (~29 combine hrs).</t>
  </si>
  <si>
    <t xml:space="preserve">LEV-SAM-04</t>
  </si>
  <si>
    <t xml:space="preserve">What happens if fertilizer prices rise 20%?</t>
  </si>
  <si>
    <t xml:space="preserve">Fertilizer spend (2025)</t>
  </si>
  <si>
    <t xml:space="preserve">+20%</t>
  </si>
  <si>
    <t xml:space="preserve">2025 fertilizer &amp; lime (5020) x 20%</t>
  </si>
  <si>
    <t xml:space="preserve">LEV-SAM-05</t>
  </si>
  <si>
    <t xml:space="preserve">How bad is a downside year (low prices + weak yields)?</t>
  </si>
  <si>
    <t xml:space="preserve">12-month NFI (Oct-26 to Sep-27)</t>
  </si>
  <si>
    <t xml:space="preserve">Downside scenario</t>
  </si>
  <si>
    <t xml:space="preserve">forecast_12_month Base vs Downside</t>
  </si>
  <si>
    <t xml:space="preserve">crop_season_id</t>
  </si>
  <si>
    <t xml:space="preserve">crop</t>
  </si>
  <si>
    <t xml:space="preserve">crop_year</t>
  </si>
  <si>
    <t xml:space="preserve">yield_per_acre</t>
  </si>
  <si>
    <t xml:space="preserve">yield_unit</t>
  </si>
  <si>
    <t xml:space="preserve">avg_price</t>
  </si>
  <si>
    <t xml:space="preserve">revenue_total</t>
  </si>
  <si>
    <t xml:space="preserve">revenue_per_acre</t>
  </si>
  <si>
    <t xml:space="preserve">of_which_unsold_inventory_value</t>
  </si>
  <si>
    <t xml:space="preserve">insurance_govt_per_acre</t>
  </si>
  <si>
    <t xml:space="preserve">seed_per_acre</t>
  </si>
  <si>
    <t xml:space="preserve">fertilizer_per_acre</t>
  </si>
  <si>
    <t xml:space="preserve">chemical_per_acre</t>
  </si>
  <si>
    <t xml:space="preserve">fuel_per_acre</t>
  </si>
  <si>
    <t xml:space="preserve">contractor_per_acre</t>
  </si>
  <si>
    <t xml:space="preserve">irrigation_per_acre</t>
  </si>
  <si>
    <t xml:space="preserve">repairs_per_acre</t>
  </si>
  <si>
    <t xml:space="preserve">crop_insurance_per_acre</t>
  </si>
  <si>
    <t xml:space="preserve">other_direct_per_acre</t>
  </si>
  <si>
    <t xml:space="preserve">direct_cost_per_acre</t>
  </si>
  <si>
    <t xml:space="preserve">allocated_depreciation_per_acre</t>
  </si>
  <si>
    <t xml:space="preserve">allocated_shared_cost_per_acre</t>
  </si>
  <si>
    <t xml:space="preserve">total_cost_per_acre</t>
  </si>
  <si>
    <t xml:space="preserve">profit_per_acre</t>
  </si>
  <si>
    <t xml:space="preserve">break_even_yield</t>
  </si>
  <si>
    <t xml:space="preserve">break_even_price</t>
  </si>
  <si>
    <t xml:space="preserve">data_type</t>
  </si>
  <si>
    <t xml:space="preserve">CS-SAM-W23-D1</t>
  </si>
  <si>
    <t xml:space="preserve">Wheat</t>
  </si>
  <si>
    <t xml:space="preserve">bu/ac</t>
  </si>
  <si>
    <t xml:space="preserve">Actual</t>
  </si>
  <si>
    <t xml:space="preserve">CS-SAM-C23-D2</t>
  </si>
  <si>
    <t xml:space="preserve">Corn</t>
  </si>
  <si>
    <t xml:space="preserve">CS-SAM-C23-P1</t>
  </si>
  <si>
    <t xml:space="preserve">CS-SAM-W24-D2</t>
  </si>
  <si>
    <t xml:space="preserve">CS-SAM-S24-P1</t>
  </si>
  <si>
    <t xml:space="preserve">Soybeans</t>
  </si>
  <si>
    <t xml:space="preserve">CS-SAM-S24-D1</t>
  </si>
  <si>
    <t xml:space="preserve">CS-SAM-W25-D1</t>
  </si>
  <si>
    <t xml:space="preserve">CS-SAM-C25-P1</t>
  </si>
  <si>
    <t xml:space="preserve">CS-SAM-S25-D2</t>
  </si>
  <si>
    <t xml:space="preserve">CS-SAM-W26-D2</t>
  </si>
  <si>
    <t xml:space="preserve">Actual harvest; stored grain unsold</t>
  </si>
  <si>
    <t xml:space="preserve">CS-SAM-C26-D1</t>
  </si>
  <si>
    <t xml:space="preserve">CS-SAM-S26-P1</t>
  </si>
  <si>
    <t xml:space="preserve">Forecast</t>
  </si>
  <si>
    <t xml:space="preserve">CS-SAM-W27-D1</t>
  </si>
  <si>
    <t xml:space="preserve">CS-SAM-COT23</t>
  </si>
  <si>
    <t xml:space="preserve">Cotton (dryland)</t>
  </si>
  <si>
    <t xml:space="preserve">lb lint/ac</t>
  </si>
  <si>
    <t xml:space="preserve">CS-SAM-COT24</t>
  </si>
  <si>
    <t xml:space="preserve">CS-SAM-COT25</t>
  </si>
  <si>
    <t xml:space="preserve">CS-SAM-COT26</t>
  </si>
  <si>
    <t xml:space="preserve">txn_id</t>
  </si>
  <si>
    <t xml:space="preserve">txn_date</t>
  </si>
  <si>
    <t xml:space="preserve">cash_date</t>
  </si>
  <si>
    <t xml:space="preserve">expected_cash_date</t>
  </si>
  <si>
    <t xml:space="preserve">statement_line</t>
  </si>
  <si>
    <t xml:space="preserve">quantity</t>
  </si>
  <si>
    <t xml:space="preserve">unit</t>
  </si>
  <si>
    <t xml:space="preserve">unit_price</t>
  </si>
  <si>
    <t xml:space="preserve">cash_effect</t>
  </si>
  <si>
    <t xml:space="preserve">payment_method</t>
  </si>
  <si>
    <t xml:space="preserve">invoice_id</t>
  </si>
  <si>
    <t xml:space="preserve">bill_id</t>
  </si>
  <si>
    <t xml:space="preserve">due_date</t>
  </si>
  <si>
    <t xml:space="preserve">asset_id</t>
  </si>
  <si>
    <t xml:space="preserve">loan_id</t>
  </si>
  <si>
    <t xml:space="preserve">animal_id</t>
  </si>
  <si>
    <t xml:space="preserve">txn_year (formula)</t>
  </si>
  <si>
    <t xml:space="preserve">TXN-SAM-000001</t>
  </si>
  <si>
    <t xml:space="preserve">Prior period (opening balance item)</t>
  </si>
  <si>
    <t xml:space="preserve">2022 cotton - pool payment (37,920 lb lint @ $0.790)</t>
  </si>
  <si>
    <t xml:space="preserve">ACH</t>
  </si>
  <si>
    <t xml:space="preserve">POOL-SAM-2022</t>
  </si>
  <si>
    <t xml:space="preserve">TXN-SAM-000002</t>
  </si>
  <si>
    <t xml:space="preserve">TXN-SAM-000003</t>
  </si>
  <si>
    <t xml:space="preserve">TXN-SAM-000004</t>
  </si>
  <si>
    <t xml:space="preserve">TXN-SAM-000005</t>
  </si>
  <si>
    <t xml:space="preserve">Bulk diesel delivery Dec 2022</t>
  </si>
  <si>
    <t xml:space="preserve">Vendor account</t>
  </si>
  <si>
    <t xml:space="preserve">BILL-SAM-00001</t>
  </si>
  <si>
    <t xml:space="preserve">TXN-SAM-000006</t>
  </si>
  <si>
    <t xml:space="preserve">2022 Carson Co. TX property tax</t>
  </si>
  <si>
    <t xml:space="preserve">VEN-SAM-015</t>
  </si>
  <si>
    <t xml:space="preserve">TXN-SAM-000007</t>
  </si>
  <si>
    <t xml:space="preserve">2022 KS property tax - 2nd half (due May 10)</t>
  </si>
  <si>
    <t xml:space="preserve">TXN-SAM-000008</t>
  </si>
  <si>
    <t xml:space="preserve">Current</t>
  </si>
  <si>
    <t xml:space="preserve">Owner distributions / family living</t>
  </si>
  <si>
    <t xml:space="preserve">CASHBS</t>
  </si>
  <si>
    <t xml:space="preserve">Owner</t>
  </si>
  <si>
    <t xml:space="preserve">Transfer</t>
  </si>
  <si>
    <t xml:space="preserve">TXN-SAM-000009</t>
  </si>
  <si>
    <t xml:space="preserve">Credit card</t>
  </si>
  <si>
    <t xml:space="preserve">TXN-SAM-000010</t>
  </si>
  <si>
    <t xml:space="preserve">Interest - LN-SAM-005 payment 19/60</t>
  </si>
  <si>
    <t xml:space="preserve">VEN-SAM-010</t>
  </si>
  <si>
    <t xml:space="preserve">LN-SAM-005</t>
  </si>
  <si>
    <t xml:space="preserve">TXN-SAM-000011</t>
  </si>
  <si>
    <t xml:space="preserve">Term loan principal payments</t>
  </si>
  <si>
    <t xml:space="preserve">Financing</t>
  </si>
  <si>
    <t xml:space="preserve">Principal - LN-SAM-005 payment 19/60</t>
  </si>
  <si>
    <t xml:space="preserve">TXN-SAM-000012</t>
  </si>
  <si>
    <t xml:space="preserve">Auto-draft</t>
  </si>
  <si>
    <t xml:space="preserve">TXN-SAM-000013</t>
  </si>
  <si>
    <t xml:space="preserve">Interest - LN-SAM-002 payment 1/7</t>
  </si>
  <si>
    <t xml:space="preserve">VEN-SAM-008</t>
  </si>
  <si>
    <t xml:space="preserve">LN-SAM-002</t>
  </si>
  <si>
    <t xml:space="preserve">TXN-SAM-000014</t>
  </si>
  <si>
    <t xml:space="preserve">Principal - LN-SAM-002 payment 1/7</t>
  </si>
  <si>
    <t xml:space="preserve">TXN-SAM-000015</t>
  </si>
  <si>
    <t xml:space="preserve">Line transfer</t>
  </si>
  <si>
    <t xml:space="preserve">LOC-SAM-001</t>
  </si>
  <si>
    <t xml:space="preserve">TXN-SAM-000016</t>
  </si>
  <si>
    <t xml:space="preserve">8042</t>
  </si>
  <si>
    <t xml:space="preserve">Owner estimated income-tax payments</t>
  </si>
  <si>
    <t xml:space="preserve">Owner estimated income-tax payment</t>
  </si>
  <si>
    <t xml:space="preserve">EFTPS</t>
  </si>
  <si>
    <t xml:space="preserve">TXN-SAM-000017</t>
  </si>
  <si>
    <t xml:space="preserve">Commercial auto (trucks) + custom-harvest liability</t>
  </si>
  <si>
    <t xml:space="preserve">VEN-SAM-012</t>
  </si>
  <si>
    <t xml:space="preserve">TXN-SAM-000018</t>
  </si>
  <si>
    <t xml:space="preserve">Farm package: inland marine (machinery), buildings, liability</t>
  </si>
  <si>
    <t xml:space="preserve">TXN-SAM-000019</t>
  </si>
  <si>
    <t xml:space="preserve">TXN-SAM-000020</t>
  </si>
  <si>
    <t xml:space="preserve">2022 soybeans from bin - 3,800 bu @ $14.38</t>
  </si>
  <si>
    <t xml:space="preserve">bu</t>
  </si>
  <si>
    <t xml:space="preserve">TXN-SAM-000021</t>
  </si>
  <si>
    <t xml:space="preserve">Shred stalks (96 ac)</t>
  </si>
  <si>
    <t xml:space="preserve">ac</t>
  </si>
  <si>
    <t xml:space="preserve">BILL-SAM-00117</t>
  </si>
  <si>
    <t xml:space="preserve">TXN-SAM-000022</t>
  </si>
  <si>
    <t xml:space="preserve">Truck registration, IFTA, DOT</t>
  </si>
  <si>
    <t xml:space="preserve">VEN-SAM-021</t>
  </si>
  <si>
    <t xml:space="preserve">TXN-SAM-000023</t>
  </si>
  <si>
    <t xml:space="preserve">TXN-SAM-000024</t>
  </si>
  <si>
    <t xml:space="preserve">Operating line interest (8.50%)</t>
  </si>
  <si>
    <t xml:space="preserve">TXN-SAM-000025</t>
  </si>
  <si>
    <t xml:space="preserve">TXN-SAM-000026</t>
  </si>
  <si>
    <t xml:space="preserve">TXN-SAM-000027</t>
  </si>
  <si>
    <t xml:space="preserve">TXN-SAM-000028</t>
  </si>
  <si>
    <t xml:space="preserve">Interest - LN-SAM-005 payment 20/60</t>
  </si>
  <si>
    <t xml:space="preserve">TXN-SAM-000029</t>
  </si>
  <si>
    <t xml:space="preserve">Principal - LN-SAM-005 payment 20/60</t>
  </si>
  <si>
    <t xml:space="preserve">TXN-SAM-000030</t>
  </si>
  <si>
    <t xml:space="preserve">TXN-SAM-000031</t>
  </si>
  <si>
    <t xml:space="preserve">TXN-SAM-000032</t>
  </si>
  <si>
    <t xml:space="preserve">Accounting, tax return &amp; payroll filings</t>
  </si>
  <si>
    <t xml:space="preserve">VEN-SAM-019</t>
  </si>
  <si>
    <t xml:space="preserve">TXN-SAM-000033</t>
  </si>
  <si>
    <t xml:space="preserve">Operating line interest (8.75%)</t>
  </si>
  <si>
    <t xml:space="preserve">TXN-SAM-000034</t>
  </si>
  <si>
    <t xml:space="preserve">TXN-SAM-000035</t>
  </si>
  <si>
    <t xml:space="preserve">Topdress N (UAN 80 lb) - custom applied</t>
  </si>
  <si>
    <t xml:space="preserve">BILL-SAM-00002</t>
  </si>
  <si>
    <t xml:space="preserve">TXN-SAM-000036</t>
  </si>
  <si>
    <t xml:space="preserve">Disk &amp; list beds (96 ac)</t>
  </si>
  <si>
    <t xml:space="preserve">BILL-SAM-00118</t>
  </si>
  <si>
    <t xml:space="preserve">TXN-SAM-000037</t>
  </si>
  <si>
    <t xml:space="preserve">TXN-SAM-000038</t>
  </si>
  <si>
    <t xml:space="preserve">Interest - LN-SAM-005 payment 21/60</t>
  </si>
  <si>
    <t xml:space="preserve">TXN-SAM-000039</t>
  </si>
  <si>
    <t xml:space="preserve">Principal - LN-SAM-005 payment 21/60</t>
  </si>
  <si>
    <t xml:space="preserve">TXN-SAM-000040</t>
  </si>
  <si>
    <t xml:space="preserve">TXN-SAM-000041</t>
  </si>
  <si>
    <t xml:space="preserve">BILL-SAM-00244</t>
  </si>
  <si>
    <t xml:space="preserve">TXN-SAM-000042</t>
  </si>
  <si>
    <t xml:space="preserve">Crop insurance premium - wheat RP 75%</t>
  </si>
  <si>
    <t xml:space="preserve">VEN-SAM-011</t>
  </si>
  <si>
    <t xml:space="preserve">TXN-SAM-000043</t>
  </si>
  <si>
    <t xml:space="preserve">Crop insurance - Corn RP 75%</t>
  </si>
  <si>
    <t xml:space="preserve">TXN-SAM-000044</t>
  </si>
  <si>
    <t xml:space="preserve">TXN-SAM-000045</t>
  </si>
  <si>
    <t xml:space="preserve">TXN-SAM-000046</t>
  </si>
  <si>
    <t xml:space="preserve">TXN-SAM-000047</t>
  </si>
  <si>
    <t xml:space="preserve">Wheat herbicide (spring)</t>
  </si>
  <si>
    <t xml:space="preserve">BILL-SAM-00003</t>
  </si>
  <si>
    <t xml:space="preserve">TXN-SAM-000048</t>
  </si>
  <si>
    <t xml:space="preserve">P&amp;K blend (custom spread)</t>
  </si>
  <si>
    <t xml:space="preserve">BILL-SAM-00015</t>
  </si>
  <si>
    <t xml:space="preserve">TXN-SAM-000049</t>
  </si>
  <si>
    <t xml:space="preserve">Operating line interest (9.00%)</t>
  </si>
  <si>
    <t xml:space="preserve">TXN-SAM-000050</t>
  </si>
  <si>
    <t xml:space="preserve">TXN-SAM-000051</t>
  </si>
  <si>
    <t xml:space="preserve">Anhydrous (220 lb N) - pivot corn, prepaid Dec-2022</t>
  </si>
  <si>
    <t xml:space="preserve">TXN-SAM-000052</t>
  </si>
  <si>
    <t xml:space="preserve">BILL-SAM-00008</t>
  </si>
  <si>
    <t xml:space="preserve">TXN-SAM-000053</t>
  </si>
  <si>
    <t xml:space="preserve">TXN-SAM-000054</t>
  </si>
  <si>
    <t xml:space="preserve">Seed corn - pivot, prepaid Dec-2022 (early-pay discount)</t>
  </si>
  <si>
    <t xml:space="preserve">TXN-SAM-000055</t>
  </si>
  <si>
    <t xml:space="preserve">Interest - LN-SAM-005 payment 22/60</t>
  </si>
  <si>
    <t xml:space="preserve">TXN-SAM-000056</t>
  </si>
  <si>
    <t xml:space="preserve">Principal - LN-SAM-005 payment 22/60</t>
  </si>
  <si>
    <t xml:space="preserve">TXN-SAM-000057</t>
  </si>
  <si>
    <t xml:space="preserve">TXN-SAM-000058</t>
  </si>
  <si>
    <t xml:space="preserve">N fertilizer 110 lb/ac</t>
  </si>
  <si>
    <t xml:space="preserve">BILL-SAM-00007</t>
  </si>
  <si>
    <t xml:space="preserve">TXN-SAM-000059</t>
  </si>
  <si>
    <t xml:space="preserve">TXN-SAM-000060</t>
  </si>
  <si>
    <t xml:space="preserve">Preplant herbicide (product) (96 ac)</t>
  </si>
  <si>
    <t xml:space="preserve">BILL-SAM-00120</t>
  </si>
  <si>
    <t xml:space="preserve">TXN-SAM-000061</t>
  </si>
  <si>
    <t xml:space="preserve">Preplant herbicide application (96 ac)</t>
  </si>
  <si>
    <t xml:space="preserve">BILL-SAM-00119</t>
  </si>
  <si>
    <t xml:space="preserve">TXN-SAM-000062</t>
  </si>
  <si>
    <t xml:space="preserve">Corn seed 80 ac</t>
  </si>
  <si>
    <t xml:space="preserve">BILL-SAM-00006</t>
  </si>
  <si>
    <t xml:space="preserve">TXN-SAM-000063</t>
  </si>
  <si>
    <t xml:space="preserve">TXN-SAM-000064</t>
  </si>
  <si>
    <t xml:space="preserve">Diesel - tillage/planting/spraying Corn</t>
  </si>
  <si>
    <t xml:space="preserve">BILL-SAM-00019</t>
  </si>
  <si>
    <t xml:space="preserve">TXN-SAM-000065</t>
  </si>
  <si>
    <t xml:space="preserve">Pre-emerge herbicide</t>
  </si>
  <si>
    <t xml:space="preserve">BILL-SAM-00016</t>
  </si>
  <si>
    <t xml:space="preserve">TXN-SAM-000066</t>
  </si>
  <si>
    <t xml:space="preserve">KS Farm Bureau, Kansas Wheat, Corn Growers dues</t>
  </si>
  <si>
    <t xml:space="preserve">TXN-SAM-000067</t>
  </si>
  <si>
    <t xml:space="preserve">BILL-SAM-00011</t>
  </si>
  <si>
    <t xml:space="preserve">TXN-SAM-000068</t>
  </si>
  <si>
    <t xml:space="preserve">Fertilizer 40-20-0 + custom app (96 ac)</t>
  </si>
  <si>
    <t xml:space="preserve">BILL-SAM-00121</t>
  </si>
  <si>
    <t xml:space="preserve">TXN-SAM-000069</t>
  </si>
  <si>
    <t xml:space="preserve">TXN-SAM-000070</t>
  </si>
  <si>
    <t xml:space="preserve">BILL-SAM-00009</t>
  </si>
  <si>
    <t xml:space="preserve">TXN-SAM-000071</t>
  </si>
  <si>
    <t xml:space="preserve">TXN-SAM-000072</t>
  </si>
  <si>
    <t xml:space="preserve">TXN-SAM-000073</t>
  </si>
  <si>
    <t xml:space="preserve">TXN-SAM-000074</t>
  </si>
  <si>
    <t xml:space="preserve">TXN-SAM-000075</t>
  </si>
  <si>
    <t xml:space="preserve">Interest - LN-SAM-005 payment 23/60</t>
  </si>
  <si>
    <t xml:space="preserve">TXN-SAM-000076</t>
  </si>
  <si>
    <t xml:space="preserve">Principal - LN-SAM-005 payment 23/60</t>
  </si>
  <si>
    <t xml:space="preserve">TXN-SAM-000077</t>
  </si>
  <si>
    <t xml:space="preserve">Seasonal hand/truck driver (57 h) - custom 60%</t>
  </si>
  <si>
    <t xml:space="preserve">TXN-SAM-000078</t>
  </si>
  <si>
    <t xml:space="preserve">TXN-SAM-000079</t>
  </si>
  <si>
    <t xml:space="preserve">TXN-SAM-000080</t>
  </si>
  <si>
    <t xml:space="preserve">TXN-SAM-000081</t>
  </si>
  <si>
    <t xml:space="preserve">TXN-SAM-000082</t>
  </si>
  <si>
    <t xml:space="preserve">Cottonseed (B3XF) + tech fee (96 ac)</t>
  </si>
  <si>
    <t xml:space="preserve">BILL-SAM-00123</t>
  </si>
  <si>
    <t xml:space="preserve">TXN-SAM-000083</t>
  </si>
  <si>
    <t xml:space="preserve">Custom planting (96 ac)</t>
  </si>
  <si>
    <t xml:space="preserve">BILL-SAM-00122</t>
  </si>
  <si>
    <t xml:space="preserve">TXN-SAM-000084</t>
  </si>
  <si>
    <t xml:space="preserve">Pre-emerge herbicide (96 ac)</t>
  </si>
  <si>
    <t xml:space="preserve">BILL-SAM-00124</t>
  </si>
  <si>
    <t xml:space="preserve">TXN-SAM-000085</t>
  </si>
  <si>
    <t xml:space="preserve">Seasonal hand/truck driver (59 h) - custom 60%</t>
  </si>
  <si>
    <t xml:space="preserve">TXN-SAM-000086</t>
  </si>
  <si>
    <t xml:space="preserve">TXN-SAM-000087</t>
  </si>
  <si>
    <t xml:space="preserve">TXN-SAM-000088</t>
  </si>
  <si>
    <t xml:space="preserve">TXN-SAM-000089</t>
  </si>
  <si>
    <t xml:space="preserve">TXN-SAM-000090</t>
  </si>
  <si>
    <t xml:space="preserve">Post-emerge herbicide</t>
  </si>
  <si>
    <t xml:space="preserve">BILL-SAM-00017</t>
  </si>
  <si>
    <t xml:space="preserve">TXN-SAM-000091</t>
  </si>
  <si>
    <t xml:space="preserve">Operating line interest (9.25%)</t>
  </si>
  <si>
    <t xml:space="preserve">TXN-SAM-000092</t>
  </si>
  <si>
    <t xml:space="preserve">TXN-SAM-000093</t>
  </si>
  <si>
    <t xml:space="preserve">TXN-SAM-000094</t>
  </si>
  <si>
    <t xml:space="preserve">BILL-SAM-00010</t>
  </si>
  <si>
    <t xml:space="preserve">TXN-SAM-000095</t>
  </si>
  <si>
    <t xml:space="preserve">Pre-season combine service, sieves, belts, knife sections (wheat)</t>
  </si>
  <si>
    <t xml:space="preserve">BILL-SAM-00191</t>
  </si>
  <si>
    <t xml:space="preserve">AST-SAM-004</t>
  </si>
  <si>
    <t xml:space="preserve">TXN-SAM-000096</t>
  </si>
  <si>
    <t xml:space="preserve">TXN-SAM-000097</t>
  </si>
  <si>
    <t xml:space="preserve">Seasonal hand/truck driver (62 h) - custom 60%</t>
  </si>
  <si>
    <t xml:space="preserve">TXN-SAM-000098</t>
  </si>
  <si>
    <t xml:space="preserve">TXN-SAM-000099</t>
  </si>
  <si>
    <t xml:space="preserve">TXN-SAM-000100</t>
  </si>
  <si>
    <t xml:space="preserve">Interest - LN-SAM-005 payment 24/60</t>
  </si>
  <si>
    <t xml:space="preserve">TXN-SAM-000101</t>
  </si>
  <si>
    <t xml:space="preserve">Principal - LN-SAM-005 payment 24/60</t>
  </si>
  <si>
    <t xml:space="preserve">TXN-SAM-000102</t>
  </si>
  <si>
    <t xml:space="preserve">Header trailer/lowboy moves &amp; permits (wheat run)</t>
  </si>
  <si>
    <t xml:space="preserve">TXN-SAM-000103</t>
  </si>
  <si>
    <t xml:space="preserve">TXN-SAM-000104</t>
  </si>
  <si>
    <t xml:space="preserve">TXN-SAM-000105</t>
  </si>
  <si>
    <t xml:space="preserve">Irrigation pumping power (3.8 in)</t>
  </si>
  <si>
    <t xml:space="preserve">BILL-SAM-00020</t>
  </si>
  <si>
    <t xml:space="preserve">TXN-SAM-000106</t>
  </si>
  <si>
    <t xml:space="preserve">TXN-SAM-000107</t>
  </si>
  <si>
    <t xml:space="preserve">Seasonal hand/truck driver (111 h) - custom 60%</t>
  </si>
  <si>
    <t xml:space="preserve">TXN-SAM-000108</t>
  </si>
  <si>
    <t xml:space="preserve">TXN-SAM-000109</t>
  </si>
  <si>
    <t xml:space="preserve">TXN-SAM-000110</t>
  </si>
  <si>
    <t xml:space="preserve">Post herbicide #1 (96 ac)</t>
  </si>
  <si>
    <t xml:space="preserve">BILL-SAM-00126</t>
  </si>
  <si>
    <t xml:space="preserve">TXN-SAM-000111</t>
  </si>
  <si>
    <t xml:space="preserve">Post spray #1 application (96 ac)</t>
  </si>
  <si>
    <t xml:space="preserve">BILL-SAM-00125</t>
  </si>
  <si>
    <t xml:space="preserve">TXN-SAM-000112</t>
  </si>
  <si>
    <t xml:space="preserve">Custom combining wheat 153 ac @ $38/ac - Dale &amp; Jo Unruh</t>
  </si>
  <si>
    <t xml:space="preserve">INV-SAM-00035</t>
  </si>
  <si>
    <t xml:space="preserve">TXN-SAM-000113</t>
  </si>
  <si>
    <t xml:space="preserve">Custom hauling 2,693 bu @ $0.17/bu - Dale &amp; Jo Unruh</t>
  </si>
  <si>
    <t xml:space="preserve">TXN-SAM-000114</t>
  </si>
  <si>
    <t xml:space="preserve">Custom combining wheat 152 ac @ $38/ac - Gail Schrag</t>
  </si>
  <si>
    <t xml:space="preserve">INV-SAM-00032</t>
  </si>
  <si>
    <t xml:space="preserve">TXN-SAM-000115</t>
  </si>
  <si>
    <t xml:space="preserve">Custom hauling 2,675 bu @ $0.17/bu - Gail Schrag</t>
  </si>
  <si>
    <t xml:space="preserve">TXN-SAM-000116</t>
  </si>
  <si>
    <t xml:space="preserve">TXN-SAM-000117</t>
  </si>
  <si>
    <t xml:space="preserve">Diesel - harvest &amp; hauling Wheat</t>
  </si>
  <si>
    <t xml:space="preserve">BILL-SAM-00004</t>
  </si>
  <si>
    <t xml:space="preserve">TXN-SAM-000118</t>
  </si>
  <si>
    <t xml:space="preserve">Custom combining wheat 201 ac @ $38/ac - Lindquist Family Farms</t>
  </si>
  <si>
    <t xml:space="preserve">INV-SAM-00033</t>
  </si>
  <si>
    <t xml:space="preserve">TXN-SAM-000119</t>
  </si>
  <si>
    <t xml:space="preserve">Custom hauling 3,538 bu @ $0.17/bu - Lindquist Family Farms</t>
  </si>
  <si>
    <t xml:space="preserve">TXN-SAM-000120</t>
  </si>
  <si>
    <t xml:space="preserve">Custom combining wheat 199 ac @ $38/ac - Rudd Brothers Partnership</t>
  </si>
  <si>
    <t xml:space="preserve">INV-SAM-00031</t>
  </si>
  <si>
    <t xml:space="preserve">TXN-SAM-000121</t>
  </si>
  <si>
    <t xml:space="preserve">Custom hauling 3,502 bu @ $0.17/bu - Rudd Brothers Partnership</t>
  </si>
  <si>
    <t xml:space="preserve">TXN-SAM-000122</t>
  </si>
  <si>
    <t xml:space="preserve">Wheat (2023 crop) 1,488 bu @ $7.94 at harvest</t>
  </si>
  <si>
    <t xml:space="preserve">INV-SAM-00001</t>
  </si>
  <si>
    <t xml:space="preserve">TXN-SAM-000123</t>
  </si>
  <si>
    <t xml:space="preserve">Custom combining wheat 108 ac @ $38/ac - Smoky Hill Farms LLC</t>
  </si>
  <si>
    <t xml:space="preserve">INV-SAM-00036</t>
  </si>
  <si>
    <t xml:space="preserve">TXN-SAM-000124</t>
  </si>
  <si>
    <t xml:space="preserve">Custom hauling 1,901 bu @ $0.17/bu - Smoky Hill Farms LLC</t>
  </si>
  <si>
    <t xml:space="preserve">TXN-SAM-000125</t>
  </si>
  <si>
    <t xml:space="preserve">Custom combining wheat 418 ac @ $38/ac - Heartland Land &amp; Cattle</t>
  </si>
  <si>
    <t xml:space="preserve">INV-SAM-00029</t>
  </si>
  <si>
    <t xml:space="preserve">TXN-SAM-000126</t>
  </si>
  <si>
    <t xml:space="preserve">Custom hauling 7,357 bu @ $0.17/bu - Heartland Land &amp; Cattle</t>
  </si>
  <si>
    <t xml:space="preserve">TXN-SAM-000127</t>
  </si>
  <si>
    <t xml:space="preserve">TXN-SAM-000128</t>
  </si>
  <si>
    <t xml:space="preserve">TXN-SAM-000129</t>
  </si>
  <si>
    <t xml:space="preserve">Machinery repairs/parts allocated - Wheat</t>
  </si>
  <si>
    <t xml:space="preserve">BILL-SAM-00005</t>
  </si>
  <si>
    <t xml:space="preserve">TXN-SAM-000130</t>
  </si>
  <si>
    <t xml:space="preserve">Custom combining wheat 245 ac @ $38/ac - Ostrander Farms</t>
  </si>
  <si>
    <t xml:space="preserve">CUS-SAM-102</t>
  </si>
  <si>
    <t xml:space="preserve">INV-SAM-00030</t>
  </si>
  <si>
    <t xml:space="preserve">TXN-SAM-000131</t>
  </si>
  <si>
    <t xml:space="preserve">Custom hauling 4,312 bu @ $0.17/bu - Ostrander Farms</t>
  </si>
  <si>
    <t xml:space="preserve">TXN-SAM-000132</t>
  </si>
  <si>
    <t xml:space="preserve">Custom combining wheat 146 ac @ $38/ac - Prairie Rose Dairy</t>
  </si>
  <si>
    <t xml:space="preserve">CUS-SAM-106</t>
  </si>
  <si>
    <t xml:space="preserve">INV-SAM-00034</t>
  </si>
  <si>
    <t xml:space="preserve">TXN-SAM-000133</t>
  </si>
  <si>
    <t xml:space="preserve">Custom hauling 2,570 bu @ $0.17/bu - Prairie Rose Dairy</t>
  </si>
  <si>
    <t xml:space="preserve">TXN-SAM-000134</t>
  </si>
  <si>
    <t xml:space="preserve">TXN-SAM-000135</t>
  </si>
  <si>
    <t xml:space="preserve">Diesel - custom combining wheat (1,640 ac)</t>
  </si>
  <si>
    <t xml:space="preserve">BILL-SAM-00189</t>
  </si>
  <si>
    <t xml:space="preserve">TXN-SAM-000136</t>
  </si>
  <si>
    <t xml:space="preserve">Truck diesel - custom hauling (wheat)</t>
  </si>
  <si>
    <t xml:space="preserve">BILL-SAM-00190</t>
  </si>
  <si>
    <t xml:space="preserve">TXN-SAM-000137</t>
  </si>
  <si>
    <t xml:space="preserve">TXN-SAM-000138</t>
  </si>
  <si>
    <t xml:space="preserve">TXN-SAM-000139</t>
  </si>
  <si>
    <t xml:space="preserve">TXN-SAM-000140</t>
  </si>
  <si>
    <t xml:space="preserve">TXN-SAM-000141</t>
  </si>
  <si>
    <t xml:space="preserve">Interest - LN-SAM-005 payment 25/60</t>
  </si>
  <si>
    <t xml:space="preserve">TXN-SAM-000142</t>
  </si>
  <si>
    <t xml:space="preserve">Principal - LN-SAM-005 payment 25/60</t>
  </si>
  <si>
    <t xml:space="preserve">TXN-SAM-000143</t>
  </si>
  <si>
    <t xml:space="preserve">TXN-SAM-000144</t>
  </si>
  <si>
    <t xml:space="preserve">Irrigation pumping power (6.8 in)</t>
  </si>
  <si>
    <t xml:space="preserve">BILL-SAM-00021</t>
  </si>
  <si>
    <t xml:space="preserve">TXN-SAM-000145</t>
  </si>
  <si>
    <t xml:space="preserve">Seasonal hand/truck driver (52 h) - custom 60%</t>
  </si>
  <si>
    <t xml:space="preserve">TXN-SAM-000146</t>
  </si>
  <si>
    <t xml:space="preserve">TXN-SAM-000147</t>
  </si>
  <si>
    <t xml:space="preserve">TXN-SAM-000148</t>
  </si>
  <si>
    <t xml:space="preserve">Fungicide/insecticide (VT/R3)</t>
  </si>
  <si>
    <t xml:space="preserve">BILL-SAM-00018</t>
  </si>
  <si>
    <t xml:space="preserve">TXN-SAM-000149</t>
  </si>
  <si>
    <t xml:space="preserve">TXN-SAM-000150</t>
  </si>
  <si>
    <t xml:space="preserve">Operating line interest (9.50%)</t>
  </si>
  <si>
    <t xml:space="preserve">TXN-SAM-000151</t>
  </si>
  <si>
    <t xml:space="preserve">TXN-SAM-000152</t>
  </si>
  <si>
    <t xml:space="preserve">TXN-SAM-000153</t>
  </si>
  <si>
    <t xml:space="preserve">TXN-SAM-000154</t>
  </si>
  <si>
    <t xml:space="preserve">TXN-SAM-000155</t>
  </si>
  <si>
    <t xml:space="preserve">TXN-SAM-000156</t>
  </si>
  <si>
    <t xml:space="preserve">TXN-SAM-000157</t>
  </si>
  <si>
    <t xml:space="preserve">Interest - LN-SAM-005 payment 26/60</t>
  </si>
  <si>
    <t xml:space="preserve">TXN-SAM-000158</t>
  </si>
  <si>
    <t xml:space="preserve">Principal - LN-SAM-005 payment 26/60</t>
  </si>
  <si>
    <t xml:space="preserve">TXN-SAM-000159</t>
  </si>
  <si>
    <t xml:space="preserve">TXN-SAM-000160</t>
  </si>
  <si>
    <t xml:space="preserve">Crop insurance premium - cotton RP 70% EU (96 ac)</t>
  </si>
  <si>
    <t xml:space="preserve">TXN-SAM-000161</t>
  </si>
  <si>
    <t xml:space="preserve">TXN-SAM-000162</t>
  </si>
  <si>
    <t xml:space="preserve">TXN-SAM-000163</t>
  </si>
  <si>
    <t xml:space="preserve">Irrigation pumping power (4.5 in)</t>
  </si>
  <si>
    <t xml:space="preserve">BILL-SAM-00022</t>
  </si>
  <si>
    <t xml:space="preserve">TXN-SAM-000164</t>
  </si>
  <si>
    <t xml:space="preserve">TXN-SAM-000165</t>
  </si>
  <si>
    <t xml:space="preserve">Combine repair - Rotor bearings &amp; chopper knives (custom share 88% by separator hrs)</t>
  </si>
  <si>
    <t xml:space="preserve">BILL-SAM-00234</t>
  </si>
  <si>
    <t xml:space="preserve">TXN-SAM-000166</t>
  </si>
  <si>
    <t xml:space="preserve">Combine repair - Rotor bearings &amp; chopper knives (own-crop share 12%)</t>
  </si>
  <si>
    <t xml:space="preserve">BILL-SAM-00235</t>
  </si>
  <si>
    <t xml:space="preserve">TXN-SAM-000167</t>
  </si>
  <si>
    <t xml:space="preserve">TXN-SAM-000168</t>
  </si>
  <si>
    <t xml:space="preserve">TXN-SAM-000169</t>
  </si>
  <si>
    <t xml:space="preserve">TXN-SAM-000170</t>
  </si>
  <si>
    <t xml:space="preserve">TXN-SAM-000171</t>
  </si>
  <si>
    <t xml:space="preserve">TXN-SAM-000172</t>
  </si>
  <si>
    <t xml:space="preserve">TXN-SAM-000173</t>
  </si>
  <si>
    <t xml:space="preserve">TXN-SAM-000174</t>
  </si>
  <si>
    <t xml:space="preserve">BILL-SAM-00197</t>
  </si>
  <si>
    <t xml:space="preserve">TXN-SAM-000175</t>
  </si>
  <si>
    <t xml:space="preserve">TXN-SAM-000176</t>
  </si>
  <si>
    <t xml:space="preserve">RP indemnity - 2023 wheat (31 bu vs 34.5 bu guarantee @ projected $8.80)</t>
  </si>
  <si>
    <t xml:space="preserve">TXN-SAM-000177</t>
  </si>
  <si>
    <t xml:space="preserve">TXN-SAM-000178</t>
  </si>
  <si>
    <t xml:space="preserve">Interest - LN-SAM-005 payment 27/60</t>
  </si>
  <si>
    <t xml:space="preserve">TXN-SAM-000179</t>
  </si>
  <si>
    <t xml:space="preserve">Principal - LN-SAM-005 payment 27/60</t>
  </si>
  <si>
    <t xml:space="preserve">TXN-SAM-000180</t>
  </si>
  <si>
    <t xml:space="preserve">TXN-SAM-000181</t>
  </si>
  <si>
    <t xml:space="preserve">BILL-SAM-00012</t>
  </si>
  <si>
    <t xml:space="preserve">TXN-SAM-000182</t>
  </si>
  <si>
    <t xml:space="preserve">Seasonal hand/truck driver (119 h) - custom 60%</t>
  </si>
  <si>
    <t xml:space="preserve">TXN-SAM-000183</t>
  </si>
  <si>
    <t xml:space="preserve">TXN-SAM-000184</t>
  </si>
  <si>
    <t xml:space="preserve">TXN-SAM-000185</t>
  </si>
  <si>
    <t xml:space="preserve">TXN-SAM-000186</t>
  </si>
  <si>
    <t xml:space="preserve">BILL-SAM-00194</t>
  </si>
  <si>
    <t xml:space="preserve">TXN-SAM-000187</t>
  </si>
  <si>
    <t xml:space="preserve">Corn (2023 crop) 5,920 bu @ $4.72 at harvest</t>
  </si>
  <si>
    <t xml:space="preserve">INV-SAM-00003</t>
  </si>
  <si>
    <t xml:space="preserve">TXN-SAM-000188</t>
  </si>
  <si>
    <t xml:space="preserve">BILL-SAM-00013</t>
  </si>
  <si>
    <t xml:space="preserve">TXN-SAM-000189</t>
  </si>
  <si>
    <t xml:space="preserve">TXN-SAM-000190</t>
  </si>
  <si>
    <t xml:space="preserve">TXN-SAM-000191</t>
  </si>
  <si>
    <t xml:space="preserve">Seasonal hand/truck driver (110 h) - custom 60%</t>
  </si>
  <si>
    <t xml:space="preserve">TXN-SAM-000192</t>
  </si>
  <si>
    <t xml:space="preserve">TXN-SAM-000193</t>
  </si>
  <si>
    <t xml:space="preserve">TXN-SAM-000194</t>
  </si>
  <si>
    <t xml:space="preserve">Boll weevil eradication assessment (96 ac)</t>
  </si>
  <si>
    <t xml:space="preserve">VEN-SAM-018</t>
  </si>
  <si>
    <t xml:space="preserve">TXN-SAM-000195</t>
  </si>
  <si>
    <t xml:space="preserve">TXN-SAM-000196</t>
  </si>
  <si>
    <t xml:space="preserve">TXN-SAM-000197</t>
  </si>
  <si>
    <t xml:space="preserve">BILL-SAM-00026</t>
  </si>
  <si>
    <t xml:space="preserve">TXN-SAM-000198</t>
  </si>
  <si>
    <t xml:space="preserve">BILL-SAM-00027</t>
  </si>
  <si>
    <t xml:space="preserve">TXN-SAM-000199</t>
  </si>
  <si>
    <t xml:space="preserve">BILL-SAM-00028</t>
  </si>
  <si>
    <t xml:space="preserve">TXN-SAM-000200</t>
  </si>
  <si>
    <t xml:space="preserve">Drying propane &amp; electricity (5,920 bu)</t>
  </si>
  <si>
    <t xml:space="preserve">BILL-SAM-00014</t>
  </si>
  <si>
    <t xml:space="preserve">TXN-SAM-000201</t>
  </si>
  <si>
    <t xml:space="preserve">Custom combining corn 177 ac @ $43/ac - Ostrander Farms</t>
  </si>
  <si>
    <t xml:space="preserve">INV-SAM-00046</t>
  </si>
  <si>
    <t xml:space="preserve">TXN-SAM-000202</t>
  </si>
  <si>
    <t xml:space="preserve">Custom hauling 21,904 bu @ $0.17/bu - Ostrander Farms</t>
  </si>
  <si>
    <t xml:space="preserve">TXN-SAM-000203</t>
  </si>
  <si>
    <t xml:space="preserve">Custom combining soybeans 104 ac @ $39/ac - Dale &amp; Jo Unruh</t>
  </si>
  <si>
    <t xml:space="preserve">INV-SAM-00043</t>
  </si>
  <si>
    <t xml:space="preserve">TXN-SAM-000204</t>
  </si>
  <si>
    <t xml:space="preserve">Custom hauling 3,588 bu @ $0.17/bu - Dale &amp; Jo Unruh</t>
  </si>
  <si>
    <t xml:space="preserve">TXN-SAM-000205</t>
  </si>
  <si>
    <t xml:space="preserve">TXN-SAM-000206</t>
  </si>
  <si>
    <t xml:space="preserve">BILL-SAM-00023</t>
  </si>
  <si>
    <t xml:space="preserve">TXN-SAM-000207</t>
  </si>
  <si>
    <t xml:space="preserve">Custom combining soybeans 156 ac @ $39/ac - Lindquist Family Farms</t>
  </si>
  <si>
    <t xml:space="preserve">INV-SAM-00041</t>
  </si>
  <si>
    <t xml:space="preserve">TXN-SAM-000208</t>
  </si>
  <si>
    <t xml:space="preserve">Custom hauling 5,382 bu @ $0.17/bu - Lindquist Family Farms</t>
  </si>
  <si>
    <t xml:space="preserve">TXN-SAM-000209</t>
  </si>
  <si>
    <t xml:space="preserve">Interest - LN-SAM-005 payment 28/60</t>
  </si>
  <si>
    <t xml:space="preserve">TXN-SAM-000210</t>
  </si>
  <si>
    <t xml:space="preserve">Principal - LN-SAM-005 payment 28/60</t>
  </si>
  <si>
    <t xml:space="preserve">TXN-SAM-000211</t>
  </si>
  <si>
    <t xml:space="preserve">Custom combining corn 105 ac @ $43/ac - Gail Schrag</t>
  </si>
  <si>
    <t xml:space="preserve">INV-SAM-00048</t>
  </si>
  <si>
    <t xml:space="preserve">TXN-SAM-000212</t>
  </si>
  <si>
    <t xml:space="preserve">Custom hauling 12,994 bu @ $0.17/bu - Gail Schrag</t>
  </si>
  <si>
    <t xml:space="preserve">TXN-SAM-000213</t>
  </si>
  <si>
    <t xml:space="preserve">Custom combining corn 100 ac @ $43/ac - Prairie Rose Dairy</t>
  </si>
  <si>
    <t xml:space="preserve">INV-SAM-00050</t>
  </si>
  <si>
    <t xml:space="preserve">TXN-SAM-000214</t>
  </si>
  <si>
    <t xml:space="preserve">Custom hauling 12,375 bu @ $0.17/bu - Prairie Rose Dairy</t>
  </si>
  <si>
    <t xml:space="preserve">TXN-SAM-000215</t>
  </si>
  <si>
    <t xml:space="preserve">Custom combining soybeans 109 ac @ $39/ac - Prairie Rose Dairy</t>
  </si>
  <si>
    <t xml:space="preserve">INV-SAM-00042</t>
  </si>
  <si>
    <t xml:space="preserve">TXN-SAM-000216</t>
  </si>
  <si>
    <t xml:space="preserve">Custom hauling 3,760 bu @ $0.17/bu - Prairie Rose Dairy</t>
  </si>
  <si>
    <t xml:space="preserve">TXN-SAM-000217</t>
  </si>
  <si>
    <t xml:space="preserve">TXN-SAM-000218</t>
  </si>
  <si>
    <t xml:space="preserve">Corn (2023 crop) 10,350 bu @ $4.63 at harvest</t>
  </si>
  <si>
    <t xml:space="preserve">INV-SAM-00004</t>
  </si>
  <si>
    <t xml:space="preserve">TXN-SAM-000219</t>
  </si>
  <si>
    <t xml:space="preserve">Custom combining soybeans 185 ac @ $39/ac - Rudd Brothers Partnership</t>
  </si>
  <si>
    <t xml:space="preserve">INV-SAM-00039</t>
  </si>
  <si>
    <t xml:space="preserve">TXN-SAM-000220</t>
  </si>
  <si>
    <t xml:space="preserve">Custom hauling 6,382 bu @ $0.17/bu - Rudd Brothers Partnership</t>
  </si>
  <si>
    <t xml:space="preserve">TXN-SAM-000221</t>
  </si>
  <si>
    <t xml:space="preserve">Seasonal hand/truck driver (109 h) - custom 60%</t>
  </si>
  <si>
    <t xml:space="preserve">TXN-SAM-000222</t>
  </si>
  <si>
    <t xml:space="preserve">TXN-SAM-000223</t>
  </si>
  <si>
    <t xml:space="preserve">TXN-SAM-000224</t>
  </si>
  <si>
    <t xml:space="preserve">Custom combining corn 147 ac @ $43/ac - Rudd Brothers Partnership</t>
  </si>
  <si>
    <t xml:space="preserve">INV-SAM-00047</t>
  </si>
  <si>
    <t xml:space="preserve">TXN-SAM-000225</t>
  </si>
  <si>
    <t xml:space="preserve">Custom hauling 18,191 bu @ $0.17/bu - Rudd Brothers Partnership</t>
  </si>
  <si>
    <t xml:space="preserve">TXN-SAM-000226</t>
  </si>
  <si>
    <t xml:space="preserve">BILL-SAM-00024</t>
  </si>
  <si>
    <t xml:space="preserve">TXN-SAM-000227</t>
  </si>
  <si>
    <t xml:space="preserve">Wheat (2023 crop) 992 bu @ $6.65 from bin</t>
  </si>
  <si>
    <t xml:space="preserve">INV-SAM-00002</t>
  </si>
  <si>
    <t xml:space="preserve">TXN-SAM-000228</t>
  </si>
  <si>
    <t xml:space="preserve">Custom combining corn 104 ac @ $43/ac - Dale &amp; Jo Unruh</t>
  </si>
  <si>
    <t xml:space="preserve">INV-SAM-00051</t>
  </si>
  <si>
    <t xml:space="preserve">TXN-SAM-000229</t>
  </si>
  <si>
    <t xml:space="preserve">Custom hauling 12,870 bu @ $0.17/bu - Dale &amp; Jo Unruh</t>
  </si>
  <si>
    <t xml:space="preserve">TXN-SAM-000230</t>
  </si>
  <si>
    <t xml:space="preserve">Custom combining soybeans 110 ac @ $39/ac - Gail Schrag</t>
  </si>
  <si>
    <t xml:space="preserve">INV-SAM-00040</t>
  </si>
  <si>
    <t xml:space="preserve">TXN-SAM-000231</t>
  </si>
  <si>
    <t xml:space="preserve">Custom hauling 3,795 bu @ $0.17/bu - Gail Schrag</t>
  </si>
  <si>
    <t xml:space="preserve">TXN-SAM-000232</t>
  </si>
  <si>
    <t xml:space="preserve">Custom combining soybeans 186 ac @ $39/ac - Ostrander Farms</t>
  </si>
  <si>
    <t xml:space="preserve">INV-SAM-00038</t>
  </si>
  <si>
    <t xml:space="preserve">TXN-SAM-000233</t>
  </si>
  <si>
    <t xml:space="preserve">Custom hauling 6,417 bu @ $0.17/bu - Ostrander Farms</t>
  </si>
  <si>
    <t xml:space="preserve">TXN-SAM-000234</t>
  </si>
  <si>
    <t xml:space="preserve">Diesel - custom combining soybeans (1,290 ac)</t>
  </si>
  <si>
    <t xml:space="preserve">BILL-SAM-00192</t>
  </si>
  <si>
    <t xml:space="preserve">TXN-SAM-000235</t>
  </si>
  <si>
    <t xml:space="preserve">BILL-SAM-00193</t>
  </si>
  <si>
    <t xml:space="preserve">TXN-SAM-000236</t>
  </si>
  <si>
    <t xml:space="preserve">Custom combining soybeans 89 ac @ $39/ac - Smoky Hill Farms LLC</t>
  </si>
  <si>
    <t xml:space="preserve">INV-SAM-00044</t>
  </si>
  <si>
    <t xml:space="preserve">TXN-SAM-000237</t>
  </si>
  <si>
    <t xml:space="preserve">Custom combining corn 89 ac @ $43/ac - Smoky Hill Farms LLC</t>
  </si>
  <si>
    <t xml:space="preserve">INV-SAM-00052</t>
  </si>
  <si>
    <t xml:space="preserve">TXN-SAM-000238</t>
  </si>
  <si>
    <t xml:space="preserve">Custom hauling 3,070 bu @ $0.17/bu - Smoky Hill Farms LLC</t>
  </si>
  <si>
    <t xml:space="preserve">TXN-SAM-000239</t>
  </si>
  <si>
    <t xml:space="preserve">Custom hauling 11,014 bu @ $0.17/bu - Smoky Hill Farms LLC</t>
  </si>
  <si>
    <t xml:space="preserve">TXN-SAM-000240</t>
  </si>
  <si>
    <t xml:space="preserve">TXN-SAM-000241</t>
  </si>
  <si>
    <t xml:space="preserve">TXN-SAM-000242</t>
  </si>
  <si>
    <t xml:space="preserve">TXN-SAM-000243</t>
  </si>
  <si>
    <t xml:space="preserve">TXN-SAM-000244</t>
  </si>
  <si>
    <t xml:space="preserve">Custom combining soybeans 326 ac @ $39/ac - Heartland Land &amp; Cattle</t>
  </si>
  <si>
    <t xml:space="preserve">INV-SAM-00037</t>
  </si>
  <si>
    <t xml:space="preserve">TXN-SAM-000245</t>
  </si>
  <si>
    <t xml:space="preserve">Custom hauling 11,247 bu @ $0.17/bu - Heartland Land &amp; Cattle</t>
  </si>
  <si>
    <t xml:space="preserve">TXN-SAM-000246</t>
  </si>
  <si>
    <t xml:space="preserve">Drying propane &amp; electricity (25,875 bu)</t>
  </si>
  <si>
    <t xml:space="preserve">BILL-SAM-00025</t>
  </si>
  <si>
    <t xml:space="preserve">TXN-SAM-000247</t>
  </si>
  <si>
    <t xml:space="preserve">TXN-SAM-000248</t>
  </si>
  <si>
    <t xml:space="preserve">TXN-SAM-000249</t>
  </si>
  <si>
    <t xml:space="preserve">TXN-SAM-000250</t>
  </si>
  <si>
    <t xml:space="preserve">Custom combining corn 290 ac @ $43/ac - Heartland Land &amp; Cattle</t>
  </si>
  <si>
    <t xml:space="preserve">INV-SAM-00045</t>
  </si>
  <si>
    <t xml:space="preserve">TXN-SAM-000251</t>
  </si>
  <si>
    <t xml:space="preserve">Custom hauling 35,888 bu @ $0.17/bu - Heartland Land &amp; Cattle</t>
  </si>
  <si>
    <t xml:space="preserve">TXN-SAM-000252</t>
  </si>
  <si>
    <t xml:space="preserve">TXN-SAM-000253</t>
  </si>
  <si>
    <t xml:space="preserve">Diesel - custom combining corn (1,140 ac)</t>
  </si>
  <si>
    <t xml:space="preserve">BILL-SAM-00195</t>
  </si>
  <si>
    <t xml:space="preserve">TXN-SAM-000254</t>
  </si>
  <si>
    <t xml:space="preserve">BILL-SAM-00196</t>
  </si>
  <si>
    <t xml:space="preserve">TXN-SAM-000255</t>
  </si>
  <si>
    <t xml:space="preserve">TXN-SAM-000256</t>
  </si>
  <si>
    <t xml:space="preserve">TXN-SAM-000257</t>
  </si>
  <si>
    <t xml:space="preserve">Interest - LN-SAM-005 payment 29/60</t>
  </si>
  <si>
    <t xml:space="preserve">TXN-SAM-000258</t>
  </si>
  <si>
    <t xml:space="preserve">Principal - LN-SAM-005 payment 29/60</t>
  </si>
  <si>
    <t xml:space="preserve">TXN-SAM-000259</t>
  </si>
  <si>
    <t xml:space="preserve">TXN-SAM-000260</t>
  </si>
  <si>
    <t xml:space="preserve">Custom combining corn 138 ac @ $43/ac - Lindquist Family Farms</t>
  </si>
  <si>
    <t xml:space="preserve">INV-SAM-00049</t>
  </si>
  <si>
    <t xml:space="preserve">TXN-SAM-000261</t>
  </si>
  <si>
    <t xml:space="preserve">Custom hauling 17,078 bu @ $0.17/bu - Lindquist Family Farms</t>
  </si>
  <si>
    <t xml:space="preserve">TXN-SAM-000262</t>
  </si>
  <si>
    <t xml:space="preserve">TXN-SAM-000263</t>
  </si>
  <si>
    <t xml:space="preserve">BILL-SAM-00245</t>
  </si>
  <si>
    <t xml:space="preserve">TXN-SAM-000264</t>
  </si>
  <si>
    <t xml:space="preserve">Custom stripper harvest + module building (96 ac @ $70.0)</t>
  </si>
  <si>
    <t xml:space="preserve">VEN-SAM-004</t>
  </si>
  <si>
    <t xml:space="preserve">BILL-SAM-00127</t>
  </si>
  <si>
    <t xml:space="preserve">TXN-SAM-000265</t>
  </si>
  <si>
    <t xml:space="preserve">TXN-SAM-000266</t>
  </si>
  <si>
    <t xml:space="preserve">TXN-SAM-000267</t>
  </si>
  <si>
    <t xml:space="preserve">Interest - LN-SAM-001 payment 5/20</t>
  </si>
  <si>
    <t xml:space="preserve">LN-SAM-001</t>
  </si>
  <si>
    <t xml:space="preserve">TXN-SAM-000268</t>
  </si>
  <si>
    <t xml:space="preserve">Principal - LN-SAM-001 payment 5/20</t>
  </si>
  <si>
    <t xml:space="preserve">TXN-SAM-000269</t>
  </si>
  <si>
    <t xml:space="preserve">TXN-SAM-000270</t>
  </si>
  <si>
    <t xml:space="preserve">TXN-SAM-000271</t>
  </si>
  <si>
    <t xml:space="preserve">TXN-SAM-000272</t>
  </si>
  <si>
    <t xml:space="preserve">Interest - LN-SAM-005 payment 30/60</t>
  </si>
  <si>
    <t xml:space="preserve">TXN-SAM-000273</t>
  </si>
  <si>
    <t xml:space="preserve">Principal - LN-SAM-005 payment 30/60</t>
  </si>
  <si>
    <t xml:space="preserve">TXN-SAM-000274</t>
  </si>
  <si>
    <t xml:space="preserve">TXN-SAM-000275</t>
  </si>
  <si>
    <t xml:space="preserve">Ginning, bagging &amp; ties - 54 bales (26,496 lb lint)</t>
  </si>
  <si>
    <t xml:space="preserve">VEN-SAM-005</t>
  </si>
  <si>
    <t xml:space="preserve">lb lint</t>
  </si>
  <si>
    <t xml:space="preserve">BILL-SAM-00128</t>
  </si>
  <si>
    <t xml:space="preserve">TXN-SAM-000276</t>
  </si>
  <si>
    <t xml:space="preserve">Cottonseed 18.8 tons @ $250</t>
  </si>
  <si>
    <t xml:space="preserve">CUS-SAM-003</t>
  </si>
  <si>
    <t xml:space="preserve">INV-SAM-00025</t>
  </si>
  <si>
    <t xml:space="preserve">TXN-SAM-000277</t>
  </si>
  <si>
    <t xml:space="preserve">2023 cotton - pool advance (26,496 lb @ $0.728 est. pool price)</t>
  </si>
  <si>
    <t xml:space="preserve">POOL-SAM-2023</t>
  </si>
  <si>
    <t xml:space="preserve">TXN-SAM-000278</t>
  </si>
  <si>
    <t xml:space="preserve">2023 cotton - pool progress/final (26,496 lb @ $0.728 est. pool price)</t>
  </si>
  <si>
    <t xml:space="preserve">TXN-SAM-000279</t>
  </si>
  <si>
    <t xml:space="preserve">TXN-SAM-000280</t>
  </si>
  <si>
    <t xml:space="preserve">TXN-SAM-000281</t>
  </si>
  <si>
    <t xml:space="preserve">2023 KS property tax - 1st half</t>
  </si>
  <si>
    <t xml:space="preserve">TXN-SAM-000282</t>
  </si>
  <si>
    <t xml:space="preserve">TXN-SAM-000283</t>
  </si>
  <si>
    <t xml:space="preserve">TXN-SAM-000284</t>
  </si>
  <si>
    <t xml:space="preserve">TXN-SAM-000285</t>
  </si>
  <si>
    <t xml:space="preserve">2023 Carson Co. property tax (ag use)</t>
  </si>
  <si>
    <t xml:space="preserve">TXN-SAM-000286</t>
  </si>
  <si>
    <t xml:space="preserve">2023 KS property tax - 2nd half (due May 10)</t>
  </si>
  <si>
    <t xml:space="preserve">TXN-SAM-000287</t>
  </si>
  <si>
    <t xml:space="preserve">TXN-SAM-000288</t>
  </si>
  <si>
    <t xml:space="preserve">TXN-SAM-000289</t>
  </si>
  <si>
    <t xml:space="preserve">Interest - LN-SAM-005 payment 31/60</t>
  </si>
  <si>
    <t xml:space="preserve">TXN-SAM-000290</t>
  </si>
  <si>
    <t xml:space="preserve">Principal - LN-SAM-005 payment 31/60</t>
  </si>
  <si>
    <t xml:space="preserve">TXN-SAM-000291</t>
  </si>
  <si>
    <t xml:space="preserve">RP indemnity - 2023 dryland corn (74 bu vs 78.75 guarantee)</t>
  </si>
  <si>
    <t xml:space="preserve">TXN-SAM-000292</t>
  </si>
  <si>
    <t xml:space="preserve">TXN-SAM-000293</t>
  </si>
  <si>
    <t xml:space="preserve">Interest - LN-SAM-002 payment 2/7</t>
  </si>
  <si>
    <t xml:space="preserve">TXN-SAM-000294</t>
  </si>
  <si>
    <t xml:space="preserve">Principal - LN-SAM-002 payment 2/7</t>
  </si>
  <si>
    <t xml:space="preserve">TXN-SAM-000295</t>
  </si>
  <si>
    <t xml:space="preserve">TXN-SAM-000296</t>
  </si>
  <si>
    <t xml:space="preserve">TXN-SAM-000297</t>
  </si>
  <si>
    <t xml:space="preserve">TXN-SAM-000298</t>
  </si>
  <si>
    <t xml:space="preserve">TXN-SAM-000299</t>
  </si>
  <si>
    <t xml:space="preserve">BILL-SAM-00129</t>
  </si>
  <si>
    <t xml:space="preserve">TXN-SAM-000300</t>
  </si>
  <si>
    <t xml:space="preserve">TXN-SAM-000301</t>
  </si>
  <si>
    <t xml:space="preserve">TXN-SAM-000302</t>
  </si>
  <si>
    <t xml:space="preserve">TXN-SAM-000303</t>
  </si>
  <si>
    <t xml:space="preserve">TXN-SAM-000304</t>
  </si>
  <si>
    <t xml:space="preserve">TXN-SAM-000305</t>
  </si>
  <si>
    <t xml:space="preserve">TXN-SAM-000306</t>
  </si>
  <si>
    <t xml:space="preserve">Interest - LN-SAM-005 payment 32/60</t>
  </si>
  <si>
    <t xml:space="preserve">TXN-SAM-000307</t>
  </si>
  <si>
    <t xml:space="preserve">Principal - LN-SAM-005 payment 32/60</t>
  </si>
  <si>
    <t xml:space="preserve">TXN-SAM-000308</t>
  </si>
  <si>
    <t xml:space="preserve">TXN-SAM-000309</t>
  </si>
  <si>
    <t xml:space="preserve">RP indemnity - 2023 cotton (276 lb vs 308 lb guarantee)</t>
  </si>
  <si>
    <t xml:space="preserve">TXN-SAM-000310</t>
  </si>
  <si>
    <t xml:space="preserve">TXN-SAM-000311</t>
  </si>
  <si>
    <t xml:space="preserve">TXN-SAM-000312</t>
  </si>
  <si>
    <t xml:space="preserve">TXN-SAM-000313</t>
  </si>
  <si>
    <t xml:space="preserve">TXN-SAM-000314</t>
  </si>
  <si>
    <t xml:space="preserve">BILL-SAM-00029</t>
  </si>
  <si>
    <t xml:space="preserve">TXN-SAM-000315</t>
  </si>
  <si>
    <t xml:space="preserve">BILL-SAM-00130</t>
  </si>
  <si>
    <t xml:space="preserve">TXN-SAM-000316</t>
  </si>
  <si>
    <t xml:space="preserve">TXN-SAM-000317</t>
  </si>
  <si>
    <t xml:space="preserve">Interest - LN-SAM-005 payment 33/60</t>
  </si>
  <si>
    <t xml:space="preserve">TXN-SAM-000318</t>
  </si>
  <si>
    <t xml:space="preserve">Principal - LN-SAM-005 payment 33/60</t>
  </si>
  <si>
    <t xml:space="preserve">TXN-SAM-000319</t>
  </si>
  <si>
    <t xml:space="preserve">TXN-SAM-000320</t>
  </si>
  <si>
    <t xml:space="preserve">Corn (2023 crop) 9,056 bu @ $4.26 from bin</t>
  </si>
  <si>
    <t xml:space="preserve">INV-SAM-00005</t>
  </si>
  <si>
    <t xml:space="preserve">TXN-SAM-000321</t>
  </si>
  <si>
    <t xml:space="preserve">BILL-SAM-00246</t>
  </si>
  <si>
    <t xml:space="preserve">TXN-SAM-000322</t>
  </si>
  <si>
    <t xml:space="preserve">TXN-SAM-000323</t>
  </si>
  <si>
    <t xml:space="preserve">Crop insurance - Soybeans RP 75%</t>
  </si>
  <si>
    <t xml:space="preserve">TXN-SAM-000324</t>
  </si>
  <si>
    <t xml:space="preserve">TXN-SAM-000325</t>
  </si>
  <si>
    <t xml:space="preserve">TXN-SAM-000326</t>
  </si>
  <si>
    <t xml:space="preserve">BILL-SAM-00030</t>
  </si>
  <si>
    <t xml:space="preserve">TXN-SAM-000327</t>
  </si>
  <si>
    <t xml:space="preserve">TXN-SAM-000328</t>
  </si>
  <si>
    <t xml:space="preserve">TXN-SAM-000329</t>
  </si>
  <si>
    <t xml:space="preserve">TXN-SAM-000330</t>
  </si>
  <si>
    <t xml:space="preserve">TXN-SAM-000331</t>
  </si>
  <si>
    <t xml:space="preserve">Interest - LN-SAM-005 payment 34/60</t>
  </si>
  <si>
    <t xml:space="preserve">TXN-SAM-000332</t>
  </si>
  <si>
    <t xml:space="preserve">Principal - LN-SAM-005 payment 34/60</t>
  </si>
  <si>
    <t xml:space="preserve">TXN-SAM-000333</t>
  </si>
  <si>
    <t xml:space="preserve">TXN-SAM-000334</t>
  </si>
  <si>
    <t xml:space="preserve">BILL-SAM-00132</t>
  </si>
  <si>
    <t xml:space="preserve">TXN-SAM-000335</t>
  </si>
  <si>
    <t xml:space="preserve">BILL-SAM-00131</t>
  </si>
  <si>
    <t xml:space="preserve">TXN-SAM-000336</t>
  </si>
  <si>
    <t xml:space="preserve">TXN-SAM-000337</t>
  </si>
  <si>
    <t xml:space="preserve">TXN-SAM-000338</t>
  </si>
  <si>
    <t xml:space="preserve">BILL-SAM-00033</t>
  </si>
  <si>
    <t xml:space="preserve">TXN-SAM-000339</t>
  </si>
  <si>
    <t xml:space="preserve">BILL-SAM-00133</t>
  </si>
  <si>
    <t xml:space="preserve">TXN-SAM-000340</t>
  </si>
  <si>
    <t xml:space="preserve">TXN-SAM-000341</t>
  </si>
  <si>
    <t xml:space="preserve">TXN-SAM-000342</t>
  </si>
  <si>
    <t xml:space="preserve">TXN-SAM-000343</t>
  </si>
  <si>
    <t xml:space="preserve">Soybeans seed 125 ac (prepaid Dec)</t>
  </si>
  <si>
    <t xml:space="preserve">TXN-SAM-000344</t>
  </si>
  <si>
    <t xml:space="preserve">TXN-SAM-000345</t>
  </si>
  <si>
    <t xml:space="preserve">Corn (2023 crop) 6,469 bu @ $4.25 from bin</t>
  </si>
  <si>
    <t xml:space="preserve">INV-SAM-00006</t>
  </si>
  <si>
    <t xml:space="preserve">TXN-SAM-000346</t>
  </si>
  <si>
    <t xml:space="preserve">Interest - LN-SAM-005 payment 35/60</t>
  </si>
  <si>
    <t xml:space="preserve">TXN-SAM-000347</t>
  </si>
  <si>
    <t xml:space="preserve">Principal - LN-SAM-005 payment 35/60</t>
  </si>
  <si>
    <t xml:space="preserve">TXN-SAM-000348</t>
  </si>
  <si>
    <t xml:space="preserve">TXN-SAM-000349</t>
  </si>
  <si>
    <t xml:space="preserve">Soybeans seed 80 ac</t>
  </si>
  <si>
    <t xml:space="preserve">BILL-SAM-00042</t>
  </si>
  <si>
    <t xml:space="preserve">TXN-SAM-000350</t>
  </si>
  <si>
    <t xml:space="preserve">TXN-SAM-000351</t>
  </si>
  <si>
    <t xml:space="preserve">Diesel - tillage/planting/spraying Soybeans</t>
  </si>
  <si>
    <t xml:space="preserve">BILL-SAM-00037</t>
  </si>
  <si>
    <t xml:space="preserve">TXN-SAM-000352</t>
  </si>
  <si>
    <t xml:space="preserve">BILL-SAM-00034</t>
  </si>
  <si>
    <t xml:space="preserve">TXN-SAM-000353</t>
  </si>
  <si>
    <t xml:space="preserve">TXN-SAM-000354</t>
  </si>
  <si>
    <t xml:space="preserve">TXN-SAM-000355</t>
  </si>
  <si>
    <t xml:space="preserve">TXN-SAM-000356</t>
  </si>
  <si>
    <t xml:space="preserve">BILL-SAM-00135</t>
  </si>
  <si>
    <t xml:space="preserve">TXN-SAM-000357</t>
  </si>
  <si>
    <t xml:space="preserve">BILL-SAM-00134</t>
  </si>
  <si>
    <t xml:space="preserve">TXN-SAM-000358</t>
  </si>
  <si>
    <t xml:space="preserve">BILL-SAM-00045</t>
  </si>
  <si>
    <t xml:space="preserve">TXN-SAM-000359</t>
  </si>
  <si>
    <t xml:space="preserve">BILL-SAM-00136</t>
  </si>
  <si>
    <t xml:space="preserve">TXN-SAM-000360</t>
  </si>
  <si>
    <t xml:space="preserve">BILL-SAM-00043</t>
  </si>
  <si>
    <t xml:space="preserve">TXN-SAM-000361</t>
  </si>
  <si>
    <t xml:space="preserve">TXN-SAM-000362</t>
  </si>
  <si>
    <t xml:space="preserve">Combine repair - Feeder house chain, concave set (custom share 88% by separator hrs)</t>
  </si>
  <si>
    <t xml:space="preserve">BILL-SAM-00236</t>
  </si>
  <si>
    <t xml:space="preserve">TXN-SAM-000363</t>
  </si>
  <si>
    <t xml:space="preserve">Combine repair - Feeder house chain, concave set (own-crop share 12%)</t>
  </si>
  <si>
    <t xml:space="preserve">BILL-SAM-00237</t>
  </si>
  <si>
    <t xml:space="preserve">TXN-SAM-000364</t>
  </si>
  <si>
    <t xml:space="preserve">Seasonal hand/truck driver (60 h) - custom 60%</t>
  </si>
  <si>
    <t xml:space="preserve">TXN-SAM-000365</t>
  </si>
  <si>
    <t xml:space="preserve">TXN-SAM-000366</t>
  </si>
  <si>
    <t xml:space="preserve">TXN-SAM-000367</t>
  </si>
  <si>
    <t xml:space="preserve">TXN-SAM-000368</t>
  </si>
  <si>
    <t xml:space="preserve">TXN-SAM-000369</t>
  </si>
  <si>
    <t xml:space="preserve">BILL-SAM-00200</t>
  </si>
  <si>
    <t xml:space="preserve">TXN-SAM-000370</t>
  </si>
  <si>
    <t xml:space="preserve">TXN-SAM-000371</t>
  </si>
  <si>
    <t xml:space="preserve">Interest - LN-SAM-005 payment 36/60</t>
  </si>
  <si>
    <t xml:space="preserve">TXN-SAM-000372</t>
  </si>
  <si>
    <t xml:space="preserve">Principal - LN-SAM-005 payment 36/60</t>
  </si>
  <si>
    <t xml:space="preserve">TXN-SAM-000373</t>
  </si>
  <si>
    <t xml:space="preserve">TXN-SAM-000374</t>
  </si>
  <si>
    <t xml:space="preserve">TXN-SAM-000375</t>
  </si>
  <si>
    <t xml:space="preserve">Seasonal hand/truck driver (124 h) - custom 60%</t>
  </si>
  <si>
    <t xml:space="preserve">TXN-SAM-000376</t>
  </si>
  <si>
    <t xml:space="preserve">TXN-SAM-000377</t>
  </si>
  <si>
    <t xml:space="preserve">TXN-SAM-000378</t>
  </si>
  <si>
    <t xml:space="preserve">TXN-SAM-000379</t>
  </si>
  <si>
    <t xml:space="preserve">TXN-SAM-000380</t>
  </si>
  <si>
    <t xml:space="preserve">BILL-SAM-00035</t>
  </si>
  <si>
    <t xml:space="preserve">TXN-SAM-000381</t>
  </si>
  <si>
    <t xml:space="preserve">Custom combining wheat 263 ac @ $40/ac - Rudd Brothers Partnership</t>
  </si>
  <si>
    <t xml:space="preserve">INV-SAM-00055</t>
  </si>
  <si>
    <t xml:space="preserve">TXN-SAM-000382</t>
  </si>
  <si>
    <t xml:space="preserve">Custom hauling 4,629 bu @ $0.19/bu - Rudd Brothers Partnership</t>
  </si>
  <si>
    <t xml:space="preserve">TXN-SAM-000383</t>
  </si>
  <si>
    <t xml:space="preserve">BILL-SAM-00031</t>
  </si>
  <si>
    <t xml:space="preserve">TXN-SAM-000384</t>
  </si>
  <si>
    <t xml:space="preserve">BILL-SAM-00138</t>
  </si>
  <si>
    <t xml:space="preserve">TXN-SAM-000385</t>
  </si>
  <si>
    <t xml:space="preserve">BILL-SAM-00137</t>
  </si>
  <si>
    <t xml:space="preserve">TXN-SAM-000386</t>
  </si>
  <si>
    <t xml:space="preserve">Custom combining wheat 187 ac @ $40/ac - Gail Schrag</t>
  </si>
  <si>
    <t xml:space="preserve">INV-SAM-00056</t>
  </si>
  <si>
    <t xml:space="preserve">TXN-SAM-000387</t>
  </si>
  <si>
    <t xml:space="preserve">Custom hauling 3,291 bu @ $0.19/bu - Gail Schrag</t>
  </si>
  <si>
    <t xml:space="preserve">TXN-SAM-000388</t>
  </si>
  <si>
    <t xml:space="preserve">TXN-SAM-000389</t>
  </si>
  <si>
    <t xml:space="preserve">Wheat (2024 crop) 2,208 bu @ $5.53 at harvest</t>
  </si>
  <si>
    <t xml:space="preserve">INV-SAM-00007</t>
  </si>
  <si>
    <t xml:space="preserve">TXN-SAM-000390</t>
  </si>
  <si>
    <t xml:space="preserve">Custom combining wheat 158 ac @ $40/ac - Prairie Rose Dairy</t>
  </si>
  <si>
    <t xml:space="preserve">INV-SAM-00058</t>
  </si>
  <si>
    <t xml:space="preserve">TXN-SAM-000391</t>
  </si>
  <si>
    <t xml:space="preserve">Custom hauling 2,781 bu @ $0.19/bu - Prairie Rose Dairy</t>
  </si>
  <si>
    <t xml:space="preserve">TXN-SAM-000392</t>
  </si>
  <si>
    <t xml:space="preserve">Seasonal hand/truck driver (126 h) - custom 60%</t>
  </si>
  <si>
    <t xml:space="preserve">TXN-SAM-000393</t>
  </si>
  <si>
    <t xml:space="preserve">TXN-SAM-000394</t>
  </si>
  <si>
    <t xml:space="preserve">TXN-SAM-000395</t>
  </si>
  <si>
    <t xml:space="preserve">Custom combining wheat 132 ac @ $40/ac - Smoky Hill Farms LLC</t>
  </si>
  <si>
    <t xml:space="preserve">INV-SAM-00060</t>
  </si>
  <si>
    <t xml:space="preserve">TXN-SAM-000396</t>
  </si>
  <si>
    <t xml:space="preserve">Custom hauling 2,323 bu @ $0.19/bu - Smoky Hill Farms LLC</t>
  </si>
  <si>
    <t xml:space="preserve">TXN-SAM-000397</t>
  </si>
  <si>
    <t xml:space="preserve">BILL-SAM-00044</t>
  </si>
  <si>
    <t xml:space="preserve">TXN-SAM-000398</t>
  </si>
  <si>
    <t xml:space="preserve">BILL-SAM-00032</t>
  </si>
  <si>
    <t xml:space="preserve">TXN-SAM-000399</t>
  </si>
  <si>
    <t xml:space="preserve">TXN-SAM-000400</t>
  </si>
  <si>
    <t xml:space="preserve">TXN-SAM-000401</t>
  </si>
  <si>
    <t xml:space="preserve">TXN-SAM-000402</t>
  </si>
  <si>
    <t xml:space="preserve">Custom combining wheat 163 ac @ $40/ac - Dale &amp; Jo Unruh</t>
  </si>
  <si>
    <t xml:space="preserve">INV-SAM-00059</t>
  </si>
  <si>
    <t xml:space="preserve">TXN-SAM-000403</t>
  </si>
  <si>
    <t xml:space="preserve">Custom hauling 2,869 bu @ $0.19/bu - Dale &amp; Jo Unruh</t>
  </si>
  <si>
    <t xml:space="preserve">TXN-SAM-000404</t>
  </si>
  <si>
    <t xml:space="preserve">Custom combining wheat 242 ac @ $40/ac - Lindquist Family Farms</t>
  </si>
  <si>
    <t xml:space="preserve">INV-SAM-00057</t>
  </si>
  <si>
    <t xml:space="preserve">TXN-SAM-000405</t>
  </si>
  <si>
    <t xml:space="preserve">Custom hauling 4,259 bu @ $0.19/bu - Lindquist Family Farms</t>
  </si>
  <si>
    <t xml:space="preserve">TXN-SAM-000406</t>
  </si>
  <si>
    <t xml:space="preserve">Diesel - custom combining wheat (1,910 ac)</t>
  </si>
  <si>
    <t xml:space="preserve">BILL-SAM-00198</t>
  </si>
  <si>
    <t xml:space="preserve">TXN-SAM-000407</t>
  </si>
  <si>
    <t xml:space="preserve">BILL-SAM-00199</t>
  </si>
  <si>
    <t xml:space="preserve">TXN-SAM-000408</t>
  </si>
  <si>
    <t xml:space="preserve">Custom combining wheat 480 ac @ $40/ac - Heartland Land &amp; Cattle</t>
  </si>
  <si>
    <t xml:space="preserve">INV-SAM-00053</t>
  </si>
  <si>
    <t xml:space="preserve">TXN-SAM-000409</t>
  </si>
  <si>
    <t xml:space="preserve">Custom hauling 8,448 bu @ $0.19/bu - Heartland Land &amp; Cattle</t>
  </si>
  <si>
    <t xml:space="preserve">TXN-SAM-000410</t>
  </si>
  <si>
    <t xml:space="preserve">TXN-SAM-000411</t>
  </si>
  <si>
    <t xml:space="preserve">Custom combining wheat 321 ac @ $40/ac - Ostrander Farms</t>
  </si>
  <si>
    <t xml:space="preserve">INV-SAM-00054</t>
  </si>
  <si>
    <t xml:space="preserve">TXN-SAM-000412</t>
  </si>
  <si>
    <t xml:space="preserve">Custom hauling 5,650 bu @ $0.19/bu - Ostrander Farms</t>
  </si>
  <si>
    <t xml:space="preserve">TXN-SAM-000413</t>
  </si>
  <si>
    <t xml:space="preserve">Interest - LN-SAM-005 payment 37/60</t>
  </si>
  <si>
    <t xml:space="preserve">TXN-SAM-000414</t>
  </si>
  <si>
    <t xml:space="preserve">Principal - LN-SAM-005 payment 37/60</t>
  </si>
  <si>
    <t xml:space="preserve">TXN-SAM-000415</t>
  </si>
  <si>
    <t xml:space="preserve">TXN-SAM-000416</t>
  </si>
  <si>
    <t xml:space="preserve">TXN-SAM-000417</t>
  </si>
  <si>
    <t xml:space="preserve">TXN-SAM-000418</t>
  </si>
  <si>
    <t xml:space="preserve">TXN-SAM-000419</t>
  </si>
  <si>
    <t xml:space="preserve">Irrigation pumping power (3.4 in)</t>
  </si>
  <si>
    <t xml:space="preserve">BILL-SAM-00038</t>
  </si>
  <si>
    <t xml:space="preserve">TXN-SAM-000420</t>
  </si>
  <si>
    <t xml:space="preserve">BILL-SAM-00036</t>
  </si>
  <si>
    <t xml:space="preserve">TXN-SAM-000421</t>
  </si>
  <si>
    <t xml:space="preserve">Post herbicide #2 (96 ac)</t>
  </si>
  <si>
    <t xml:space="preserve">BILL-SAM-00140</t>
  </si>
  <si>
    <t xml:space="preserve">TXN-SAM-000422</t>
  </si>
  <si>
    <t xml:space="preserve">Post spray #2 application (96 ac)</t>
  </si>
  <si>
    <t xml:space="preserve">BILL-SAM-00139</t>
  </si>
  <si>
    <t xml:space="preserve">TXN-SAM-000423</t>
  </si>
  <si>
    <t xml:space="preserve">TXN-SAM-000424</t>
  </si>
  <si>
    <t xml:space="preserve">TXN-SAM-000425</t>
  </si>
  <si>
    <t xml:space="preserve">TXN-SAM-000426</t>
  </si>
  <si>
    <t xml:space="preserve">TXN-SAM-000427</t>
  </si>
  <si>
    <t xml:space="preserve">TXN-SAM-000428</t>
  </si>
  <si>
    <t xml:space="preserve">TXN-SAM-000429</t>
  </si>
  <si>
    <t xml:space="preserve">TXN-SAM-000430</t>
  </si>
  <si>
    <t xml:space="preserve">TXN-SAM-000431</t>
  </si>
  <si>
    <t xml:space="preserve">TXN-SAM-000432</t>
  </si>
  <si>
    <t xml:space="preserve">TXN-SAM-000433</t>
  </si>
  <si>
    <t xml:space="preserve">TXN-SAM-000434</t>
  </si>
  <si>
    <t xml:space="preserve">TXN-SAM-000435</t>
  </si>
  <si>
    <t xml:space="preserve">Interest - LN-SAM-005 payment 38/60</t>
  </si>
  <si>
    <t xml:space="preserve">TXN-SAM-000436</t>
  </si>
  <si>
    <t xml:space="preserve">Principal - LN-SAM-005 payment 38/60</t>
  </si>
  <si>
    <t xml:space="preserve">TXN-SAM-000437</t>
  </si>
  <si>
    <t xml:space="preserve">TXN-SAM-000438</t>
  </si>
  <si>
    <t xml:space="preserve">TXN-SAM-000439</t>
  </si>
  <si>
    <t xml:space="preserve">8010</t>
  </si>
  <si>
    <t xml:space="preserve">Loan proceeds - Semi &amp; trailer</t>
  </si>
  <si>
    <t xml:space="preserve">Loan disbursement</t>
  </si>
  <si>
    <t xml:space="preserve">LN-SAM-004</t>
  </si>
  <si>
    <t xml:space="preserve">TXN-SAM-000440</t>
  </si>
  <si>
    <t xml:space="preserve">TXN-SAM-000441</t>
  </si>
  <si>
    <t xml:space="preserve">8030</t>
  </si>
  <si>
    <t xml:space="preserve">Capital purchases - equipment, buildings, land</t>
  </si>
  <si>
    <t xml:space="preserve">Investing</t>
  </si>
  <si>
    <t xml:space="preserve">Peterbilt semi + Wilson hopper trailer</t>
  </si>
  <si>
    <t xml:space="preserve">VEN-SAM-022</t>
  </si>
  <si>
    <t xml:space="preserve">Wire</t>
  </si>
  <si>
    <t xml:space="preserve">AST-SAM-014</t>
  </si>
  <si>
    <t xml:space="preserve">TXN-SAM-000442</t>
  </si>
  <si>
    <t xml:space="preserve">BILL-SAM-00039</t>
  </si>
  <si>
    <t xml:space="preserve">TXN-SAM-000443</t>
  </si>
  <si>
    <t xml:space="preserve">Seasonal hand/truck driver (61 h) - custom 60%</t>
  </si>
  <si>
    <t xml:space="preserve">TXN-SAM-000444</t>
  </si>
  <si>
    <t xml:space="preserve">TXN-SAM-000445</t>
  </si>
  <si>
    <t xml:space="preserve">TXN-SAM-000446</t>
  </si>
  <si>
    <t xml:space="preserve">TXN-SAM-000447</t>
  </si>
  <si>
    <t xml:space="preserve">TXN-SAM-000448</t>
  </si>
  <si>
    <t xml:space="preserve">TXN-SAM-000449</t>
  </si>
  <si>
    <t xml:space="preserve">TXN-SAM-000450</t>
  </si>
  <si>
    <t xml:space="preserve">BILL-SAM-00206</t>
  </si>
  <si>
    <t xml:space="preserve">TXN-SAM-000451</t>
  </si>
  <si>
    <t xml:space="preserve">TXN-SAM-000452</t>
  </si>
  <si>
    <t xml:space="preserve">TXN-SAM-000453</t>
  </si>
  <si>
    <t xml:space="preserve">TXN-SAM-000454</t>
  </si>
  <si>
    <t xml:space="preserve">TXN-SAM-000455</t>
  </si>
  <si>
    <t xml:space="preserve">TXN-SAM-000456</t>
  </si>
  <si>
    <t xml:space="preserve">Interest - LN-SAM-005 payment 39/60</t>
  </si>
  <si>
    <t xml:space="preserve">TXN-SAM-000457</t>
  </si>
  <si>
    <t xml:space="preserve">Principal - LN-SAM-005 payment 39/60</t>
  </si>
  <si>
    <t xml:space="preserve">TXN-SAM-000458</t>
  </si>
  <si>
    <t xml:space="preserve">TXN-SAM-000459</t>
  </si>
  <si>
    <t xml:space="preserve">8031</t>
  </si>
  <si>
    <t xml:space="preserve">Asset sale / trade-in proceeds</t>
  </si>
  <si>
    <t xml:space="preserve">Sold 1998 IH tandem grain truck</t>
  </si>
  <si>
    <t xml:space="preserve">AST-SAM-013</t>
  </si>
  <si>
    <t xml:space="preserve">TXN-SAM-000460</t>
  </si>
  <si>
    <t xml:space="preserve">TXN-SAM-000461</t>
  </si>
  <si>
    <t xml:space="preserve">Interest - LN-SAM-004 payment 1/48</t>
  </si>
  <si>
    <t xml:space="preserve">TXN-SAM-000462</t>
  </si>
  <si>
    <t xml:space="preserve">Principal - LN-SAM-004 payment 1/48</t>
  </si>
  <si>
    <t xml:space="preserve">TXN-SAM-000463</t>
  </si>
  <si>
    <t xml:space="preserve">BILL-SAM-00203</t>
  </si>
  <si>
    <t xml:space="preserve">TXN-SAM-000464</t>
  </si>
  <si>
    <t xml:space="preserve">TXN-SAM-000465</t>
  </si>
  <si>
    <t xml:space="preserve">TXN-SAM-000466</t>
  </si>
  <si>
    <t xml:space="preserve">TXN-SAM-000467</t>
  </si>
  <si>
    <t xml:space="preserve">TXN-SAM-000468</t>
  </si>
  <si>
    <t xml:space="preserve">TXN-SAM-000469</t>
  </si>
  <si>
    <t xml:space="preserve">TXN-SAM-000470</t>
  </si>
  <si>
    <t xml:space="preserve">TXN-SAM-000471</t>
  </si>
  <si>
    <t xml:space="preserve">TXN-SAM-000472</t>
  </si>
  <si>
    <t xml:space="preserve">TXN-SAM-000473</t>
  </si>
  <si>
    <t xml:space="preserve">BILL-SAM-00040</t>
  </si>
  <si>
    <t xml:space="preserve">TXN-SAM-000474</t>
  </si>
  <si>
    <t xml:space="preserve">Seasonal hand/truck driver (117 h) - custom 60%</t>
  </si>
  <si>
    <t xml:space="preserve">TXN-SAM-000475</t>
  </si>
  <si>
    <t xml:space="preserve">TXN-SAM-000476</t>
  </si>
  <si>
    <t xml:space="preserve">TXN-SAM-000477</t>
  </si>
  <si>
    <t xml:space="preserve">BILL-SAM-00247</t>
  </si>
  <si>
    <t xml:space="preserve">TXN-SAM-000478</t>
  </si>
  <si>
    <t xml:space="preserve">Custom combining soybeans 183 ac @ $41/ac - Lindquist Family Farms</t>
  </si>
  <si>
    <t xml:space="preserve">INV-SAM-00065</t>
  </si>
  <si>
    <t xml:space="preserve">TXN-SAM-000479</t>
  </si>
  <si>
    <t xml:space="preserve">Custom hauling 6,314 bu @ $0.19/bu - Lindquist Family Farms</t>
  </si>
  <si>
    <t xml:space="preserve">TXN-SAM-000480</t>
  </si>
  <si>
    <t xml:space="preserve">Soybeans (2024 crop) 4,000 bu @ $9.72 at harvest</t>
  </si>
  <si>
    <t xml:space="preserve">INV-SAM-00009</t>
  </si>
  <si>
    <t xml:space="preserve">TXN-SAM-000481</t>
  </si>
  <si>
    <t xml:space="preserve">BILL-SAM-00041</t>
  </si>
  <si>
    <t xml:space="preserve">TXN-SAM-000482</t>
  </si>
  <si>
    <t xml:space="preserve">TXN-SAM-000483</t>
  </si>
  <si>
    <t xml:space="preserve">Interest - LN-SAM-005 payment 40/60</t>
  </si>
  <si>
    <t xml:space="preserve">TXN-SAM-000484</t>
  </si>
  <si>
    <t xml:space="preserve">Principal - LN-SAM-005 payment 40/60</t>
  </si>
  <si>
    <t xml:space="preserve">TXN-SAM-000485</t>
  </si>
  <si>
    <t xml:space="preserve">BILL-SAM-00046</t>
  </si>
  <si>
    <t xml:space="preserve">TXN-SAM-000486</t>
  </si>
  <si>
    <t xml:space="preserve">Custom combining soybeans 211 ac @ $41/ac - Ostrander Farms</t>
  </si>
  <si>
    <t xml:space="preserve">INV-SAM-00062</t>
  </si>
  <si>
    <t xml:space="preserve">TXN-SAM-000487</t>
  </si>
  <si>
    <t xml:space="preserve">Custom hauling 7,280 bu @ $0.19/bu - Ostrander Farms</t>
  </si>
  <si>
    <t xml:space="preserve">TXN-SAM-000488</t>
  </si>
  <si>
    <t xml:space="preserve">TXN-SAM-000489</t>
  </si>
  <si>
    <t xml:space="preserve">Custom combining soybeans 133 ac @ $41/ac - Dale &amp; Jo Unruh</t>
  </si>
  <si>
    <t xml:space="preserve">INV-SAM-00067</t>
  </si>
  <si>
    <t xml:space="preserve">TXN-SAM-000490</t>
  </si>
  <si>
    <t xml:space="preserve">Custom hauling 4,588 bu @ $0.19/bu - Dale &amp; Jo Unruh</t>
  </si>
  <si>
    <t xml:space="preserve">TXN-SAM-000491</t>
  </si>
  <si>
    <t xml:space="preserve">Soybeans (2024 crop) 2,880 bu @ $9.73 at harvest</t>
  </si>
  <si>
    <t xml:space="preserve">INV-SAM-00011</t>
  </si>
  <si>
    <t xml:space="preserve">TXN-SAM-000492</t>
  </si>
  <si>
    <t xml:space="preserve">BILL-SAM-00047</t>
  </si>
  <si>
    <t xml:space="preserve">TXN-SAM-000493</t>
  </si>
  <si>
    <t xml:space="preserve">Custom combining soybeans 113 ac @ $41/ac - Prairie Rose Dairy</t>
  </si>
  <si>
    <t xml:space="preserve">INV-SAM-00066</t>
  </si>
  <si>
    <t xml:space="preserve">TXN-SAM-000494</t>
  </si>
  <si>
    <t xml:space="preserve">Custom hauling 3,898 bu @ $0.19/bu - Prairie Rose Dairy</t>
  </si>
  <si>
    <t xml:space="preserve">TXN-SAM-000495</t>
  </si>
  <si>
    <t xml:space="preserve">Interest - LN-SAM-004 payment 2/48</t>
  </si>
  <si>
    <t xml:space="preserve">TXN-SAM-000496</t>
  </si>
  <si>
    <t xml:space="preserve">Principal - LN-SAM-004 payment 2/48</t>
  </si>
  <si>
    <t xml:space="preserve">TXN-SAM-000497</t>
  </si>
  <si>
    <t xml:space="preserve">Custom combining soybeans 119 ac @ $41/ac - Gail Schrag</t>
  </si>
  <si>
    <t xml:space="preserve">INV-SAM-00064</t>
  </si>
  <si>
    <t xml:space="preserve">TXN-SAM-000498</t>
  </si>
  <si>
    <t xml:space="preserve">Custom hauling 4,106 bu @ $0.19/bu - Gail Schrag</t>
  </si>
  <si>
    <t xml:space="preserve">TXN-SAM-000499</t>
  </si>
  <si>
    <t xml:space="preserve">Seasonal hand/truck driver (108 h) - custom 60%</t>
  </si>
  <si>
    <t xml:space="preserve">TXN-SAM-000500</t>
  </si>
  <si>
    <t xml:space="preserve">TXN-SAM-000501</t>
  </si>
  <si>
    <t xml:space="preserve">TXN-SAM-000502</t>
  </si>
  <si>
    <t xml:space="preserve">BILL-SAM-00048</t>
  </si>
  <si>
    <t xml:space="preserve">TXN-SAM-000503</t>
  </si>
  <si>
    <t xml:space="preserve">BILL-SAM-00049</t>
  </si>
  <si>
    <t xml:space="preserve">TXN-SAM-000504</t>
  </si>
  <si>
    <t xml:space="preserve">BILL-SAM-00050</t>
  </si>
  <si>
    <t xml:space="preserve">TXN-SAM-000505</t>
  </si>
  <si>
    <t xml:space="preserve">BILL-SAM-00142</t>
  </si>
  <si>
    <t xml:space="preserve">TXN-SAM-000506</t>
  </si>
  <si>
    <t xml:space="preserve">BILL-SAM-00141</t>
  </si>
  <si>
    <t xml:space="preserve">TXN-SAM-000507</t>
  </si>
  <si>
    <t xml:space="preserve">Seed cotton PLC - 2023 crop</t>
  </si>
  <si>
    <t xml:space="preserve">TXN-SAM-000508</t>
  </si>
  <si>
    <t xml:space="preserve">Custom combining soybeans 94 ac @ $41/ac - Smoky Hill Farms LLC</t>
  </si>
  <si>
    <t xml:space="preserve">INV-SAM-00068</t>
  </si>
  <si>
    <t xml:space="preserve">TXN-SAM-000509</t>
  </si>
  <si>
    <t xml:space="preserve">Custom hauling 3,243 bu @ $0.19/bu - Smoky Hill Farms LLC</t>
  </si>
  <si>
    <t xml:space="preserve">TXN-SAM-000510</t>
  </si>
  <si>
    <t xml:space="preserve">Diesel - custom combining soybeans (1,410 ac)</t>
  </si>
  <si>
    <t xml:space="preserve">BILL-SAM-00201</t>
  </si>
  <si>
    <t xml:space="preserve">TXN-SAM-000511</t>
  </si>
  <si>
    <t xml:space="preserve">BILL-SAM-00202</t>
  </si>
  <si>
    <t xml:space="preserve">TXN-SAM-000512</t>
  </si>
  <si>
    <t xml:space="preserve">TXN-SAM-000513</t>
  </si>
  <si>
    <t xml:space="preserve">Custom combining soybeans 352 ac @ $41/ac - Heartland Land &amp; Cattle</t>
  </si>
  <si>
    <t xml:space="preserve">INV-SAM-00061</t>
  </si>
  <si>
    <t xml:space="preserve">TXN-SAM-000514</t>
  </si>
  <si>
    <t xml:space="preserve">Custom hauling 12,144 bu @ $0.19/bu - Heartland Land &amp; Cattle</t>
  </si>
  <si>
    <t xml:space="preserve">TXN-SAM-000515</t>
  </si>
  <si>
    <t xml:space="preserve">Custom combining soybeans 183 ac @ $41/ac - Rudd Brothers Partnership</t>
  </si>
  <si>
    <t xml:space="preserve">INV-SAM-00063</t>
  </si>
  <si>
    <t xml:space="preserve">TXN-SAM-000516</t>
  </si>
  <si>
    <t xml:space="preserve">Custom hauling 6,314 bu @ $0.19/bu - Rudd Brothers Partnership</t>
  </si>
  <si>
    <t xml:space="preserve">TXN-SAM-000517</t>
  </si>
  <si>
    <t xml:space="preserve">TXN-SAM-000518</t>
  </si>
  <si>
    <t xml:space="preserve">TXN-SAM-000519</t>
  </si>
  <si>
    <t xml:space="preserve">TXN-SAM-000520</t>
  </si>
  <si>
    <t xml:space="preserve">TXN-SAM-000521</t>
  </si>
  <si>
    <t xml:space="preserve">TXN-SAM-000522</t>
  </si>
  <si>
    <t xml:space="preserve">TXN-SAM-000523</t>
  </si>
  <si>
    <t xml:space="preserve">Custom combining corn 202 ac @ $45/ac - Ostrander Farms</t>
  </si>
  <si>
    <t xml:space="preserve">INV-SAM-00070</t>
  </si>
  <si>
    <t xml:space="preserve">TXN-SAM-000524</t>
  </si>
  <si>
    <t xml:space="preserve">Custom hauling 24,998 bu @ $0.19/bu - Ostrander Farms</t>
  </si>
  <si>
    <t xml:space="preserve">TXN-SAM-000525</t>
  </si>
  <si>
    <t xml:space="preserve">Custom combining corn 160 ac @ $45/ac - Lindquist Family Farms</t>
  </si>
  <si>
    <t xml:space="preserve">INV-SAM-00073</t>
  </si>
  <si>
    <t xml:space="preserve">TXN-SAM-000526</t>
  </si>
  <si>
    <t xml:space="preserve">Custom hauling 19,800 bu @ $0.19/bu - Lindquist Family Farms</t>
  </si>
  <si>
    <t xml:space="preserve">TXN-SAM-000527</t>
  </si>
  <si>
    <t xml:space="preserve">Custom combining corn 313 ac @ $45/ac - Heartland Land &amp; Cattle</t>
  </si>
  <si>
    <t xml:space="preserve">INV-SAM-00069</t>
  </si>
  <si>
    <t xml:space="preserve">TXN-SAM-000528</t>
  </si>
  <si>
    <t xml:space="preserve">Custom hauling 38,734 bu @ $0.19/bu - Heartland Land &amp; Cattle</t>
  </si>
  <si>
    <t xml:space="preserve">TXN-SAM-000529</t>
  </si>
  <si>
    <t xml:space="preserve">Custom combining corn 105 ac @ $45/ac - Dale &amp; Jo Unruh</t>
  </si>
  <si>
    <t xml:space="preserve">INV-SAM-00075</t>
  </si>
  <si>
    <t xml:space="preserve">TXN-SAM-000530</t>
  </si>
  <si>
    <t xml:space="preserve">Custom hauling 12,994 bu @ $0.19/bu - Dale &amp; Jo Unruh</t>
  </si>
  <si>
    <t xml:space="preserve">TXN-SAM-000531</t>
  </si>
  <si>
    <t xml:space="preserve">TXN-SAM-000532</t>
  </si>
  <si>
    <t xml:space="preserve">Custom combining corn 126 ac @ $45/ac - Gail Schrag</t>
  </si>
  <si>
    <t xml:space="preserve">INV-SAM-00072</t>
  </si>
  <si>
    <t xml:space="preserve">TXN-SAM-000533</t>
  </si>
  <si>
    <t xml:space="preserve">Custom hauling 15,592 bu @ $0.19/bu - Gail Schrag</t>
  </si>
  <si>
    <t xml:space="preserve">TXN-SAM-000534</t>
  </si>
  <si>
    <t xml:space="preserve">Custom combining corn 79 ac @ $45/ac - Smoky Hill Farms LLC</t>
  </si>
  <si>
    <t xml:space="preserve">INV-SAM-00076</t>
  </si>
  <si>
    <t xml:space="preserve">TXN-SAM-000535</t>
  </si>
  <si>
    <t xml:space="preserve">Custom hauling 9,776 bu @ $0.19/bu - Smoky Hill Farms LLC</t>
  </si>
  <si>
    <t xml:space="preserve">TXN-SAM-000536</t>
  </si>
  <si>
    <t xml:space="preserve">Custom combining corn 107 ac @ $45/ac - Prairie Rose Dairy</t>
  </si>
  <si>
    <t xml:space="preserve">INV-SAM-00074</t>
  </si>
  <si>
    <t xml:space="preserve">TXN-SAM-000537</t>
  </si>
  <si>
    <t xml:space="preserve">Custom hauling 13,241 bu @ $0.19/bu - Prairie Rose Dairy</t>
  </si>
  <si>
    <t xml:space="preserve">TXN-SAM-000538</t>
  </si>
  <si>
    <t xml:space="preserve">Diesel - custom combining corn (1,260 ac)</t>
  </si>
  <si>
    <t xml:space="preserve">BILL-SAM-00204</t>
  </si>
  <si>
    <t xml:space="preserve">TXN-SAM-000539</t>
  </si>
  <si>
    <t xml:space="preserve">BILL-SAM-00205</t>
  </si>
  <si>
    <t xml:space="preserve">TXN-SAM-000540</t>
  </si>
  <si>
    <t xml:space="preserve">Interest - LN-SAM-005 payment 41/60</t>
  </si>
  <si>
    <t xml:space="preserve">TXN-SAM-000541</t>
  </si>
  <si>
    <t xml:space="preserve">Principal - LN-SAM-005 payment 41/60</t>
  </si>
  <si>
    <t xml:space="preserve">TXN-SAM-000542</t>
  </si>
  <si>
    <t xml:space="preserve">Custom combining corn 149 ac @ $45/ac - Rudd Brothers Partnership</t>
  </si>
  <si>
    <t xml:space="preserve">INV-SAM-00071</t>
  </si>
  <si>
    <t xml:space="preserve">TXN-SAM-000543</t>
  </si>
  <si>
    <t xml:space="preserve">Custom hauling 18,439 bu @ $0.19/bu - Rudd Brothers Partnership</t>
  </si>
  <si>
    <t xml:space="preserve">TXN-SAM-000544</t>
  </si>
  <si>
    <t xml:space="preserve">TXN-SAM-000545</t>
  </si>
  <si>
    <t xml:space="preserve">BILL-SAM-00248</t>
  </si>
  <si>
    <t xml:space="preserve">TXN-SAM-000546</t>
  </si>
  <si>
    <t xml:space="preserve">Custom stripper harvest + module building (96 ac @ $72.0)</t>
  </si>
  <si>
    <t xml:space="preserve">BILL-SAM-00143</t>
  </si>
  <si>
    <t xml:space="preserve">TXN-SAM-000547</t>
  </si>
  <si>
    <t xml:space="preserve">Seasonal hand/truck driver (71 h) - custom 60%</t>
  </si>
  <si>
    <t xml:space="preserve">TXN-SAM-000548</t>
  </si>
  <si>
    <t xml:space="preserve">TXN-SAM-000549</t>
  </si>
  <si>
    <t xml:space="preserve">TXN-SAM-000550</t>
  </si>
  <si>
    <t xml:space="preserve">Interest - LN-SAM-004 payment 3/48</t>
  </si>
  <si>
    <t xml:space="preserve">TXN-SAM-000551</t>
  </si>
  <si>
    <t xml:space="preserve">Principal - LN-SAM-004 payment 3/48</t>
  </si>
  <si>
    <t xml:space="preserve">TXN-SAM-000552</t>
  </si>
  <si>
    <t xml:space="preserve">TXN-SAM-000553</t>
  </si>
  <si>
    <t xml:space="preserve">TXN-SAM-000554</t>
  </si>
  <si>
    <t xml:space="preserve">Interest - LN-SAM-001 payment 6/20</t>
  </si>
  <si>
    <t xml:space="preserve">TXN-SAM-000555</t>
  </si>
  <si>
    <t xml:space="preserve">Principal - LN-SAM-001 payment 6/20</t>
  </si>
  <si>
    <t xml:space="preserve">TXN-SAM-000556</t>
  </si>
  <si>
    <t xml:space="preserve">TXN-SAM-000557</t>
  </si>
  <si>
    <t xml:space="preserve">TXN-SAM-000558</t>
  </si>
  <si>
    <t xml:space="preserve">TXN-SAM-000559</t>
  </si>
  <si>
    <t xml:space="preserve">Interest - LN-SAM-005 payment 42/60</t>
  </si>
  <si>
    <t xml:space="preserve">TXN-SAM-000560</t>
  </si>
  <si>
    <t xml:space="preserve">Principal - LN-SAM-005 payment 42/60</t>
  </si>
  <si>
    <t xml:space="preserve">TXN-SAM-000561</t>
  </si>
  <si>
    <t xml:space="preserve">TXN-SAM-000562</t>
  </si>
  <si>
    <t xml:space="preserve">Interest - LN-SAM-004 payment 4/48</t>
  </si>
  <si>
    <t xml:space="preserve">TXN-SAM-000563</t>
  </si>
  <si>
    <t xml:space="preserve">Principal - LN-SAM-004 payment 4/48</t>
  </si>
  <si>
    <t xml:space="preserve">TXN-SAM-000564</t>
  </si>
  <si>
    <t xml:space="preserve">Ginning, bagging &amp; ties - 92 bales (44,928 lb lint)</t>
  </si>
  <si>
    <t xml:space="preserve">BILL-SAM-00144</t>
  </si>
  <si>
    <t xml:space="preserve">TXN-SAM-000565</t>
  </si>
  <si>
    <t xml:space="preserve">Cottonseed 31.9 tons @ $195</t>
  </si>
  <si>
    <t xml:space="preserve">INV-SAM-00026</t>
  </si>
  <si>
    <t xml:space="preserve">TXN-SAM-000566</t>
  </si>
  <si>
    <t xml:space="preserve">2024 cotton - pool advance (44,928 lb @ $0.645 est. pool price)</t>
  </si>
  <si>
    <t xml:space="preserve">POOL-SAM-2024</t>
  </si>
  <si>
    <t xml:space="preserve">TXN-SAM-000567</t>
  </si>
  <si>
    <t xml:space="preserve">2024 cotton - pool progress/final (44,928 lb @ $0.645 est. pool price)</t>
  </si>
  <si>
    <t xml:space="preserve">TXN-SAM-000568</t>
  </si>
  <si>
    <t xml:space="preserve">TXN-SAM-000569</t>
  </si>
  <si>
    <t xml:space="preserve">TXN-SAM-000570</t>
  </si>
  <si>
    <t xml:space="preserve">2024 KS property tax - 1st half</t>
  </si>
  <si>
    <t xml:space="preserve">TXN-SAM-000571</t>
  </si>
  <si>
    <t xml:space="preserve">TXN-SAM-000572</t>
  </si>
  <si>
    <t xml:space="preserve">TXN-SAM-000573</t>
  </si>
  <si>
    <t xml:space="preserve">TXN-SAM-000574</t>
  </si>
  <si>
    <t xml:space="preserve">2024 Carson Co. property tax (ag use)</t>
  </si>
  <si>
    <t xml:space="preserve">TXN-SAM-000575</t>
  </si>
  <si>
    <t xml:space="preserve">2024 KS property tax - 2nd half (due May 10)</t>
  </si>
  <si>
    <t xml:space="preserve">TXN-SAM-000576</t>
  </si>
  <si>
    <t xml:space="preserve">TXN-SAM-000577</t>
  </si>
  <si>
    <t xml:space="preserve">TXN-SAM-000578</t>
  </si>
  <si>
    <t xml:space="preserve">Interest - LN-SAM-005 payment 43/60</t>
  </si>
  <si>
    <t xml:space="preserve">TXN-SAM-000579</t>
  </si>
  <si>
    <t xml:space="preserve">Principal - LN-SAM-005 payment 43/60</t>
  </si>
  <si>
    <t xml:space="preserve">TXN-SAM-000580</t>
  </si>
  <si>
    <t xml:space="preserve">TXN-SAM-000581</t>
  </si>
  <si>
    <t xml:space="preserve">Interest - LN-SAM-002 payment 3/7</t>
  </si>
  <si>
    <t xml:space="preserve">TXN-SAM-000582</t>
  </si>
  <si>
    <t xml:space="preserve">Principal - LN-SAM-002 payment 3/7</t>
  </si>
  <si>
    <t xml:space="preserve">TXN-SAM-000583</t>
  </si>
  <si>
    <t xml:space="preserve">TXN-SAM-000584</t>
  </si>
  <si>
    <t xml:space="preserve">TXN-SAM-000585</t>
  </si>
  <si>
    <t xml:space="preserve">Wheat (2024 crop) 1,472 bu @ $5.22 from bin</t>
  </si>
  <si>
    <t xml:space="preserve">INV-SAM-00008</t>
  </si>
  <si>
    <t xml:space="preserve">TXN-SAM-000586</t>
  </si>
  <si>
    <t xml:space="preserve">Interest - LN-SAM-004 payment 5/48</t>
  </si>
  <si>
    <t xml:space="preserve">TXN-SAM-000587</t>
  </si>
  <si>
    <t xml:space="preserve">Principal - LN-SAM-004 payment 5/48</t>
  </si>
  <si>
    <t xml:space="preserve">TXN-SAM-000588</t>
  </si>
  <si>
    <t xml:space="preserve">Commercial auto (trucks) + custom-harvest liability incl. semi</t>
  </si>
  <si>
    <t xml:space="preserve">TXN-SAM-000589</t>
  </si>
  <si>
    <t xml:space="preserve">TXN-SAM-000590</t>
  </si>
  <si>
    <t xml:space="preserve">BILL-SAM-00145</t>
  </si>
  <si>
    <t xml:space="preserve">TXN-SAM-000591</t>
  </si>
  <si>
    <t xml:space="preserve">Soybeans (2024 crop) 4,000 bu @ $9.94 from bin</t>
  </si>
  <si>
    <t xml:space="preserve">INV-SAM-00010</t>
  </si>
  <si>
    <t xml:space="preserve">TXN-SAM-000592</t>
  </si>
  <si>
    <t xml:space="preserve">TXN-SAM-000593</t>
  </si>
  <si>
    <t xml:space="preserve">TXN-SAM-000594</t>
  </si>
  <si>
    <t xml:space="preserve">TXN-SAM-000595</t>
  </si>
  <si>
    <t xml:space="preserve">TXN-SAM-000596</t>
  </si>
  <si>
    <t xml:space="preserve">TXN-SAM-000597</t>
  </si>
  <si>
    <t xml:space="preserve">TXN-SAM-000598</t>
  </si>
  <si>
    <t xml:space="preserve">Interest - LN-SAM-005 payment 44/60</t>
  </si>
  <si>
    <t xml:space="preserve">TXN-SAM-000599</t>
  </si>
  <si>
    <t xml:space="preserve">Principal - LN-SAM-005 payment 44/60</t>
  </si>
  <si>
    <t xml:space="preserve">TXN-SAM-000600</t>
  </si>
  <si>
    <t xml:space="preserve">TXN-SAM-000601</t>
  </si>
  <si>
    <t xml:space="preserve">Interest - LN-SAM-004 payment 6/48</t>
  </si>
  <si>
    <t xml:space="preserve">TXN-SAM-000602</t>
  </si>
  <si>
    <t xml:space="preserve">Principal - LN-SAM-004 payment 6/48</t>
  </si>
  <si>
    <t xml:space="preserve">TXN-SAM-000603</t>
  </si>
  <si>
    <t xml:space="preserve">TXN-SAM-000604</t>
  </si>
  <si>
    <t xml:space="preserve">TXN-SAM-000605</t>
  </si>
  <si>
    <t xml:space="preserve">TXN-SAM-000606</t>
  </si>
  <si>
    <t xml:space="preserve">TXN-SAM-000607</t>
  </si>
  <si>
    <t xml:space="preserve">BILL-SAM-00051</t>
  </si>
  <si>
    <t xml:space="preserve">TXN-SAM-000608</t>
  </si>
  <si>
    <t xml:space="preserve">BILL-SAM-00146</t>
  </si>
  <si>
    <t xml:space="preserve">TXN-SAM-000609</t>
  </si>
  <si>
    <t xml:space="preserve">Loan proceeds - 8R tractor</t>
  </si>
  <si>
    <t xml:space="preserve">LN-SAM-003</t>
  </si>
  <si>
    <t xml:space="preserve">TXN-SAM-000610</t>
  </si>
  <si>
    <t xml:space="preserve">TXN-SAM-000611</t>
  </si>
  <si>
    <t xml:space="preserve">JD 8R 280 tractor purchase (Big Iron Equipment Sales)</t>
  </si>
  <si>
    <t xml:space="preserve">AST-SAM-007</t>
  </si>
  <si>
    <t xml:space="preserve">TXN-SAM-000612</t>
  </si>
  <si>
    <t xml:space="preserve">Trade-in allowance JD 7830 (11 yrs, 7,400 hrs)</t>
  </si>
  <si>
    <t xml:space="preserve">Trade-in credit</t>
  </si>
  <si>
    <t xml:space="preserve">AST-SAM-008</t>
  </si>
  <si>
    <t xml:space="preserve">TXN-SAM-000613</t>
  </si>
  <si>
    <t xml:space="preserve">TXN-SAM-000614</t>
  </si>
  <si>
    <t xml:space="preserve">Interest - LN-SAM-005 payment 45/60</t>
  </si>
  <si>
    <t xml:space="preserve">TXN-SAM-000615</t>
  </si>
  <si>
    <t xml:space="preserve">Principal - LN-SAM-005 payment 45/60</t>
  </si>
  <si>
    <t xml:space="preserve">TXN-SAM-000616</t>
  </si>
  <si>
    <t xml:space="preserve">TXN-SAM-000617</t>
  </si>
  <si>
    <t xml:space="preserve">BILL-SAM-00249</t>
  </si>
  <si>
    <t xml:space="preserve">TXN-SAM-000618</t>
  </si>
  <si>
    <t xml:space="preserve">TXN-SAM-000619</t>
  </si>
  <si>
    <t xml:space="preserve">TXN-SAM-000620</t>
  </si>
  <si>
    <t xml:space="preserve">TXN-SAM-000621</t>
  </si>
  <si>
    <t xml:space="preserve">Interest - LN-SAM-004 payment 7/48</t>
  </si>
  <si>
    <t xml:space="preserve">TXN-SAM-000622</t>
  </si>
  <si>
    <t xml:space="preserve">Principal - LN-SAM-004 payment 7/48</t>
  </si>
  <si>
    <t xml:space="preserve">TXN-SAM-000623</t>
  </si>
  <si>
    <t xml:space="preserve">TXN-SAM-000624</t>
  </si>
  <si>
    <t xml:space="preserve">BILL-SAM-00052</t>
  </si>
  <si>
    <t xml:space="preserve">TXN-SAM-000625</t>
  </si>
  <si>
    <t xml:space="preserve">TXN-SAM-000626</t>
  </si>
  <si>
    <t xml:space="preserve">TXN-SAM-000627</t>
  </si>
  <si>
    <t xml:space="preserve">TXN-SAM-000628</t>
  </si>
  <si>
    <t xml:space="preserve">BILL-SAM-00056</t>
  </si>
  <si>
    <t xml:space="preserve">TXN-SAM-000629</t>
  </si>
  <si>
    <t xml:space="preserve">Emergency Commodity Assistance Program - 2024 cotton 96 ac</t>
  </si>
  <si>
    <t xml:space="preserve">TXN-SAM-000630</t>
  </si>
  <si>
    <t xml:space="preserve">Emergency Commodity Assistance Program - 2024 soybeans 205 ac</t>
  </si>
  <si>
    <t xml:space="preserve">TXN-SAM-000631</t>
  </si>
  <si>
    <t xml:space="preserve">Emergency Commodity Assistance Program - 2024 wheat 80 ac</t>
  </si>
  <si>
    <t xml:space="preserve">TXN-SAM-000632</t>
  </si>
  <si>
    <t xml:space="preserve">TXN-SAM-000633</t>
  </si>
  <si>
    <t xml:space="preserve">BILL-SAM-00250</t>
  </si>
  <si>
    <t xml:space="preserve">TXN-SAM-000634</t>
  </si>
  <si>
    <t xml:space="preserve">TXN-SAM-000635</t>
  </si>
  <si>
    <t xml:space="preserve">TXN-SAM-000636</t>
  </si>
  <si>
    <t xml:space="preserve">Interest - LN-SAM-005 payment 46/60</t>
  </si>
  <si>
    <t xml:space="preserve">TXN-SAM-000637</t>
  </si>
  <si>
    <t xml:space="preserve">Principal - LN-SAM-005 payment 46/60</t>
  </si>
  <si>
    <t xml:space="preserve">TXN-SAM-000638</t>
  </si>
  <si>
    <t xml:space="preserve">TXN-SAM-000639</t>
  </si>
  <si>
    <t xml:space="preserve">BILL-SAM-00148</t>
  </si>
  <si>
    <t xml:space="preserve">TXN-SAM-000640</t>
  </si>
  <si>
    <t xml:space="preserve">BILL-SAM-00147</t>
  </si>
  <si>
    <t xml:space="preserve">TXN-SAM-000641</t>
  </si>
  <si>
    <t xml:space="preserve">TXN-SAM-000642</t>
  </si>
  <si>
    <t xml:space="preserve">Interest - LN-SAM-004 payment 8/48</t>
  </si>
  <si>
    <t xml:space="preserve">TXN-SAM-000643</t>
  </si>
  <si>
    <t xml:space="preserve">Principal - LN-SAM-004 payment 8/48</t>
  </si>
  <si>
    <t xml:space="preserve">TXN-SAM-000644</t>
  </si>
  <si>
    <t xml:space="preserve">BILL-SAM-00060</t>
  </si>
  <si>
    <t xml:space="preserve">TXN-SAM-000645</t>
  </si>
  <si>
    <t xml:space="preserve">TXN-SAM-000646</t>
  </si>
  <si>
    <t xml:space="preserve">BILL-SAM-00057</t>
  </si>
  <si>
    <t xml:space="preserve">TXN-SAM-000647</t>
  </si>
  <si>
    <t xml:space="preserve">BILL-SAM-00149</t>
  </si>
  <si>
    <t xml:space="preserve">TXN-SAM-000648</t>
  </si>
  <si>
    <t xml:space="preserve">TXN-SAM-000649</t>
  </si>
  <si>
    <t xml:space="preserve">TXN-SAM-000650</t>
  </si>
  <si>
    <t xml:space="preserve">TXN-SAM-000651</t>
  </si>
  <si>
    <t xml:space="preserve">Stripe rust fungicide (flag leaf)</t>
  </si>
  <si>
    <t xml:space="preserve">BILL-SAM-00053</t>
  </si>
  <si>
    <t xml:space="preserve">TXN-SAM-000652</t>
  </si>
  <si>
    <t xml:space="preserve">TXN-SAM-000653</t>
  </si>
  <si>
    <t xml:space="preserve">BILL-SAM-00067</t>
  </si>
  <si>
    <t xml:space="preserve">TXN-SAM-000654</t>
  </si>
  <si>
    <t xml:space="preserve">Interest - LN-SAM-005 payment 47/60</t>
  </si>
  <si>
    <t xml:space="preserve">TXN-SAM-000655</t>
  </si>
  <si>
    <t xml:space="preserve">Principal - LN-SAM-005 payment 47/60</t>
  </si>
  <si>
    <t xml:space="preserve">TXN-SAM-000656</t>
  </si>
  <si>
    <t xml:space="preserve">TXN-SAM-000657</t>
  </si>
  <si>
    <t xml:space="preserve">TXN-SAM-000658</t>
  </si>
  <si>
    <t xml:space="preserve">TXN-SAM-000659</t>
  </si>
  <si>
    <t xml:space="preserve">Interest - LN-SAM-004 payment 9/48</t>
  </si>
  <si>
    <t xml:space="preserve">TXN-SAM-000660</t>
  </si>
  <si>
    <t xml:space="preserve">Principal - LN-SAM-004 payment 9/48</t>
  </si>
  <si>
    <t xml:space="preserve">TXN-SAM-000661</t>
  </si>
  <si>
    <t xml:space="preserve">TXN-SAM-000662</t>
  </si>
  <si>
    <t xml:space="preserve">TXN-SAM-000663</t>
  </si>
  <si>
    <t xml:space="preserve">BILL-SAM-00151</t>
  </si>
  <si>
    <t xml:space="preserve">TXN-SAM-000664</t>
  </si>
  <si>
    <t xml:space="preserve">BILL-SAM-00150</t>
  </si>
  <si>
    <t xml:space="preserve">TXN-SAM-000665</t>
  </si>
  <si>
    <t xml:space="preserve">BILL-SAM-00070</t>
  </si>
  <si>
    <t xml:space="preserve">TXN-SAM-000666</t>
  </si>
  <si>
    <t xml:space="preserve">BILL-SAM-00152</t>
  </si>
  <si>
    <t xml:space="preserve">TXN-SAM-000667</t>
  </si>
  <si>
    <t xml:space="preserve">BILL-SAM-00068</t>
  </si>
  <si>
    <t xml:space="preserve">TXN-SAM-000668</t>
  </si>
  <si>
    <t xml:space="preserve">TXN-SAM-000669</t>
  </si>
  <si>
    <t xml:space="preserve">TXN-SAM-000670</t>
  </si>
  <si>
    <t xml:space="preserve">TXN-SAM-000671</t>
  </si>
  <si>
    <t xml:space="preserve">TXN-SAM-000672</t>
  </si>
  <si>
    <t xml:space="preserve">TXN-SAM-000673</t>
  </si>
  <si>
    <t xml:space="preserve">BILL-SAM-00058</t>
  </si>
  <si>
    <t xml:space="preserve">TXN-SAM-000674</t>
  </si>
  <si>
    <t xml:space="preserve">TXN-SAM-000675</t>
  </si>
  <si>
    <t xml:space="preserve">TXN-SAM-000676</t>
  </si>
  <si>
    <t xml:space="preserve">BILL-SAM-00209</t>
  </si>
  <si>
    <t xml:space="preserve">TXN-SAM-000677</t>
  </si>
  <si>
    <t xml:space="preserve">TXN-SAM-000678</t>
  </si>
  <si>
    <t xml:space="preserve">Interest - LN-SAM-005 payment 48/60</t>
  </si>
  <si>
    <t xml:space="preserve">TXN-SAM-000679</t>
  </si>
  <si>
    <t xml:space="preserve">Principal - LN-SAM-005 payment 48/60</t>
  </si>
  <si>
    <t xml:space="preserve">TXN-SAM-000680</t>
  </si>
  <si>
    <t xml:space="preserve">TXN-SAM-000681</t>
  </si>
  <si>
    <t xml:space="preserve">TXN-SAM-000682</t>
  </si>
  <si>
    <t xml:space="preserve">Seasonal hand/truck driver (106 h) - custom 60%</t>
  </si>
  <si>
    <t xml:space="preserve">TXN-SAM-000683</t>
  </si>
  <si>
    <t xml:space="preserve">TXN-SAM-000684</t>
  </si>
  <si>
    <t xml:space="preserve">TXN-SAM-000685</t>
  </si>
  <si>
    <t xml:space="preserve">TXN-SAM-000686</t>
  </si>
  <si>
    <t xml:space="preserve">Interest - LN-SAM-004 payment 10/48</t>
  </si>
  <si>
    <t xml:space="preserve">TXN-SAM-000687</t>
  </si>
  <si>
    <t xml:space="preserve">Principal - LN-SAM-004 payment 10/48</t>
  </si>
  <si>
    <t xml:space="preserve">TXN-SAM-000688</t>
  </si>
  <si>
    <t xml:space="preserve">Irrigation pumping power (3.0 in)</t>
  </si>
  <si>
    <t xml:space="preserve">BILL-SAM-00061</t>
  </si>
  <si>
    <t xml:space="preserve">TXN-SAM-000689</t>
  </si>
  <si>
    <t xml:space="preserve">TXN-SAM-000690</t>
  </si>
  <si>
    <t xml:space="preserve">BILL-SAM-00054</t>
  </si>
  <si>
    <t xml:space="preserve">TXN-SAM-000691</t>
  </si>
  <si>
    <t xml:space="preserve">Custom combining wheat 169 ac @ $42/ac - Gail Schrag</t>
  </si>
  <si>
    <t xml:space="preserve">INV-SAM-00080</t>
  </si>
  <si>
    <t xml:space="preserve">TXN-SAM-000692</t>
  </si>
  <si>
    <t xml:space="preserve">Custom hauling 5,577 bu @ $0.2/bu - Gail Schrag</t>
  </si>
  <si>
    <t xml:space="preserve">TXN-SAM-000693</t>
  </si>
  <si>
    <t xml:space="preserve">BILL-SAM-00154</t>
  </si>
  <si>
    <t xml:space="preserve">TXN-SAM-000694</t>
  </si>
  <si>
    <t xml:space="preserve">BILL-SAM-00153</t>
  </si>
  <si>
    <t xml:space="preserve">TXN-SAM-000695</t>
  </si>
  <si>
    <t xml:space="preserve">Custom combining wheat 192 ac @ $42/ac - Dale &amp; Jo Unruh</t>
  </si>
  <si>
    <t xml:space="preserve">INV-SAM-00083</t>
  </si>
  <si>
    <t xml:space="preserve">TXN-SAM-000696</t>
  </si>
  <si>
    <t xml:space="preserve">Custom hauling 6,336 bu @ $0.2/bu - Dale &amp; Jo Unruh</t>
  </si>
  <si>
    <t xml:space="preserve">TXN-SAM-000697</t>
  </si>
  <si>
    <t xml:space="preserve">Custom combining wheat 133 ac @ $42/ac - Smoky Hill Farms LLC</t>
  </si>
  <si>
    <t xml:space="preserve">INV-SAM-00084</t>
  </si>
  <si>
    <t xml:space="preserve">TXN-SAM-000698</t>
  </si>
  <si>
    <t xml:space="preserve">Custom hauling 4,389 bu @ $0.2/bu - Smoky Hill Farms LLC</t>
  </si>
  <si>
    <t xml:space="preserve">TXN-SAM-000699</t>
  </si>
  <si>
    <t xml:space="preserve">Wheat (2025 crop) 2,120 bu @ $4.82 at harvest</t>
  </si>
  <si>
    <t xml:space="preserve">INV-SAM-00012</t>
  </si>
  <si>
    <t xml:space="preserve">TXN-SAM-000700</t>
  </si>
  <si>
    <t xml:space="preserve">TXN-SAM-000701</t>
  </si>
  <si>
    <t xml:space="preserve">TXN-SAM-000702</t>
  </si>
  <si>
    <t xml:space="preserve">TXN-SAM-000703</t>
  </si>
  <si>
    <t xml:space="preserve">TXN-SAM-000704</t>
  </si>
  <si>
    <t xml:space="preserve">BILL-SAM-00069</t>
  </si>
  <si>
    <t xml:space="preserve">TXN-SAM-000705</t>
  </si>
  <si>
    <t xml:space="preserve">BILL-SAM-00055</t>
  </si>
  <si>
    <t xml:space="preserve">TXN-SAM-000706</t>
  </si>
  <si>
    <t xml:space="preserve">Custom combining wheat 351 ac @ $42/ac - Ostrander Farms</t>
  </si>
  <si>
    <t xml:space="preserve">INV-SAM-00078</t>
  </si>
  <si>
    <t xml:space="preserve">TXN-SAM-000707</t>
  </si>
  <si>
    <t xml:space="preserve">Custom hauling 11,583 bu @ $0.2/bu - Ostrander Farms</t>
  </si>
  <si>
    <t xml:space="preserve">TXN-SAM-000708</t>
  </si>
  <si>
    <t xml:space="preserve">TXN-SAM-000709</t>
  </si>
  <si>
    <t xml:space="preserve">TXN-SAM-000710</t>
  </si>
  <si>
    <t xml:space="preserve">Custom combining wheat 507 ac @ $42/ac - Heartland Land &amp; Cattle</t>
  </si>
  <si>
    <t xml:space="preserve">INV-SAM-00077</t>
  </si>
  <si>
    <t xml:space="preserve">TXN-SAM-000711</t>
  </si>
  <si>
    <t xml:space="preserve">Custom hauling 16,731 bu @ $0.2/bu - Heartland Land &amp; Cattle</t>
  </si>
  <si>
    <t xml:space="preserve">TXN-SAM-000712</t>
  </si>
  <si>
    <t xml:space="preserve">TXN-SAM-000713</t>
  </si>
  <si>
    <t xml:space="preserve">Diesel - custom combining wheat (2,020 ac)</t>
  </si>
  <si>
    <t xml:space="preserve">BILL-SAM-00207</t>
  </si>
  <si>
    <t xml:space="preserve">TXN-SAM-000714</t>
  </si>
  <si>
    <t xml:space="preserve">BILL-SAM-00208</t>
  </si>
  <si>
    <t xml:space="preserve">TXN-SAM-000715</t>
  </si>
  <si>
    <t xml:space="preserve">Custom combining wheat 261 ac @ $42/ac - Lindquist Family Farms</t>
  </si>
  <si>
    <t xml:space="preserve">INV-SAM-00081</t>
  </si>
  <si>
    <t xml:space="preserve">TXN-SAM-000716</t>
  </si>
  <si>
    <t xml:space="preserve">Custom hauling 8,613 bu @ $0.2/bu - Lindquist Family Farms</t>
  </si>
  <si>
    <t xml:space="preserve">TXN-SAM-000717</t>
  </si>
  <si>
    <t xml:space="preserve">Custom combining wheat 238 ac @ $42/ac - Rudd Brothers Partnership</t>
  </si>
  <si>
    <t xml:space="preserve">INV-SAM-00079</t>
  </si>
  <si>
    <t xml:space="preserve">TXN-SAM-000718</t>
  </si>
  <si>
    <t xml:space="preserve">Custom hauling 7,854 bu @ $0.2/bu - Rudd Brothers Partnership</t>
  </si>
  <si>
    <t xml:space="preserve">TXN-SAM-000719</t>
  </si>
  <si>
    <t xml:space="preserve">Custom combining wheat 154 ac @ $42/ac - Prairie Rose Dairy</t>
  </si>
  <si>
    <t xml:space="preserve">INV-SAM-00082</t>
  </si>
  <si>
    <t xml:space="preserve">TXN-SAM-000720</t>
  </si>
  <si>
    <t xml:space="preserve">Custom hauling 5,082 bu @ $0.2/bu - Prairie Rose Dairy</t>
  </si>
  <si>
    <t xml:space="preserve">TXN-SAM-000721</t>
  </si>
  <si>
    <t xml:space="preserve">TXN-SAM-000722</t>
  </si>
  <si>
    <t xml:space="preserve">Interest - LN-SAM-005 payment 49/60</t>
  </si>
  <si>
    <t xml:space="preserve">TXN-SAM-000723</t>
  </si>
  <si>
    <t xml:space="preserve">Principal - LN-SAM-005 payment 49/60</t>
  </si>
  <si>
    <t xml:space="preserve">TXN-SAM-000724</t>
  </si>
  <si>
    <t xml:space="preserve">Seasonal hand/truck driver (104 h) - custom 60%</t>
  </si>
  <si>
    <t xml:space="preserve">TXN-SAM-000725</t>
  </si>
  <si>
    <t xml:space="preserve">TXN-SAM-000726</t>
  </si>
  <si>
    <t xml:space="preserve">TXN-SAM-000727</t>
  </si>
  <si>
    <t xml:space="preserve">TXN-SAM-000728</t>
  </si>
  <si>
    <t xml:space="preserve">TXN-SAM-000729</t>
  </si>
  <si>
    <t xml:space="preserve">Interest - LN-SAM-004 payment 11/48</t>
  </si>
  <si>
    <t xml:space="preserve">TXN-SAM-000730</t>
  </si>
  <si>
    <t xml:space="preserve">Principal - LN-SAM-004 payment 11/48</t>
  </si>
  <si>
    <t xml:space="preserve">TXN-SAM-000731</t>
  </si>
  <si>
    <t xml:space="preserve">Irrigation pumping power (5.4 in)</t>
  </si>
  <si>
    <t xml:space="preserve">BILL-SAM-00062</t>
  </si>
  <si>
    <t xml:space="preserve">TXN-SAM-000732</t>
  </si>
  <si>
    <t xml:space="preserve">BILL-SAM-00059</t>
  </si>
  <si>
    <t xml:space="preserve">TXN-SAM-000733</t>
  </si>
  <si>
    <t xml:space="preserve">BILL-SAM-00156</t>
  </si>
  <si>
    <t xml:space="preserve">TXN-SAM-000734</t>
  </si>
  <si>
    <t xml:space="preserve">BILL-SAM-00155</t>
  </si>
  <si>
    <t xml:space="preserve">TXN-SAM-000735</t>
  </si>
  <si>
    <t xml:space="preserve">TXN-SAM-000736</t>
  </si>
  <si>
    <t xml:space="preserve">TXN-SAM-000737</t>
  </si>
  <si>
    <t xml:space="preserve">TXN-SAM-000738</t>
  </si>
  <si>
    <t xml:space="preserve">TXN-SAM-000739</t>
  </si>
  <si>
    <t xml:space="preserve">TXN-SAM-000740</t>
  </si>
  <si>
    <t xml:space="preserve">TXN-SAM-000741</t>
  </si>
  <si>
    <t xml:space="preserve">TXN-SAM-000742</t>
  </si>
  <si>
    <t xml:space="preserve">TXN-SAM-000743</t>
  </si>
  <si>
    <t xml:space="preserve">TXN-SAM-000744</t>
  </si>
  <si>
    <t xml:space="preserve">TXN-SAM-000745</t>
  </si>
  <si>
    <t xml:space="preserve">TXN-SAM-000746</t>
  </si>
  <si>
    <t xml:space="preserve">Interest - LN-SAM-005 payment 50/60</t>
  </si>
  <si>
    <t xml:space="preserve">TXN-SAM-000747</t>
  </si>
  <si>
    <t xml:space="preserve">Principal - LN-SAM-005 payment 50/60</t>
  </si>
  <si>
    <t xml:space="preserve">TXN-SAM-000748</t>
  </si>
  <si>
    <t xml:space="preserve">TXN-SAM-000749</t>
  </si>
  <si>
    <t xml:space="preserve">Supplemental Disaster Relief Program (SDRP) stage 1 - 2023 losses</t>
  </si>
  <si>
    <t xml:space="preserve">TXN-SAM-000750</t>
  </si>
  <si>
    <t xml:space="preserve">TXN-SAM-000751</t>
  </si>
  <si>
    <t xml:space="preserve">Interest - LN-SAM-004 payment 12/48</t>
  </si>
  <si>
    <t xml:space="preserve">TXN-SAM-000752</t>
  </si>
  <si>
    <t xml:space="preserve">Principal - LN-SAM-004 payment 12/48</t>
  </si>
  <si>
    <t xml:space="preserve">TXN-SAM-000753</t>
  </si>
  <si>
    <t xml:space="preserve">Irrigation pumping power (3.6 in)</t>
  </si>
  <si>
    <t xml:space="preserve">BILL-SAM-00063</t>
  </si>
  <si>
    <t xml:space="preserve">TXN-SAM-000754</t>
  </si>
  <si>
    <t xml:space="preserve">Combine repair - Rotor gearbox + feeder house rebuild (breakdown during pre-season check) (custom share 88% by separator hrs)</t>
  </si>
  <si>
    <t xml:space="preserve">BILL-SAM-00238</t>
  </si>
  <si>
    <t xml:space="preserve">TXN-SAM-000755</t>
  </si>
  <si>
    <t xml:space="preserve">Combine repair - Rotor gearbox + feeder house rebuild (breakdown during pre-season check) (own-crop share 12%)</t>
  </si>
  <si>
    <t xml:space="preserve">BILL-SAM-00239</t>
  </si>
  <si>
    <t xml:space="preserve">TXN-SAM-000756</t>
  </si>
  <si>
    <t xml:space="preserve">Seasonal hand/truck driver (64 h) - custom 60%</t>
  </si>
  <si>
    <t xml:space="preserve">TXN-SAM-000757</t>
  </si>
  <si>
    <t xml:space="preserve">TXN-SAM-000758</t>
  </si>
  <si>
    <t xml:space="preserve">TXN-SAM-000759</t>
  </si>
  <si>
    <t xml:space="preserve">TXN-SAM-000760</t>
  </si>
  <si>
    <t xml:space="preserve">TXN-SAM-000761</t>
  </si>
  <si>
    <t xml:space="preserve">TXN-SAM-000762</t>
  </si>
  <si>
    <t xml:space="preserve">TXN-SAM-000763</t>
  </si>
  <si>
    <t xml:space="preserve">BILL-SAM-00215</t>
  </si>
  <si>
    <t xml:space="preserve">TXN-SAM-000764</t>
  </si>
  <si>
    <t xml:space="preserve">Seasonal hand/truck driver (65 h) - custom 60%</t>
  </si>
  <si>
    <t xml:space="preserve">TXN-SAM-000765</t>
  </si>
  <si>
    <t xml:space="preserve">TXN-SAM-000766</t>
  </si>
  <si>
    <t xml:space="preserve">TXN-SAM-000767</t>
  </si>
  <si>
    <t xml:space="preserve">TXN-SAM-000768</t>
  </si>
  <si>
    <t xml:space="preserve">TXN-SAM-000769</t>
  </si>
  <si>
    <t xml:space="preserve">Interest - LN-SAM-005 payment 51/60</t>
  </si>
  <si>
    <t xml:space="preserve">TXN-SAM-000770</t>
  </si>
  <si>
    <t xml:space="preserve">Principal - LN-SAM-005 payment 51/60</t>
  </si>
  <si>
    <t xml:space="preserve">TXN-SAM-000771</t>
  </si>
  <si>
    <t xml:space="preserve">TXN-SAM-000772</t>
  </si>
  <si>
    <t xml:space="preserve">TXN-SAM-000773</t>
  </si>
  <si>
    <t xml:space="preserve">Interest - LN-SAM-004 payment 13/48</t>
  </si>
  <si>
    <t xml:space="preserve">TXN-SAM-000774</t>
  </si>
  <si>
    <t xml:space="preserve">Principal - LN-SAM-004 payment 13/48</t>
  </si>
  <si>
    <t xml:space="preserve">TXN-SAM-000775</t>
  </si>
  <si>
    <t xml:space="preserve">BILL-SAM-00212</t>
  </si>
  <si>
    <t xml:space="preserve">TXN-SAM-000776</t>
  </si>
  <si>
    <t xml:space="preserve">TXN-SAM-000777</t>
  </si>
  <si>
    <t xml:space="preserve">TXN-SAM-000778</t>
  </si>
  <si>
    <t xml:space="preserve">TXN-SAM-000779</t>
  </si>
  <si>
    <t xml:space="preserve">TXN-SAM-000780</t>
  </si>
  <si>
    <t xml:space="preserve">TXN-SAM-000781</t>
  </si>
  <si>
    <t xml:space="preserve">TXN-SAM-000782</t>
  </si>
  <si>
    <t xml:space="preserve">Operating line interest (8.25%)</t>
  </si>
  <si>
    <t xml:space="preserve">TXN-SAM-000783</t>
  </si>
  <si>
    <t xml:space="preserve">TXN-SAM-000784</t>
  </si>
  <si>
    <t xml:space="preserve">Seasonal hand/truck driver (105 h) - custom 60%</t>
  </si>
  <si>
    <t xml:space="preserve">TXN-SAM-000785</t>
  </si>
  <si>
    <t xml:space="preserve">TXN-SAM-000786</t>
  </si>
  <si>
    <t xml:space="preserve">TXN-SAM-000787</t>
  </si>
  <si>
    <t xml:space="preserve">BILL-SAM-00064</t>
  </si>
  <si>
    <t xml:space="preserve">TXN-SAM-000788</t>
  </si>
  <si>
    <t xml:space="preserve">BILL-SAM-00251</t>
  </si>
  <si>
    <t xml:space="preserve">TXN-SAM-000789</t>
  </si>
  <si>
    <t xml:space="preserve">Custom combining corn 169 ac @ $47/ac - Lindquist Family Farms</t>
  </si>
  <si>
    <t xml:space="preserve">INV-SAM-00097</t>
  </si>
  <si>
    <t xml:space="preserve">TXN-SAM-000790</t>
  </si>
  <si>
    <t xml:space="preserve">Custom hauling 20,914 bu @ $0.2/bu - Lindquist Family Farms</t>
  </si>
  <si>
    <t xml:space="preserve">TXN-SAM-000791</t>
  </si>
  <si>
    <t xml:space="preserve">Custom combining corn 127 ac @ $47/ac - Gail Schrag</t>
  </si>
  <si>
    <t xml:space="preserve">INV-SAM-00096</t>
  </si>
  <si>
    <t xml:space="preserve">TXN-SAM-000792</t>
  </si>
  <si>
    <t xml:space="preserve">Custom hauling 15,716 bu @ $0.2/bu - Gail Schrag</t>
  </si>
  <si>
    <t xml:space="preserve">TXN-SAM-000793</t>
  </si>
  <si>
    <t xml:space="preserve">Custom combining soybeans 163 ac @ $43/ac - Lindquist Family Farms</t>
  </si>
  <si>
    <t xml:space="preserve">INV-SAM-00089</t>
  </si>
  <si>
    <t xml:space="preserve">TXN-SAM-000794</t>
  </si>
  <si>
    <t xml:space="preserve">Custom hauling 5,624 bu @ $0.2/bu - Lindquist Family Farms</t>
  </si>
  <si>
    <t xml:space="preserve">TXN-SAM-000795</t>
  </si>
  <si>
    <t xml:space="preserve">TXN-SAM-000796</t>
  </si>
  <si>
    <t xml:space="preserve">Custom combining soybeans 108 ac @ $43/ac - Prairie Rose Dairy</t>
  </si>
  <si>
    <t xml:space="preserve">INV-SAM-00090</t>
  </si>
  <si>
    <t xml:space="preserve">TXN-SAM-000797</t>
  </si>
  <si>
    <t xml:space="preserve">Custom hauling 3,726 bu @ $0.2/bu - Prairie Rose Dairy</t>
  </si>
  <si>
    <t xml:space="preserve">TXN-SAM-000798</t>
  </si>
  <si>
    <t xml:space="preserve">Corn (2025 crop) 10,106 bu @ $3.88 at harvest</t>
  </si>
  <si>
    <t xml:space="preserve">INV-SAM-00014</t>
  </si>
  <si>
    <t xml:space="preserve">TXN-SAM-000799</t>
  </si>
  <si>
    <t xml:space="preserve">Interest - LN-SAM-005 payment 52/60</t>
  </si>
  <si>
    <t xml:space="preserve">TXN-SAM-000800</t>
  </si>
  <si>
    <t xml:space="preserve">Principal - LN-SAM-005 payment 52/60</t>
  </si>
  <si>
    <t xml:space="preserve">TXN-SAM-000801</t>
  </si>
  <si>
    <t xml:space="preserve">Custom combining soybeans 197 ac @ $43/ac - Rudd Brothers Partnership</t>
  </si>
  <si>
    <t xml:space="preserve">INV-SAM-00087</t>
  </si>
  <si>
    <t xml:space="preserve">TXN-SAM-000802</t>
  </si>
  <si>
    <t xml:space="preserve">Custom hauling 6,796 bu @ $0.2/bu - Rudd Brothers Partnership</t>
  </si>
  <si>
    <t xml:space="preserve">TXN-SAM-000803</t>
  </si>
  <si>
    <t xml:space="preserve">Custom combining corn 109 ac @ $47/ac - Dale &amp; Jo Unruh</t>
  </si>
  <si>
    <t xml:space="preserve">INV-SAM-00099</t>
  </si>
  <si>
    <t xml:space="preserve">TXN-SAM-000804</t>
  </si>
  <si>
    <t xml:space="preserve">Custom hauling 13,489 bu @ $0.2/bu - Dale &amp; Jo Unruh</t>
  </si>
  <si>
    <t xml:space="preserve">TXN-SAM-000805</t>
  </si>
  <si>
    <t xml:space="preserve">BILL-SAM-00065</t>
  </si>
  <si>
    <t xml:space="preserve">TXN-SAM-000806</t>
  </si>
  <si>
    <t xml:space="preserve">INV-SAM-00095</t>
  </si>
  <si>
    <t xml:space="preserve">TXN-SAM-000807</t>
  </si>
  <si>
    <t xml:space="preserve">TXN-SAM-000808</t>
  </si>
  <si>
    <t xml:space="preserve">TXN-SAM-000809</t>
  </si>
  <si>
    <t xml:space="preserve">BILL-SAM-00071</t>
  </si>
  <si>
    <t xml:space="preserve">TXN-SAM-000810</t>
  </si>
  <si>
    <t xml:space="preserve">Custom combining soybeans 123 ac @ $43/ac - Dale &amp; Jo Unruh</t>
  </si>
  <si>
    <t xml:space="preserve">INV-SAM-00091</t>
  </si>
  <si>
    <t xml:space="preserve">TXN-SAM-000811</t>
  </si>
  <si>
    <t xml:space="preserve">Custom hauling 4,244 bu @ $0.2/bu - Dale &amp; Jo Unruh</t>
  </si>
  <si>
    <t xml:space="preserve">TXN-SAM-000812</t>
  </si>
  <si>
    <t xml:space="preserve">Custom combining soybeans 380 ac @ $43/ac - Heartland Land &amp; Cattle</t>
  </si>
  <si>
    <t xml:space="preserve">INV-SAM-00085</t>
  </si>
  <si>
    <t xml:space="preserve">TXN-SAM-000813</t>
  </si>
  <si>
    <t xml:space="preserve">Custom hauling 13,110 bu @ $0.2/bu - Heartland Land &amp; Cattle</t>
  </si>
  <si>
    <t xml:space="preserve">TXN-SAM-000814</t>
  </si>
  <si>
    <t xml:space="preserve">Custom combining corn 93 ac @ $47/ac - Prairie Rose Dairy</t>
  </si>
  <si>
    <t xml:space="preserve">INV-SAM-00098</t>
  </si>
  <si>
    <t xml:space="preserve">TXN-SAM-000815</t>
  </si>
  <si>
    <t xml:space="preserve">Custom hauling 11,509 bu @ $0.2/bu - Prairie Rose Dairy</t>
  </si>
  <si>
    <t xml:space="preserve">TXN-SAM-000816</t>
  </si>
  <si>
    <t xml:space="preserve">Custom combining corn 356 ac @ $47/ac - Heartland Land &amp; Cattle</t>
  </si>
  <si>
    <t xml:space="preserve">INV-SAM-00093</t>
  </si>
  <si>
    <t xml:space="preserve">TXN-SAM-000817</t>
  </si>
  <si>
    <t xml:space="preserve">Custom hauling 44,055 bu @ $0.2/bu - Heartland Land &amp; Cattle</t>
  </si>
  <si>
    <t xml:space="preserve">TXN-SAM-000818</t>
  </si>
  <si>
    <t xml:space="preserve">Interest - LN-SAM-004 payment 14/48</t>
  </si>
  <si>
    <t xml:space="preserve">TXN-SAM-000819</t>
  </si>
  <si>
    <t xml:space="preserve">Principal - LN-SAM-004 payment 14/48</t>
  </si>
  <si>
    <t xml:space="preserve">TXN-SAM-000820</t>
  </si>
  <si>
    <t xml:space="preserve">Soybeans (2025 crop) 1,680 bu @ $10.01 at harvest</t>
  </si>
  <si>
    <t xml:space="preserve">INV-SAM-00017</t>
  </si>
  <si>
    <t xml:space="preserve">TXN-SAM-000821</t>
  </si>
  <si>
    <t xml:space="preserve">Custom combining soybeans 118 ac @ $43/ac - Gail Schrag</t>
  </si>
  <si>
    <t xml:space="preserve">INV-SAM-00088</t>
  </si>
  <si>
    <t xml:space="preserve">TXN-SAM-000822</t>
  </si>
  <si>
    <t xml:space="preserve">Custom hauling 4,071 bu @ $0.2/bu - Gail Schrag</t>
  </si>
  <si>
    <t xml:space="preserve">TXN-SAM-000823</t>
  </si>
  <si>
    <t xml:space="preserve">TXN-SAM-000824</t>
  </si>
  <si>
    <t xml:space="preserve">TXN-SAM-000825</t>
  </si>
  <si>
    <t xml:space="preserve">TXN-SAM-000826</t>
  </si>
  <si>
    <t xml:space="preserve">BILL-SAM-00072</t>
  </si>
  <si>
    <t xml:space="preserve">TXN-SAM-000827</t>
  </si>
  <si>
    <t xml:space="preserve">BILL-SAM-00158</t>
  </si>
  <si>
    <t xml:space="preserve">TXN-SAM-000828</t>
  </si>
  <si>
    <t xml:space="preserve">BILL-SAM-00157</t>
  </si>
  <si>
    <t xml:space="preserve">TXN-SAM-000829</t>
  </si>
  <si>
    <t xml:space="preserve">Custom combining soybeans 222 ac @ $43/ac - Ostrander Farms</t>
  </si>
  <si>
    <t xml:space="preserve">INV-SAM-00086</t>
  </si>
  <si>
    <t xml:space="preserve">TXN-SAM-000830</t>
  </si>
  <si>
    <t xml:space="preserve">Custom hauling 7,659 bu @ $0.2/bu - Ostrander Farms</t>
  </si>
  <si>
    <t xml:space="preserve">TXN-SAM-000831</t>
  </si>
  <si>
    <t xml:space="preserve">Custom combining soybeans 108 ac @ $43/ac - Smoky Hill Farms LLC</t>
  </si>
  <si>
    <t xml:space="preserve">INV-SAM-00092</t>
  </si>
  <si>
    <t xml:space="preserve">TXN-SAM-000832</t>
  </si>
  <si>
    <t xml:space="preserve">Custom hauling 3,726 bu @ $0.2/bu - Smoky Hill Farms LLC</t>
  </si>
  <si>
    <t xml:space="preserve">TXN-SAM-000833</t>
  </si>
  <si>
    <t xml:space="preserve">BILL-SAM-00073</t>
  </si>
  <si>
    <t xml:space="preserve">TXN-SAM-000834</t>
  </si>
  <si>
    <t xml:space="preserve">BILL-SAM-00074</t>
  </si>
  <si>
    <t xml:space="preserve">TXN-SAM-000835</t>
  </si>
  <si>
    <t xml:space="preserve">BILL-SAM-00075</t>
  </si>
  <si>
    <t xml:space="preserve">TXN-SAM-000836</t>
  </si>
  <si>
    <t xml:space="preserve">Seed cotton PLC - 2024 crop</t>
  </si>
  <si>
    <t xml:space="preserve">TXN-SAM-000837</t>
  </si>
  <si>
    <t xml:space="preserve">Diesel - custom combining soybeans (1,460 ac)</t>
  </si>
  <si>
    <t xml:space="preserve">BILL-SAM-00210</t>
  </si>
  <si>
    <t xml:space="preserve">TXN-SAM-000838</t>
  </si>
  <si>
    <t xml:space="preserve">BILL-SAM-00211</t>
  </si>
  <si>
    <t xml:space="preserve">TXN-SAM-000839</t>
  </si>
  <si>
    <t xml:space="preserve">TXN-SAM-000840</t>
  </si>
  <si>
    <t xml:space="preserve">Drying propane &amp; electricity (28,875 bu)</t>
  </si>
  <si>
    <t xml:space="preserve">BILL-SAM-00066</t>
  </si>
  <si>
    <t xml:space="preserve">TXN-SAM-000841</t>
  </si>
  <si>
    <t xml:space="preserve">Custom combining corn 99 ac @ $47/ac - Smoky Hill Farms LLC</t>
  </si>
  <si>
    <t xml:space="preserve">INV-SAM-00100</t>
  </si>
  <si>
    <t xml:space="preserve">TXN-SAM-000842</t>
  </si>
  <si>
    <t xml:space="preserve">Custom hauling 12,251 bu @ $0.2/bu - Smoky Hill Farms LLC</t>
  </si>
  <si>
    <t xml:space="preserve">TXN-SAM-000843</t>
  </si>
  <si>
    <t xml:space="preserve">Custom combining corn 226 ac @ $47/ac - Ostrander Farms</t>
  </si>
  <si>
    <t xml:space="preserve">INV-SAM-00094</t>
  </si>
  <si>
    <t xml:space="preserve">TXN-SAM-000844</t>
  </si>
  <si>
    <t xml:space="preserve">Custom hauling 27,968 bu @ $0.2/bu - Ostrander Farms</t>
  </si>
  <si>
    <t xml:space="preserve">TXN-SAM-000845</t>
  </si>
  <si>
    <t xml:space="preserve">TXN-SAM-000846</t>
  </si>
  <si>
    <t xml:space="preserve">TXN-SAM-000847</t>
  </si>
  <si>
    <t xml:space="preserve">Operating line interest (8.00%)</t>
  </si>
  <si>
    <t xml:space="preserve">TXN-SAM-000848</t>
  </si>
  <si>
    <t xml:space="preserve">TXN-SAM-000849</t>
  </si>
  <si>
    <t xml:space="preserve">TXN-SAM-000850</t>
  </si>
  <si>
    <t xml:space="preserve">TXN-SAM-000851</t>
  </si>
  <si>
    <t xml:space="preserve">TXN-SAM-000852</t>
  </si>
  <si>
    <t xml:space="preserve">Diesel - custom combining corn (1,310 ac)</t>
  </si>
  <si>
    <t xml:space="preserve">BILL-SAM-00213</t>
  </si>
  <si>
    <t xml:space="preserve">TXN-SAM-000853</t>
  </si>
  <si>
    <t xml:space="preserve">BILL-SAM-00214</t>
  </si>
  <si>
    <t xml:space="preserve">TXN-SAM-000854</t>
  </si>
  <si>
    <t xml:space="preserve">Interest - LN-SAM-005 payment 53/60</t>
  </si>
  <si>
    <t xml:space="preserve">TXN-SAM-000855</t>
  </si>
  <si>
    <t xml:space="preserve">Principal - LN-SAM-005 payment 53/60</t>
  </si>
  <si>
    <t xml:space="preserve">TXN-SAM-000856</t>
  </si>
  <si>
    <t xml:space="preserve">TXN-SAM-000857</t>
  </si>
  <si>
    <t xml:space="preserve">TXN-SAM-000858</t>
  </si>
  <si>
    <t xml:space="preserve">TXN-SAM-000859</t>
  </si>
  <si>
    <t xml:space="preserve">TXN-SAM-000860</t>
  </si>
  <si>
    <t xml:space="preserve">BILL-SAM-00252</t>
  </si>
  <si>
    <t xml:space="preserve">TXN-SAM-000861</t>
  </si>
  <si>
    <t xml:space="preserve">Custom stripper harvest + module building (96 ac @ $75.0)</t>
  </si>
  <si>
    <t xml:space="preserve">BILL-SAM-00159</t>
  </si>
  <si>
    <t xml:space="preserve">TXN-SAM-000862</t>
  </si>
  <si>
    <t xml:space="preserve">Interest - LN-SAM-004 payment 15/48</t>
  </si>
  <si>
    <t xml:space="preserve">TXN-SAM-000863</t>
  </si>
  <si>
    <t xml:space="preserve">Principal - LN-SAM-004 payment 15/48</t>
  </si>
  <si>
    <t xml:space="preserve">TXN-SAM-000864</t>
  </si>
  <si>
    <t xml:space="preserve">TXN-SAM-000865</t>
  </si>
  <si>
    <t xml:space="preserve">TXN-SAM-000866</t>
  </si>
  <si>
    <t xml:space="preserve">Interest - LN-SAM-001 payment 7/20</t>
  </si>
  <si>
    <t xml:space="preserve">TXN-SAM-000867</t>
  </si>
  <si>
    <t xml:space="preserve">Principal - LN-SAM-001 payment 7/20</t>
  </si>
  <si>
    <t xml:space="preserve">TXN-SAM-000868</t>
  </si>
  <si>
    <t xml:space="preserve">TXN-SAM-000869</t>
  </si>
  <si>
    <t xml:space="preserve">TXN-SAM-000870</t>
  </si>
  <si>
    <t xml:space="preserve">TXN-SAM-000871</t>
  </si>
  <si>
    <t xml:space="preserve">Interest - LN-SAM-005 payment 54/60</t>
  </si>
  <si>
    <t xml:space="preserve">TXN-SAM-000872</t>
  </si>
  <si>
    <t xml:space="preserve">Principal - LN-SAM-005 payment 54/60</t>
  </si>
  <si>
    <t xml:space="preserve">TXN-SAM-000873</t>
  </si>
  <si>
    <t xml:space="preserve">TXN-SAM-000874</t>
  </si>
  <si>
    <t xml:space="preserve">Interest - LN-SAM-004 payment 16/48</t>
  </si>
  <si>
    <t xml:space="preserve">TXN-SAM-000875</t>
  </si>
  <si>
    <t xml:space="preserve">Principal - LN-SAM-004 payment 16/48</t>
  </si>
  <si>
    <t xml:space="preserve">TXN-SAM-000876</t>
  </si>
  <si>
    <t xml:space="preserve">Ginning, bagging &amp; ties - 102 bales (50,016 lb lint)</t>
  </si>
  <si>
    <t xml:space="preserve">BILL-SAM-00160</t>
  </si>
  <si>
    <t xml:space="preserve">TXN-SAM-000877</t>
  </si>
  <si>
    <t xml:space="preserve">Cottonseed 35.5 tons @ $210</t>
  </si>
  <si>
    <t xml:space="preserve">INV-SAM-00027</t>
  </si>
  <si>
    <t xml:space="preserve">TXN-SAM-000878</t>
  </si>
  <si>
    <t xml:space="preserve">2025 cotton - pool advance (50,016 lb @ $0.615 est. pool price)</t>
  </si>
  <si>
    <t xml:space="preserve">POOL-SAM-2025</t>
  </si>
  <si>
    <t xml:space="preserve">TXN-SAM-000879</t>
  </si>
  <si>
    <t xml:space="preserve">TXN-SAM-000880</t>
  </si>
  <si>
    <t xml:space="preserve">TXN-SAM-000881</t>
  </si>
  <si>
    <t xml:space="preserve">TXN-SAM-000882</t>
  </si>
  <si>
    <t xml:space="preserve">2025 KS property tax - 1st half</t>
  </si>
  <si>
    <t xml:space="preserve">TXN-SAM-000883</t>
  </si>
  <si>
    <t xml:space="preserve">TXN-SAM-000884</t>
  </si>
  <si>
    <t xml:space="preserve">Operating line interest (7.75%)</t>
  </si>
  <si>
    <t xml:space="preserve">TXN-SAM-000885</t>
  </si>
  <si>
    <t xml:space="preserve">TXN-SAM-000886</t>
  </si>
  <si>
    <t xml:space="preserve">2025 Carson Co. property tax (ag use)</t>
  </si>
  <si>
    <t xml:space="preserve">TXN-SAM-000887</t>
  </si>
  <si>
    <t xml:space="preserve">2025 KS property tax - 2nd half (due May 10)</t>
  </si>
  <si>
    <t xml:space="preserve">TXN-SAM-000888</t>
  </si>
  <si>
    <t xml:space="preserve">TXN-SAM-000889</t>
  </si>
  <si>
    <t xml:space="preserve">TXN-SAM-000890</t>
  </si>
  <si>
    <t xml:space="preserve">Interest - LN-SAM-005 payment 55/60</t>
  </si>
  <si>
    <t xml:space="preserve">TXN-SAM-000891</t>
  </si>
  <si>
    <t xml:space="preserve">Principal - LN-SAM-005 payment 55/60</t>
  </si>
  <si>
    <t xml:space="preserve">TXN-SAM-000892</t>
  </si>
  <si>
    <t xml:space="preserve">TXN-SAM-000893</t>
  </si>
  <si>
    <t xml:space="preserve">Interest - LN-SAM-002 payment 4/7</t>
  </si>
  <si>
    <t xml:space="preserve">TXN-SAM-000894</t>
  </si>
  <si>
    <t xml:space="preserve">Principal - LN-SAM-002 payment 4/7</t>
  </si>
  <si>
    <t xml:space="preserve">TXN-SAM-000895</t>
  </si>
  <si>
    <t xml:space="preserve">TXN-SAM-000896</t>
  </si>
  <si>
    <t xml:space="preserve">TXN-SAM-000897</t>
  </si>
  <si>
    <t xml:space="preserve">Interest - LN-SAM-004 payment 17/48</t>
  </si>
  <si>
    <t xml:space="preserve">TXN-SAM-000898</t>
  </si>
  <si>
    <t xml:space="preserve">Principal - LN-SAM-004 payment 17/48</t>
  </si>
  <si>
    <t xml:space="preserve">TXN-SAM-000899</t>
  </si>
  <si>
    <t xml:space="preserve">TXN-SAM-000900</t>
  </si>
  <si>
    <t xml:space="preserve">TXN-SAM-000901</t>
  </si>
  <si>
    <t xml:space="preserve">Soybeans (2025 crop) 1,680 bu @ $10.34 from bin</t>
  </si>
  <si>
    <t xml:space="preserve">INV-SAM-00018</t>
  </si>
  <si>
    <t xml:space="preserve">TXN-SAM-000902</t>
  </si>
  <si>
    <t xml:space="preserve">BILL-SAM-00161</t>
  </si>
  <si>
    <t xml:space="preserve">TXN-SAM-000903</t>
  </si>
  <si>
    <t xml:space="preserve">TXN-SAM-000904</t>
  </si>
  <si>
    <t xml:space="preserve">TXN-SAM-000905</t>
  </si>
  <si>
    <t xml:space="preserve">TXN-SAM-000906</t>
  </si>
  <si>
    <t xml:space="preserve">TXN-SAM-000907</t>
  </si>
  <si>
    <t xml:space="preserve">TXN-SAM-000908</t>
  </si>
  <si>
    <t xml:space="preserve">TXN-SAM-000909</t>
  </si>
  <si>
    <t xml:space="preserve">TXN-SAM-000910</t>
  </si>
  <si>
    <t xml:space="preserve">Interest - LN-SAM-005 payment 56/60</t>
  </si>
  <si>
    <t xml:space="preserve">TXN-SAM-000911</t>
  </si>
  <si>
    <t xml:space="preserve">Principal - LN-SAM-005 payment 56/60</t>
  </si>
  <si>
    <t xml:space="preserve">TXN-SAM-000912</t>
  </si>
  <si>
    <t xml:space="preserve">TXN-SAM-000913</t>
  </si>
  <si>
    <t xml:space="preserve">Interest - LN-SAM-004 payment 18/48</t>
  </si>
  <si>
    <t xml:space="preserve">TXN-SAM-000914</t>
  </si>
  <si>
    <t xml:space="preserve">Principal - LN-SAM-004 payment 18/48</t>
  </si>
  <si>
    <t xml:space="preserve">TXN-SAM-000915</t>
  </si>
  <si>
    <t xml:space="preserve">Corn (2025 crop) 10,106 bu @ $4.23 from bin</t>
  </si>
  <si>
    <t xml:space="preserve">INV-SAM-00015</t>
  </si>
  <si>
    <t xml:space="preserve">TXN-SAM-000916</t>
  </si>
  <si>
    <t xml:space="preserve">Farmer Bridge Assistance - 2025 corn 125 ac (approx. per-acre rate)</t>
  </si>
  <si>
    <t xml:space="preserve">TXN-SAM-000917</t>
  </si>
  <si>
    <t xml:space="preserve">Farmer Bridge Assistance - 2025 soybeans 80 ac (approx. per-acre rate)</t>
  </si>
  <si>
    <t xml:space="preserve">TXN-SAM-000918</t>
  </si>
  <si>
    <t xml:space="preserve">Farmer Bridge Assistance - 2025 wheat 80 ac (approx. per-acre rate)</t>
  </si>
  <si>
    <t xml:space="preserve">TXN-SAM-000919</t>
  </si>
  <si>
    <t xml:space="preserve">Farmer Bridge Assistance - 2025 cotton 96 ac (approx. per-acre rate)</t>
  </si>
  <si>
    <t xml:space="preserve">TXN-SAM-000920</t>
  </si>
  <si>
    <t xml:space="preserve">TXN-SAM-000921</t>
  </si>
  <si>
    <t xml:space="preserve">TXN-SAM-000922</t>
  </si>
  <si>
    <t xml:space="preserve">TXN-SAM-000923</t>
  </si>
  <si>
    <t xml:space="preserve">TXN-SAM-000924</t>
  </si>
  <si>
    <t xml:space="preserve">TXN-SAM-000925</t>
  </si>
  <si>
    <t xml:space="preserve">BILL-SAM-00076</t>
  </si>
  <si>
    <t xml:space="preserve">TXN-SAM-000926</t>
  </si>
  <si>
    <t xml:space="preserve">BILL-SAM-00162</t>
  </si>
  <si>
    <t xml:space="preserve">TXN-SAM-000927</t>
  </si>
  <si>
    <t xml:space="preserve">Interest - LN-SAM-003 payment 1/6</t>
  </si>
  <si>
    <t xml:space="preserve">TXN-SAM-000928</t>
  </si>
  <si>
    <t xml:space="preserve">Principal - LN-SAM-003 payment 1/6</t>
  </si>
  <si>
    <t xml:space="preserve">TXN-SAM-000929</t>
  </si>
  <si>
    <t xml:space="preserve">TXN-SAM-000930</t>
  </si>
  <si>
    <t xml:space="preserve">TXN-SAM-000931</t>
  </si>
  <si>
    <t xml:space="preserve">Interest - LN-SAM-005 payment 57/60</t>
  </si>
  <si>
    <t xml:space="preserve">TXN-SAM-000932</t>
  </si>
  <si>
    <t xml:space="preserve">Principal - LN-SAM-005 payment 57/60</t>
  </si>
  <si>
    <t xml:space="preserve">TXN-SAM-000933</t>
  </si>
  <si>
    <t xml:space="preserve">Wheat (2025 crop) 2,120 bu @ $5.23 from bin</t>
  </si>
  <si>
    <t xml:space="preserve">INV-SAM-00013</t>
  </si>
  <si>
    <t xml:space="preserve">TXN-SAM-000934</t>
  </si>
  <si>
    <t xml:space="preserve">TXN-SAM-000935</t>
  </si>
  <si>
    <t xml:space="preserve">BILL-SAM-00253</t>
  </si>
  <si>
    <t xml:space="preserve">TXN-SAM-000936</t>
  </si>
  <si>
    <t xml:space="preserve">TXN-SAM-000937</t>
  </si>
  <si>
    <t xml:space="preserve">TXN-SAM-000938</t>
  </si>
  <si>
    <t xml:space="preserve">TXN-SAM-000939</t>
  </si>
  <si>
    <t xml:space="preserve">Interest - LN-SAM-004 payment 19/48</t>
  </si>
  <si>
    <t xml:space="preserve">TXN-SAM-000940</t>
  </si>
  <si>
    <t xml:space="preserve">Principal - LN-SAM-004 payment 19/48</t>
  </si>
  <si>
    <t xml:space="preserve">TXN-SAM-000941</t>
  </si>
  <si>
    <t xml:space="preserve">TXN-SAM-000942</t>
  </si>
  <si>
    <t xml:space="preserve">BILL-SAM-00077</t>
  </si>
  <si>
    <t xml:space="preserve">TXN-SAM-000943</t>
  </si>
  <si>
    <t xml:space="preserve">TXN-SAM-000944</t>
  </si>
  <si>
    <t xml:space="preserve">TXN-SAM-000945</t>
  </si>
  <si>
    <t xml:space="preserve">BILL-SAM-00254</t>
  </si>
  <si>
    <t xml:space="preserve">TXN-SAM-000946</t>
  </si>
  <si>
    <t xml:space="preserve">BILL-SAM-00082</t>
  </si>
  <si>
    <t xml:space="preserve">TXN-SAM-000947</t>
  </si>
  <si>
    <t xml:space="preserve">TXN-SAM-000948</t>
  </si>
  <si>
    <t xml:space="preserve">Interest - LN-SAM-005 payment 58/60</t>
  </si>
  <si>
    <t xml:space="preserve">TXN-SAM-000949</t>
  </si>
  <si>
    <t xml:space="preserve">Principal - LN-SAM-005 payment 58/60</t>
  </si>
  <si>
    <t xml:space="preserve">TXN-SAM-000950</t>
  </si>
  <si>
    <t xml:space="preserve">TXN-SAM-000951</t>
  </si>
  <si>
    <t xml:space="preserve">BILL-SAM-00164</t>
  </si>
  <si>
    <t xml:space="preserve">TXN-SAM-000952</t>
  </si>
  <si>
    <t xml:space="preserve">BILL-SAM-00163</t>
  </si>
  <si>
    <t xml:space="preserve">TXN-SAM-000953</t>
  </si>
  <si>
    <t xml:space="preserve">BILL-SAM-00081</t>
  </si>
  <si>
    <t xml:space="preserve">TXN-SAM-000954</t>
  </si>
  <si>
    <t xml:space="preserve">TXN-SAM-000955</t>
  </si>
  <si>
    <t xml:space="preserve">Interest - LN-SAM-004 payment 20/48</t>
  </si>
  <si>
    <t xml:space="preserve">TXN-SAM-000956</t>
  </si>
  <si>
    <t xml:space="preserve">Principal - LN-SAM-004 payment 20/48</t>
  </si>
  <si>
    <t xml:space="preserve">TXN-SAM-000957</t>
  </si>
  <si>
    <t xml:space="preserve">BILL-SAM-00080</t>
  </si>
  <si>
    <t xml:space="preserve">TXN-SAM-000958</t>
  </si>
  <si>
    <t xml:space="preserve">Corn (2025 crop) 8,662 bu @ $4.28 from bin</t>
  </si>
  <si>
    <t xml:space="preserve">INV-SAM-00016</t>
  </si>
  <si>
    <t xml:space="preserve">TXN-SAM-000959</t>
  </si>
  <si>
    <t xml:space="preserve">BILL-SAM-00089</t>
  </si>
  <si>
    <t xml:space="preserve">TXN-SAM-000960</t>
  </si>
  <si>
    <t xml:space="preserve">TXN-SAM-000961</t>
  </si>
  <si>
    <t xml:space="preserve">BILL-SAM-00165</t>
  </si>
  <si>
    <t xml:space="preserve">TXN-SAM-000962</t>
  </si>
  <si>
    <t xml:space="preserve">TXN-SAM-000963</t>
  </si>
  <si>
    <t xml:space="preserve">BILL-SAM-00085</t>
  </si>
  <si>
    <t xml:space="preserve">TXN-SAM-000964</t>
  </si>
  <si>
    <t xml:space="preserve">BILL-SAM-00083</t>
  </si>
  <si>
    <t xml:space="preserve">TXN-SAM-000965</t>
  </si>
  <si>
    <t xml:space="preserve">TXN-SAM-000966</t>
  </si>
  <si>
    <t xml:space="preserve">TXN-SAM-000967</t>
  </si>
  <si>
    <t xml:space="preserve">TXN-SAM-000968</t>
  </si>
  <si>
    <t xml:space="preserve">TXN-SAM-000969</t>
  </si>
  <si>
    <t xml:space="preserve">Interest - LN-SAM-005 payment 59/60</t>
  </si>
  <si>
    <t xml:space="preserve">TXN-SAM-000970</t>
  </si>
  <si>
    <t xml:space="preserve">Principal - LN-SAM-005 payment 59/60</t>
  </si>
  <si>
    <t xml:space="preserve">TXN-SAM-000971</t>
  </si>
  <si>
    <t xml:space="preserve">TXN-SAM-000972</t>
  </si>
  <si>
    <t xml:space="preserve">BILL-SAM-00093</t>
  </si>
  <si>
    <t xml:space="preserve">TXN-SAM-000973</t>
  </si>
  <si>
    <t xml:space="preserve">BILL-SAM-00090</t>
  </si>
  <si>
    <t xml:space="preserve">TXN-SAM-000974</t>
  </si>
  <si>
    <t xml:space="preserve">TXN-SAM-000975</t>
  </si>
  <si>
    <t xml:space="preserve">TXN-SAM-000976</t>
  </si>
  <si>
    <t xml:space="preserve">TXN-SAM-000977</t>
  </si>
  <si>
    <t xml:space="preserve">Interest - LN-SAM-004 payment 21/48</t>
  </si>
  <si>
    <t xml:space="preserve">TXN-SAM-000978</t>
  </si>
  <si>
    <t xml:space="preserve">Principal - LN-SAM-004 payment 21/48</t>
  </si>
  <si>
    <t xml:space="preserve">TXN-SAM-000979</t>
  </si>
  <si>
    <t xml:space="preserve">BILL-SAM-00167</t>
  </si>
  <si>
    <t xml:space="preserve">TXN-SAM-000980</t>
  </si>
  <si>
    <t xml:space="preserve">BILL-SAM-00166</t>
  </si>
  <si>
    <t xml:space="preserve">TXN-SAM-000981</t>
  </si>
  <si>
    <t xml:space="preserve">BILL-SAM-00168</t>
  </si>
  <si>
    <t xml:space="preserve">TXN-SAM-000982</t>
  </si>
  <si>
    <t xml:space="preserve">TXN-SAM-000983</t>
  </si>
  <si>
    <t xml:space="preserve">Combine repair - Unloading auger gearbox, hydrostatic pump seals (custom share 88% by separator hrs)</t>
  </si>
  <si>
    <t xml:space="preserve">BILL-SAM-00240</t>
  </si>
  <si>
    <t xml:space="preserve">TXN-SAM-000984</t>
  </si>
  <si>
    <t xml:space="preserve">Combine repair - Unloading auger gearbox, hydrostatic pump seals (own-crop share 12%)</t>
  </si>
  <si>
    <t xml:space="preserve">BILL-SAM-00241</t>
  </si>
  <si>
    <t xml:space="preserve">TXN-SAM-000985</t>
  </si>
  <si>
    <t xml:space="preserve">TXN-SAM-000986</t>
  </si>
  <si>
    <t xml:space="preserve">TXN-SAM-000987</t>
  </si>
  <si>
    <t xml:space="preserve">TXN-SAM-000988</t>
  </si>
  <si>
    <t xml:space="preserve">TXN-SAM-000989</t>
  </si>
  <si>
    <t xml:space="preserve">TXN-SAM-000990</t>
  </si>
  <si>
    <t xml:space="preserve">TXN-SAM-000991</t>
  </si>
  <si>
    <t xml:space="preserve">BILL-SAM-00084</t>
  </si>
  <si>
    <t xml:space="preserve">TXN-SAM-000992</t>
  </si>
  <si>
    <t xml:space="preserve">BILL-SAM-00218</t>
  </si>
  <si>
    <t xml:space="preserve">TXN-SAM-000993</t>
  </si>
  <si>
    <t xml:space="preserve">TXN-SAM-000994</t>
  </si>
  <si>
    <t xml:space="preserve">Interest - LN-SAM-005 payment 60/60</t>
  </si>
  <si>
    <t xml:space="preserve">TXN-SAM-000995</t>
  </si>
  <si>
    <t xml:space="preserve">Principal - LN-SAM-005 payment 60/60</t>
  </si>
  <si>
    <t xml:space="preserve">TXN-SAM-000996</t>
  </si>
  <si>
    <t xml:space="preserve">TXN-SAM-000997</t>
  </si>
  <si>
    <t xml:space="preserve">TXN-SAM-000998</t>
  </si>
  <si>
    <t xml:space="preserve">Seasonal hand/truck driver (100 h) - custom 60%</t>
  </si>
  <si>
    <t xml:space="preserve">TXN-SAM-000999</t>
  </si>
  <si>
    <t xml:space="preserve">TXN-SAM-001000</t>
  </si>
  <si>
    <t xml:space="preserve">TXN-SAM-001001</t>
  </si>
  <si>
    <t xml:space="preserve">TXN-SAM-001002</t>
  </si>
  <si>
    <t xml:space="preserve">TXN-SAM-001003</t>
  </si>
  <si>
    <t xml:space="preserve">Interest - LN-SAM-004 payment 22/48</t>
  </si>
  <si>
    <t xml:space="preserve">TXN-SAM-001004</t>
  </si>
  <si>
    <t xml:space="preserve">Principal - LN-SAM-004 payment 22/48</t>
  </si>
  <si>
    <t xml:space="preserve">TXN-SAM-001005</t>
  </si>
  <si>
    <t xml:space="preserve">BILL-SAM-00091</t>
  </si>
  <si>
    <t xml:space="preserve">TXN-SAM-001006</t>
  </si>
  <si>
    <t xml:space="preserve">TXN-SAM-001007</t>
  </si>
  <si>
    <t xml:space="preserve">BILL-SAM-00078</t>
  </si>
  <si>
    <t xml:space="preserve">TXN-SAM-001008</t>
  </si>
  <si>
    <t xml:space="preserve">BILL-SAM-00170</t>
  </si>
  <si>
    <t xml:space="preserve">TXN-SAM-001009</t>
  </si>
  <si>
    <t xml:space="preserve">BILL-SAM-00169</t>
  </si>
  <si>
    <t xml:space="preserve">TXN-SAM-001010</t>
  </si>
  <si>
    <t xml:space="preserve">Wheat (2026 crop) 2,016 bu @ $5.73 at harvest</t>
  </si>
  <si>
    <t xml:space="preserve">INV-SAM-00019</t>
  </si>
  <si>
    <t xml:space="preserve">TXN-SAM-001011</t>
  </si>
  <si>
    <t xml:space="preserve">Custom combining wheat 91 ac @ $43/ac - Smoky Hill Farms LLC</t>
  </si>
  <si>
    <t xml:space="preserve">INV-SAM-00108</t>
  </si>
  <si>
    <t xml:space="preserve">TXN-SAM-001012</t>
  </si>
  <si>
    <t xml:space="preserve">Custom hauling 2,389 bu @ $0.21/bu - Smoky Hill Farms LLC</t>
  </si>
  <si>
    <t xml:space="preserve">TXN-SAM-001013</t>
  </si>
  <si>
    <t xml:space="preserve">Seasonal hand/truck driver (112 h) - custom 60%</t>
  </si>
  <si>
    <t xml:space="preserve">TXN-SAM-001014</t>
  </si>
  <si>
    <t xml:space="preserve">TXN-SAM-001015</t>
  </si>
  <si>
    <t xml:space="preserve">TXN-SAM-001016</t>
  </si>
  <si>
    <t xml:space="preserve">TXN-SAM-001017</t>
  </si>
  <si>
    <t xml:space="preserve">BILL-SAM-00079</t>
  </si>
  <si>
    <t xml:space="preserve">TXN-SAM-001018</t>
  </si>
  <si>
    <t xml:space="preserve">Custom combining wheat 158 ac @ $43/ac - Lindquist Family Farms</t>
  </si>
  <si>
    <t xml:space="preserve">INV-SAM-00105</t>
  </si>
  <si>
    <t xml:space="preserve">TXN-SAM-001019</t>
  </si>
  <si>
    <t xml:space="preserve">Custom hauling 4,148 bu @ $0.21/bu - Lindquist Family Farms</t>
  </si>
  <si>
    <t xml:space="preserve">TXN-SAM-001020</t>
  </si>
  <si>
    <t xml:space="preserve">Custom combining wheat 297 ac @ $43/ac - Heartland Land &amp; Cattle</t>
  </si>
  <si>
    <t xml:space="preserve">INV-SAM-00101</t>
  </si>
  <si>
    <t xml:space="preserve">TXN-SAM-001021</t>
  </si>
  <si>
    <t xml:space="preserve">Custom hauling 7,796 bu @ $0.21/bu - Heartland Land &amp; Cattle</t>
  </si>
  <si>
    <t xml:space="preserve">TXN-SAM-001022</t>
  </si>
  <si>
    <t xml:space="preserve">TXN-SAM-001023</t>
  </si>
  <si>
    <t xml:space="preserve">TXN-SAM-001024</t>
  </si>
  <si>
    <t xml:space="preserve">TXN-SAM-001025</t>
  </si>
  <si>
    <t xml:space="preserve">Custom combining wheat 110 ac @ $43/ac - Prairie Rose Dairy</t>
  </si>
  <si>
    <t xml:space="preserve">INV-SAM-00106</t>
  </si>
  <si>
    <t xml:space="preserve">TXN-SAM-001026</t>
  </si>
  <si>
    <t xml:space="preserve">Custom hauling 2,888 bu @ $0.21/bu - Prairie Rose Dairy</t>
  </si>
  <si>
    <t xml:space="preserve">TXN-SAM-001027</t>
  </si>
  <si>
    <t xml:space="preserve">Custom combining wheat 214 ac @ $43/ac - Ostrander Farms</t>
  </si>
  <si>
    <t xml:space="preserve">INV-SAM-00102</t>
  </si>
  <si>
    <t xml:space="preserve">TXN-SAM-001028</t>
  </si>
  <si>
    <t xml:space="preserve">Custom hauling 5,618 bu @ $0.21/bu - Ostrander Farms</t>
  </si>
  <si>
    <t xml:space="preserve">TXN-SAM-001029</t>
  </si>
  <si>
    <t xml:space="preserve">Diesel - custom combining wheat (1,260 ac)</t>
  </si>
  <si>
    <t xml:space="preserve">BILL-SAM-00216</t>
  </si>
  <si>
    <t xml:space="preserve">TXN-SAM-001030</t>
  </si>
  <si>
    <t xml:space="preserve">BILL-SAM-00217</t>
  </si>
  <si>
    <t xml:space="preserve">TXN-SAM-001031</t>
  </si>
  <si>
    <t xml:space="preserve">Custom combining wheat 155 ac @ $43/ac - Rudd Brothers Partnership</t>
  </si>
  <si>
    <t xml:space="preserve">INV-SAM-00103</t>
  </si>
  <si>
    <t xml:space="preserve">TXN-SAM-001032</t>
  </si>
  <si>
    <t xml:space="preserve">Custom hauling 4,069 bu @ $0.21/bu - Rudd Brothers Partnership</t>
  </si>
  <si>
    <t xml:space="preserve">TXN-SAM-001033</t>
  </si>
  <si>
    <t xml:space="preserve">Custom combining wheat 114 ac @ $43/ac - Gail Schrag</t>
  </si>
  <si>
    <t xml:space="preserve">INV-SAM-00104</t>
  </si>
  <si>
    <t xml:space="preserve">TXN-SAM-001034</t>
  </si>
  <si>
    <t xml:space="preserve">Custom hauling 2,992 bu @ $0.21/bu - Gail Schrag</t>
  </si>
  <si>
    <t xml:space="preserve">TXN-SAM-001035</t>
  </si>
  <si>
    <t xml:space="preserve">Custom combining wheat 100 ac @ $43/ac - Dale &amp; Jo Unruh</t>
  </si>
  <si>
    <t xml:space="preserve">INV-SAM-00107</t>
  </si>
  <si>
    <t xml:space="preserve">TXN-SAM-001036</t>
  </si>
  <si>
    <t xml:space="preserve">Custom hauling 2,625 bu @ $0.21/bu - Dale &amp; Jo Unruh</t>
  </si>
  <si>
    <t xml:space="preserve">TXN-SAM-001037</t>
  </si>
  <si>
    <t xml:space="preserve">TXN-SAM-001038</t>
  </si>
  <si>
    <t xml:space="preserve">Seasonal hand/truck driver (115 h) - custom 60%</t>
  </si>
  <si>
    <t xml:space="preserve">TXN-SAM-001039</t>
  </si>
  <si>
    <t xml:space="preserve">TXN-SAM-001040</t>
  </si>
  <si>
    <t xml:space="preserve">TXN-SAM-001041</t>
  </si>
  <si>
    <t xml:space="preserve">TXN-SAM-001042</t>
  </si>
  <si>
    <t xml:space="preserve">Interest - LN-SAM-004 payment 23/48</t>
  </si>
  <si>
    <t xml:space="preserve">TXN-SAM-001043</t>
  </si>
  <si>
    <t xml:space="preserve">Principal - LN-SAM-004 payment 23/48</t>
  </si>
  <si>
    <t xml:space="preserve">TXN-SAM-001044</t>
  </si>
  <si>
    <t xml:space="preserve">Irrigation pumping power (4.4 in)</t>
  </si>
  <si>
    <t xml:space="preserve">BILL-SAM-00094</t>
  </si>
  <si>
    <t xml:space="preserve">TXN-SAM-001045</t>
  </si>
  <si>
    <t xml:space="preserve">BILL-SAM-00092</t>
  </si>
  <si>
    <t xml:space="preserve">TXN-SAM-001046</t>
  </si>
  <si>
    <t xml:space="preserve">BILL-SAM-00172</t>
  </si>
  <si>
    <t xml:space="preserve">TXN-SAM-001047</t>
  </si>
  <si>
    <t xml:space="preserve">BILL-SAM-00171</t>
  </si>
  <si>
    <t xml:space="preserve">TXN-SAM-001048</t>
  </si>
  <si>
    <t xml:space="preserve">TXN-SAM-001049</t>
  </si>
  <si>
    <t xml:space="preserve">TXN-SAM-001050</t>
  </si>
  <si>
    <t xml:space="preserve">TXN-SAM-001051</t>
  </si>
  <si>
    <t xml:space="preserve">TXN-SAM-001052</t>
  </si>
  <si>
    <t xml:space="preserve">TXN-SAM-001053</t>
  </si>
  <si>
    <t xml:space="preserve">TXN-SAM-001054</t>
  </si>
  <si>
    <t xml:space="preserve">TXN-SAM-001055</t>
  </si>
  <si>
    <t xml:space="preserve">Seasonal hand/truck driver (58 h) - custom 60%</t>
  </si>
  <si>
    <t xml:space="preserve">TXN-SAM-001056</t>
  </si>
  <si>
    <t xml:space="preserve">TXN-SAM-001057</t>
  </si>
  <si>
    <t xml:space="preserve">TXN-SAM-001058</t>
  </si>
  <si>
    <t xml:space="preserve">TXN-SAM-001059</t>
  </si>
  <si>
    <t xml:space="preserve">TXN-SAM-001060</t>
  </si>
  <si>
    <t xml:space="preserve">TXN-SAM-001061</t>
  </si>
  <si>
    <t xml:space="preserve">Interest - LN-SAM-004 payment 24/48</t>
  </si>
  <si>
    <t xml:space="preserve">TXN-SAM-001062</t>
  </si>
  <si>
    <t xml:space="preserve">Principal - LN-SAM-004 payment 24/48</t>
  </si>
  <si>
    <t xml:space="preserve">TXN-SAM-001063</t>
  </si>
  <si>
    <t xml:space="preserve">BILL-SAM-00095</t>
  </si>
  <si>
    <t xml:space="preserve">TXN-SAM-001064</t>
  </si>
  <si>
    <t xml:space="preserve">Seasonal hand/truck driver (68 h) - custom 60%</t>
  </si>
  <si>
    <t xml:space="preserve">TXN-SAM-001065</t>
  </si>
  <si>
    <t xml:space="preserve">TXN-SAM-001066</t>
  </si>
  <si>
    <t xml:space="preserve">TXN-SAM-001067</t>
  </si>
  <si>
    <t xml:space="preserve">TXN-SAM-001068</t>
  </si>
  <si>
    <t xml:space="preserve">TXN-SAM-001069</t>
  </si>
  <si>
    <t xml:space="preserve">TXN-SAM-001070</t>
  </si>
  <si>
    <t xml:space="preserve">BILL-SAM-00224</t>
  </si>
  <si>
    <t xml:space="preserve">TXN-SAM-001071</t>
  </si>
  <si>
    <t xml:space="preserve">TXN-SAM-001072</t>
  </si>
  <si>
    <t xml:space="preserve">TXN-SAM-001073</t>
  </si>
  <si>
    <t xml:space="preserve">TXN-SAM-001074</t>
  </si>
  <si>
    <t xml:space="preserve">TXN-SAM-001075</t>
  </si>
  <si>
    <t xml:space="preserve">TXN-SAM-001076</t>
  </si>
  <si>
    <t xml:space="preserve">TXN-SAM-001077</t>
  </si>
  <si>
    <t xml:space="preserve">TXN-SAM-001078</t>
  </si>
  <si>
    <t xml:space="preserve">Interest - LN-SAM-004 payment 25/48</t>
  </si>
  <si>
    <t xml:space="preserve">TXN-SAM-001079</t>
  </si>
  <si>
    <t xml:space="preserve">Principal - LN-SAM-004 payment 25/48</t>
  </si>
  <si>
    <t xml:space="preserve">TXN-SAM-001080</t>
  </si>
  <si>
    <t xml:space="preserve">BILL-SAM-00221</t>
  </si>
  <si>
    <t xml:space="preserve">TXN-SAM-001081</t>
  </si>
  <si>
    <t xml:space="preserve">Seasonal hand/truck driver (113 h) - custom 60%</t>
  </si>
  <si>
    <t xml:space="preserve">TXN-SAM-001082</t>
  </si>
  <si>
    <t xml:space="preserve">TXN-SAM-001083</t>
  </si>
  <si>
    <t xml:space="preserve">TXN-SAM-001084</t>
  </si>
  <si>
    <t xml:space="preserve">TXN-SAM-001085</t>
  </si>
  <si>
    <t xml:space="preserve">BILL-SAM-00086</t>
  </si>
  <si>
    <t xml:space="preserve">TXN-SAM-001086</t>
  </si>
  <si>
    <t xml:space="preserve">Corn (2026 crop) 7,840 bu @ $4.05 at harvest</t>
  </si>
  <si>
    <t xml:space="preserve">INV-SAM-00021</t>
  </si>
  <si>
    <t xml:space="preserve">TXN-SAM-001087</t>
  </si>
  <si>
    <t xml:space="preserve">TXN-SAM-001088</t>
  </si>
  <si>
    <t xml:space="preserve">BILL-SAM-00087</t>
  </si>
  <si>
    <t xml:space="preserve">TXN-SAM-001089</t>
  </si>
  <si>
    <t xml:space="preserve">TXN-SAM-001090</t>
  </si>
  <si>
    <t xml:space="preserve">TXN-SAM-001091</t>
  </si>
  <si>
    <t xml:space="preserve">customer_id</t>
  </si>
  <si>
    <t xml:space="preserve">invoice_date</t>
  </si>
  <si>
    <t xml:space="preserve">amount_paid</t>
  </si>
  <si>
    <t xml:space="preserve">balance_due</t>
  </si>
  <si>
    <t xml:space="preserve">status</t>
  </si>
  <si>
    <t xml:space="preserve">paid_date</t>
  </si>
  <si>
    <t xml:space="preserve">expected_payment_date</t>
  </si>
  <si>
    <t xml:space="preserve">days_outstanding</t>
  </si>
  <si>
    <t xml:space="preserve">days_past_due</t>
  </si>
  <si>
    <t xml:space="preserve">Paid</t>
  </si>
  <si>
    <t xml:space="preserve">Unpaid</t>
  </si>
  <si>
    <t xml:space="preserve">Partially paid</t>
  </si>
  <si>
    <t xml:space="preserve">vendor_id</t>
  </si>
  <si>
    <t xml:space="preserve">bill_date</t>
  </si>
  <si>
    <t xml:space="preserve">expense_category</t>
  </si>
  <si>
    <t xml:space="preserve">field_id</t>
  </si>
  <si>
    <t xml:space="preserve">irrigated</t>
  </si>
  <si>
    <t xml:space="preserve">plant_date</t>
  </si>
  <si>
    <t xml:space="preserve">harvest_start</t>
  </si>
  <si>
    <t xml:space="preserve">harvest_end</t>
  </si>
  <si>
    <t xml:space="preserve">expected_yield</t>
  </si>
  <si>
    <t xml:space="preserve">actual_yield</t>
  </si>
  <si>
    <t xml:space="preserve">total_production</t>
  </si>
  <si>
    <t xml:space="preserve">expected_price</t>
  </si>
  <si>
    <t xml:space="preserve">actual_avg_price</t>
  </si>
  <si>
    <t xml:space="preserve">qty_sold</t>
  </si>
  <si>
    <t xml:space="preserve">qty_stored_end</t>
  </si>
  <si>
    <t xml:space="preserve">KS-D1</t>
  </si>
  <si>
    <t xml:space="preserve">KS-D2</t>
  </si>
  <si>
    <t xml:space="preserve">KS-P1</t>
  </si>
  <si>
    <t xml:space="preserve">TX-C1</t>
  </si>
  <si>
    <t xml:space="preserve">date</t>
  </si>
  <si>
    <t xml:space="preserve">record_type</t>
  </si>
  <si>
    <t xml:space="preserve">item</t>
  </si>
  <si>
    <t xml:space="preserve">record_id</t>
  </si>
  <si>
    <t xml:space="preserve">Combine separator hours</t>
  </si>
  <si>
    <t xml:space="preserve">hrs</t>
  </si>
  <si>
    <t xml:space="preserve">PRD-SAM-00001</t>
  </si>
  <si>
    <t xml:space="preserve">PRD-SAM-00002</t>
  </si>
  <si>
    <t xml:space="preserve">PRD-SAM-00003</t>
  </si>
  <si>
    <t xml:space="preserve">PRD-SAM-00004</t>
  </si>
  <si>
    <t xml:space="preserve">PRD-SAM-00005</t>
  </si>
  <si>
    <t xml:space="preserve">PRD-SAM-00006</t>
  </si>
  <si>
    <t xml:space="preserve">PRD-SAM-00007</t>
  </si>
  <si>
    <t xml:space="preserve">PRD-SAM-00008</t>
  </si>
  <si>
    <t xml:space="preserve">PRD-SAM-00009</t>
  </si>
  <si>
    <t xml:space="preserve">PRD-SAM-00010</t>
  </si>
  <si>
    <t xml:space="preserve">PRD-SAM-00011</t>
  </si>
  <si>
    <t xml:space="preserve">PRD-SAM-00012</t>
  </si>
  <si>
    <t xml:space="preserve">PRD-SAM-00013</t>
  </si>
  <si>
    <t xml:space="preserve">PRD-SAM-00014</t>
  </si>
  <si>
    <t xml:space="preserve">PRD-SAM-00015</t>
  </si>
  <si>
    <t xml:space="preserve">PRD-SAM-00016</t>
  </si>
  <si>
    <t xml:space="preserve">PRD-SAM-00017</t>
  </si>
  <si>
    <t xml:space="preserve">PRD-SAM-00018</t>
  </si>
  <si>
    <t xml:space="preserve">PRD-SAM-00019</t>
  </si>
  <si>
    <t xml:space="preserve">PRD-SAM-00020</t>
  </si>
  <si>
    <t xml:space="preserve">PRD-SAM-00021</t>
  </si>
  <si>
    <t xml:space="preserve">PRD-SAM-00022</t>
  </si>
  <si>
    <t xml:space="preserve">PRD-SAM-00023</t>
  </si>
  <si>
    <t xml:space="preserve">PRD-SAM-00024</t>
  </si>
  <si>
    <t xml:space="preserve">PRD-SAM-00025</t>
  </si>
  <si>
    <t xml:space="preserve">PRD-SAM-00026</t>
  </si>
  <si>
    <t xml:space="preserve">PRD-SAM-00027</t>
  </si>
  <si>
    <t xml:space="preserve">PRD-SAM-00028</t>
  </si>
  <si>
    <t xml:space="preserve">PRD-SAM-00029</t>
  </si>
  <si>
    <t xml:space="preserve">PRD-SAM-00030</t>
  </si>
  <si>
    <t xml:space="preserve">PRD-SAM-00031</t>
  </si>
  <si>
    <t xml:space="preserve">PRD-SAM-00032</t>
  </si>
  <si>
    <t xml:space="preserve">PRD-SAM-00033</t>
  </si>
  <si>
    <t xml:space="preserve">PRD-SAM-00034</t>
  </si>
  <si>
    <t xml:space="preserve">PRD-SAM-00035</t>
  </si>
  <si>
    <t xml:space="preserve">PRD-SAM-00036</t>
  </si>
  <si>
    <t xml:space="preserve">PRD-SAM-00037</t>
  </si>
  <si>
    <t xml:space="preserve">PRD-SAM-00038</t>
  </si>
  <si>
    <t xml:space="preserve">PRD-SAM-00039</t>
  </si>
  <si>
    <t xml:space="preserve">PRD-SAM-00040</t>
  </si>
  <si>
    <t xml:space="preserve">PRD-SAM-00041</t>
  </si>
  <si>
    <t xml:space="preserve">PRD-SAM-00042</t>
  </si>
  <si>
    <t xml:space="preserve">PRD-SAM-00043</t>
  </si>
  <si>
    <t xml:space="preserve">PRD-SAM-00044</t>
  </si>
  <si>
    <t xml:space="preserve">PRD-SAM-00045</t>
  </si>
  <si>
    <t xml:space="preserve">PRD-SAM-00046</t>
  </si>
  <si>
    <t xml:space="preserve">PRD-SAM-00047</t>
  </si>
  <si>
    <t xml:space="preserve">PRD-SAM-00048</t>
  </si>
  <si>
    <t xml:space="preserve">PRD-SAM-00049</t>
  </si>
  <si>
    <t xml:space="preserve">PRD-SAM-00050</t>
  </si>
  <si>
    <t xml:space="preserve">PRD-SAM-00051</t>
  </si>
  <si>
    <t xml:space="preserve">PRD-SAM-00052</t>
  </si>
  <si>
    <t xml:space="preserve">PRD-SAM-00053</t>
  </si>
  <si>
    <t xml:space="preserve">PRD-SAM-00054</t>
  </si>
  <si>
    <t xml:space="preserve">PRD-SAM-00055</t>
  </si>
  <si>
    <t xml:space="preserve">PRD-SAM-00056</t>
  </si>
  <si>
    <t xml:space="preserve">PRD-SAM-00057</t>
  </si>
  <si>
    <t xml:space="preserve">PRD-SAM-00058</t>
  </si>
  <si>
    <t xml:space="preserve">PRD-SAM-00059</t>
  </si>
  <si>
    <t xml:space="preserve">PRD-SAM-00060</t>
  </si>
  <si>
    <t xml:space="preserve">PRD-SAM-00061</t>
  </si>
  <si>
    <t xml:space="preserve">PRD-SAM-00062</t>
  </si>
  <si>
    <t xml:space="preserve">PRD-SAM-00063</t>
  </si>
  <si>
    <t xml:space="preserve">PRD-SAM-00064</t>
  </si>
  <si>
    <t xml:space="preserve">PRD-SAM-00065</t>
  </si>
  <si>
    <t xml:space="preserve">PRD-SAM-00066</t>
  </si>
  <si>
    <t xml:space="preserve">PRD-SAM-00067</t>
  </si>
  <si>
    <t xml:space="preserve">PRD-SAM-00068</t>
  </si>
  <si>
    <t xml:space="preserve">PRD-SAM-00069</t>
  </si>
  <si>
    <t xml:space="preserve">PRD-SAM-00070</t>
  </si>
  <si>
    <t xml:space="preserve">PRD-SAM-00071</t>
  </si>
  <si>
    <t xml:space="preserve">PRD-SAM-00072</t>
  </si>
  <si>
    <t xml:space="preserve">PRD-SAM-00073</t>
  </si>
  <si>
    <t xml:space="preserve">PRD-SAM-00074</t>
  </si>
  <si>
    <t xml:space="preserve">PRD-SAM-00075</t>
  </si>
  <si>
    <t xml:space="preserve">PRD-SAM-00076</t>
  </si>
  <si>
    <t xml:space="preserve">PRD-SAM-00077</t>
  </si>
  <si>
    <t xml:space="preserve">PRD-SAM-00078</t>
  </si>
  <si>
    <t xml:space="preserve">PRD-SAM-00079</t>
  </si>
  <si>
    <t xml:space="preserve">PRD-SAM-00080</t>
  </si>
  <si>
    <t xml:space="preserve">PRD-SAM-00081</t>
  </si>
  <si>
    <t xml:space="preserve">PRD-SAM-00082</t>
  </si>
  <si>
    <t xml:space="preserve">PRD-SAM-00083</t>
  </si>
  <si>
    <t xml:space="preserve">PRD-SAM-00084</t>
  </si>
  <si>
    <t xml:space="preserve">PRD-SAM-00085</t>
  </si>
  <si>
    <t xml:space="preserve">PRD-SAM-00086</t>
  </si>
  <si>
    <t xml:space="preserve">PRD-SAM-00087</t>
  </si>
  <si>
    <t xml:space="preserve">PRD-SAM-00088</t>
  </si>
  <si>
    <t xml:space="preserve">PRD-SAM-00089</t>
  </si>
  <si>
    <t xml:space="preserve">PRD-SAM-00090</t>
  </si>
  <si>
    <t xml:space="preserve">PRD-SAM-00091</t>
  </si>
  <si>
    <t xml:space="preserve">as_of_date</t>
  </si>
  <si>
    <t xml:space="preserve">item_id</t>
  </si>
  <si>
    <t xml:space="preserve">cost_basis_per_unit</t>
  </si>
  <si>
    <t xml:space="preserve">market_value_per_unit</t>
  </si>
  <si>
    <t xml:space="preserve">cost_basis_total</t>
  </si>
  <si>
    <t xml:space="preserve">market_value_total</t>
  </si>
  <si>
    <t xml:space="preserve">bs_valuation</t>
  </si>
  <si>
    <t xml:space="preserve">acquired_or_produced</t>
  </si>
  <si>
    <t xml:space="preserve">expected_use_or_sale</t>
  </si>
  <si>
    <t xml:space="preserve">location</t>
  </si>
  <si>
    <t xml:space="preserve">INV-CS-SAM-S22</t>
  </si>
  <si>
    <t xml:space="preserve">Soybeans in on-farm bins (CS-SAM-S22)</t>
  </si>
  <si>
    <t xml:space="preserve">Crops - grain</t>
  </si>
  <si>
    <t xml:space="preserve">market</t>
  </si>
  <si>
    <t xml:space="preserve">CS-SAM-S22</t>
  </si>
  <si>
    <t xml:space="preserve">Sell per marketing plan</t>
  </si>
  <si>
    <t xml:space="preserve">On-farm bins (25,000 bu)</t>
  </si>
  <si>
    <t xml:space="preserve">INV-CS-SAM-W23-D1</t>
  </si>
  <si>
    <t xml:space="preserve">Wheat in on-farm bins (CS-SAM-W23-D1)</t>
  </si>
  <si>
    <t xml:space="preserve">INV-CS-SAM-C23-P1</t>
  </si>
  <si>
    <t xml:space="preserve">Corn in on-farm bins (CS-SAM-C23-P1)</t>
  </si>
  <si>
    <t xml:space="preserve">INV-CS-SAM-W24-D2</t>
  </si>
  <si>
    <t xml:space="preserve">Wheat in on-farm bins (CS-SAM-W24-D2)</t>
  </si>
  <si>
    <t xml:space="preserve">INV-CS-SAM-S24-P1</t>
  </si>
  <si>
    <t xml:space="preserve">Soybeans in on-farm bins (CS-SAM-S24-P1)</t>
  </si>
  <si>
    <t xml:space="preserve">INV-CS-SAM-W25-D1</t>
  </si>
  <si>
    <t xml:space="preserve">Wheat in on-farm bins (CS-SAM-W25-D1)</t>
  </si>
  <si>
    <t xml:space="preserve">INV-CS-SAM-C25-P1</t>
  </si>
  <si>
    <t xml:space="preserve">Corn in on-farm bins (CS-SAM-C25-P1)</t>
  </si>
  <si>
    <t xml:space="preserve">INV-CS-SAM-S25-D2</t>
  </si>
  <si>
    <t xml:space="preserve">Soybeans in on-farm bins (CS-SAM-S25-D2)</t>
  </si>
  <si>
    <t xml:space="preserve">INV-CS-SAM-W26-D2</t>
  </si>
  <si>
    <t xml:space="preserve">Wheat in on-farm bins (CS-SAM-W26-D2)</t>
  </si>
  <si>
    <t xml:space="preserve">GRW-CS-SAM-W23-D1</t>
  </si>
  <si>
    <t xml:space="preserve">Growing crop at cost - Wheat (CS-SAM-W23-D1)</t>
  </si>
  <si>
    <t xml:space="preserve">Growing crops</t>
  </si>
  <si>
    <t xml:space="preserve">cost</t>
  </si>
  <si>
    <t xml:space="preserve">Harvest Jun 2023</t>
  </si>
  <si>
    <t xml:space="preserve">GRW-CS-SAM-C23-D2</t>
  </si>
  <si>
    <t xml:space="preserve">Growing crop at cost - Corn (CS-SAM-C23-D2)</t>
  </si>
  <si>
    <t xml:space="preserve">Harvest Sep 2023</t>
  </si>
  <si>
    <t xml:space="preserve">GRW-CS-SAM-C23-P1</t>
  </si>
  <si>
    <t xml:space="preserve">Growing crop at cost - Corn (CS-SAM-C23-P1)</t>
  </si>
  <si>
    <t xml:space="preserve">Harvest Oct 2023</t>
  </si>
  <si>
    <t xml:space="preserve">GRW-CS-SAM-W24-D2</t>
  </si>
  <si>
    <t xml:space="preserve">Growing crop at cost - Wheat (CS-SAM-W24-D2)</t>
  </si>
  <si>
    <t xml:space="preserve">Harvest Jun 2024</t>
  </si>
  <si>
    <t xml:space="preserve">GRW-CS-SAM-S24-P1</t>
  </si>
  <si>
    <t xml:space="preserve">Growing crop at cost - Soybeans (CS-SAM-S24-P1)</t>
  </si>
  <si>
    <t xml:space="preserve">Harvest Oct 2024</t>
  </si>
  <si>
    <t xml:space="preserve">GRW-CS-SAM-S24-D1</t>
  </si>
  <si>
    <t xml:space="preserve">Growing crop at cost - Soybeans (CS-SAM-S24-D1)</t>
  </si>
  <si>
    <t xml:space="preserve">GRW-CS-SAM-W25-D1</t>
  </si>
  <si>
    <t xml:space="preserve">Growing crop at cost - Wheat (CS-SAM-W25-D1)</t>
  </si>
  <si>
    <t xml:space="preserve">Harvest Jun 2025</t>
  </si>
  <si>
    <t xml:space="preserve">GRW-CS-SAM-C25-P1</t>
  </si>
  <si>
    <t xml:space="preserve">Growing crop at cost - Corn (CS-SAM-C25-P1)</t>
  </si>
  <si>
    <t xml:space="preserve">Harvest Oct 2025</t>
  </si>
  <si>
    <t xml:space="preserve">GRW-CS-SAM-S25-D2</t>
  </si>
  <si>
    <t xml:space="preserve">Growing crop at cost - Soybeans (CS-SAM-S25-D2)</t>
  </si>
  <si>
    <t xml:space="preserve">GRW-CS-SAM-W26-D2</t>
  </si>
  <si>
    <t xml:space="preserve">Growing crop at cost - Wheat (CS-SAM-W26-D2)</t>
  </si>
  <si>
    <t xml:space="preserve">Harvest Jun 2026</t>
  </si>
  <si>
    <t xml:space="preserve">GRW-CS-SAM-C26-D1</t>
  </si>
  <si>
    <t xml:space="preserve">Growing crop at cost - Corn (CS-SAM-C26-D1)</t>
  </si>
  <si>
    <t xml:space="preserve">Harvest Sep 2026</t>
  </si>
  <si>
    <t xml:space="preserve">GRW-CS-SAM-S26-P1</t>
  </si>
  <si>
    <t xml:space="preserve">Growing crop at cost - Soybeans (CS-SAM-S26-P1)</t>
  </si>
  <si>
    <t xml:space="preserve">Harvest Oct 2026</t>
  </si>
  <si>
    <t xml:space="preserve">GRW-CS-SAM-COT23</t>
  </si>
  <si>
    <t xml:space="preserve">Growing crop at cost - Cotton (dryland) (CS-SAM-COT23)</t>
  </si>
  <si>
    <t xml:space="preserve">Harvest Nov 2023</t>
  </si>
  <si>
    <t xml:space="preserve">GRW-CS-SAM-COT24</t>
  </si>
  <si>
    <t xml:space="preserve">Growing crop at cost - Cotton (dryland) (CS-SAM-COT24)</t>
  </si>
  <si>
    <t xml:space="preserve">Harvest Nov 2024</t>
  </si>
  <si>
    <t xml:space="preserve">GRW-CS-SAM-COT25</t>
  </si>
  <si>
    <t xml:space="preserve">Growing crop at cost - Cotton (dryland) (CS-SAM-COT25)</t>
  </si>
  <si>
    <t xml:space="preserve">Harvest Nov 2025</t>
  </si>
  <si>
    <t xml:space="preserve">GRW-CS-SAM-COT26</t>
  </si>
  <si>
    <t xml:space="preserve">Growing crop at cost - Cotton (dryland) (CS-SAM-COT26)</t>
  </si>
  <si>
    <t xml:space="preserve">Harvest Nov 2026</t>
  </si>
  <si>
    <t xml:space="preserve">enterprise_allocation</t>
  </si>
  <si>
    <t xml:space="preserve">purchase_date</t>
  </si>
  <si>
    <t xml:space="preserve">original_cost</t>
  </si>
  <si>
    <t xml:space="preserve">financing</t>
  </si>
  <si>
    <t xml:space="preserve">outstanding_loan_balance</t>
  </si>
  <si>
    <t xml:space="preserve">useful_life_years</t>
  </si>
  <si>
    <t xml:space="preserve">salvage_value</t>
  </si>
  <si>
    <t xml:space="preserve">depreciation_method</t>
  </si>
  <si>
    <t xml:space="preserve">annual_depreciation</t>
  </si>
  <si>
    <t xml:space="preserve">accumulated_depreciation</t>
  </si>
  <si>
    <t xml:space="preserve">net_book_value</t>
  </si>
  <si>
    <t xml:space="preserve">estimated_current_value</t>
  </si>
  <si>
    <t xml:space="preserve">repairs_ttm</t>
  </si>
  <si>
    <t xml:space="preserve">repairs_2023</t>
  </si>
  <si>
    <t xml:space="preserve">repairs_2024</t>
  </si>
  <si>
    <t xml:space="preserve">repairs_2025</t>
  </si>
  <si>
    <t xml:space="preserve">repairs_2026_ytd</t>
  </si>
  <si>
    <t xml:space="preserve">usage</t>
  </si>
  <si>
    <t xml:space="preserve">maintenance_notes</t>
  </si>
  <si>
    <t xml:space="preserve">disposal_date</t>
  </si>
  <si>
    <t xml:space="preserve">disposal_proceeds</t>
  </si>
  <si>
    <t xml:space="preserve">AST-SAM-001</t>
  </si>
  <si>
    <t xml:space="preserve">KS home quarter - 160 ac incl. 125-ac pivot (2008)</t>
  </si>
  <si>
    <t xml:space="preserve">Land</t>
  </si>
  <si>
    <t xml:space="preserve">ENT-SAM-OVH:100%</t>
  </si>
  <si>
    <t xml:space="preserve">Cash / owned</t>
  </si>
  <si>
    <t xml:space="preserve">Not depreciated</t>
  </si>
  <si>
    <t xml:space="preserve">In service</t>
  </si>
  <si>
    <t xml:space="preserve">AST-SAM-002</t>
  </si>
  <si>
    <t xml:space="preserve">KS dryland - 140 ac (2019)</t>
  </si>
  <si>
    <t xml:space="preserve">Financed - LN-SAM-001</t>
  </si>
  <si>
    <t xml:space="preserve">AST-SAM-003</t>
  </si>
  <si>
    <t xml:space="preserve">TX Carson Co. dryland cotton - 100 ac (inherited 2017)</t>
  </si>
  <si>
    <t xml:space="preserve">ENT-SAM-COT:100%</t>
  </si>
  <si>
    <t xml:space="preserve">2019 John Deere S770 combine (bought used, 1,950 sep hrs)</t>
  </si>
  <si>
    <t xml:space="preserve">Machinery &amp; equipment</t>
  </si>
  <si>
    <t xml:space="preserve">ENT-SAM-CUS:85%; ENT-SAM-CORN:7%; ENT-SAM-SOY:5%; ENT-SAM-WHT:3%</t>
  </si>
  <si>
    <t xml:space="preserve">Financed - LN-SAM-002</t>
  </si>
  <si>
    <t xml:space="preserve">Straight-line (monthly)</t>
  </si>
  <si>
    <t xml:space="preserve">~1,000 separator hrs/yr (≈88% custom)</t>
  </si>
  <si>
    <t xml:space="preserve">Rotor gearbox/feeder house rebuild Aug 2025 $18,420</t>
  </si>
  <si>
    <t xml:space="preserve">AST-SAM-005</t>
  </si>
  <si>
    <t xml:space="preserve">12-row corn head</t>
  </si>
  <si>
    <t xml:space="preserve">ENT-SAM-CUS:70%; ENT-SAM-CORN:30%</t>
  </si>
  <si>
    <t xml:space="preserve">AST-SAM-006</t>
  </si>
  <si>
    <t xml:space="preserve">35' draper head (used)</t>
  </si>
  <si>
    <t xml:space="preserve">ENT-SAM-CUS:75%; ENT-SAM-WHT:15%; ENT-SAM-SOY:10%</t>
  </si>
  <si>
    <t xml:space="preserve">John Deere 8R 280 tractor (used, 2019)</t>
  </si>
  <si>
    <t xml:space="preserve">ENT-SAM-CORN:40%; ENT-SAM-SOY:30%; ENT-SAM-WHT:20%; ENT-SAM-CUS:10%</t>
  </si>
  <si>
    <t xml:space="preserve">Financed - LN-SAM-003</t>
  </si>
  <si>
    <t xml:space="preserve">~420 hrs/yr</t>
  </si>
  <si>
    <t xml:space="preserve">John Deere 7830 tractor (traded Mar 2023)</t>
  </si>
  <si>
    <t xml:space="preserve">ENT-SAM-CORN:45%; ENT-SAM-SOY:30%; ENT-SAM-WHT:25%</t>
  </si>
  <si>
    <t xml:space="preserve">Disposed</t>
  </si>
  <si>
    <t xml:space="preserve">AST-SAM-009</t>
  </si>
  <si>
    <t xml:space="preserve">Kinze 3600 16-row planter (used)</t>
  </si>
  <si>
    <t xml:space="preserve">ENT-SAM-CORN:55%; ENT-SAM-SOY:45%</t>
  </si>
  <si>
    <t xml:space="preserve">AST-SAM-010</t>
  </si>
  <si>
    <t xml:space="preserve">30' no-till grain drill</t>
  </si>
  <si>
    <t xml:space="preserve">ENT-SAM-WHT:100%</t>
  </si>
  <si>
    <t xml:space="preserve">AST-SAM-011</t>
  </si>
  <si>
    <t xml:space="preserve">90' pull-type sprayer</t>
  </si>
  <si>
    <t xml:space="preserve">ENT-SAM-CORN:40%; ENT-SAM-SOY:35%; ENT-SAM-WHT:25%</t>
  </si>
  <si>
    <t xml:space="preserve">AST-SAM-012</t>
  </si>
  <si>
    <t xml:space="preserve">1000-bu grain cart</t>
  </si>
  <si>
    <t xml:space="preserve">ENT-SAM-CUS:60%; ENT-SAM-CORN:20%; ENT-SAM-SOY:12%; ENT-SAM-WHT:8%</t>
  </si>
  <si>
    <t xml:space="preserve">1998 IH tandem grain truck</t>
  </si>
  <si>
    <t xml:space="preserve">ENT-SAM-CUS:60%; ENT-SAM-CORN:20%; ENT-SAM-SOY:10%; ENT-SAM-WHT:10%</t>
  </si>
  <si>
    <t xml:space="preserve">2016 Peterbilt 579 semi + 2018 Wilson hopper trailer</t>
  </si>
  <si>
    <t xml:space="preserve">ENT-SAM-CUS:75%; ENT-SAM-CORN:15%; ENT-SAM-SOY:5%; ENT-SAM-WHT:5%</t>
  </si>
  <si>
    <t xml:space="preserve">Financed - LN-SAM-004</t>
  </si>
  <si>
    <t xml:space="preserve">~22,000 mi/yr</t>
  </si>
  <si>
    <t xml:space="preserve">AST-SAM-015</t>
  </si>
  <si>
    <t xml:space="preserve">Center pivot (7-tower) + irrigation well &amp; pump</t>
  </si>
  <si>
    <t xml:space="preserve">Buildings &amp; improvements</t>
  </si>
  <si>
    <t xml:space="preserve">ENT-SAM-CORN:60%; ENT-SAM-SOY:40%</t>
  </si>
  <si>
    <t xml:space="preserve">AST-SAM-016</t>
  </si>
  <si>
    <t xml:space="preserve">Grain bins 2x12,500 bu + dryer + leg</t>
  </si>
  <si>
    <t xml:space="preserve">ENT-SAM-CORN:60%; ENT-SAM-SOY:25%; ENT-SAM-WHT:15%</t>
  </si>
  <si>
    <t xml:space="preserve">AST-SAM-017</t>
  </si>
  <si>
    <t xml:space="preserve">Machine shop 60'x80'</t>
  </si>
  <si>
    <t xml:space="preserve">AST-SAM-018</t>
  </si>
  <si>
    <t xml:space="preserve">2021 Ford F-350 pickup</t>
  </si>
  <si>
    <t xml:space="preserve">Financed - LN-SAM-005</t>
  </si>
  <si>
    <t xml:space="preserve">AST-SAM-019</t>
  </si>
  <si>
    <t xml:space="preserve">Field cultivator, header trailer &amp; misc implements</t>
  </si>
  <si>
    <t xml:space="preserve">lender</t>
  </si>
  <si>
    <t xml:space="preserve">lender_vendor_id</t>
  </si>
  <si>
    <t xml:space="preserve">debt_type</t>
  </si>
  <si>
    <t xml:space="preserve">purpose</t>
  </si>
  <si>
    <t xml:space="preserve">collateral</t>
  </si>
  <si>
    <t xml:space="preserve">origination_date</t>
  </si>
  <si>
    <t xml:space="preserve">original_principal</t>
  </si>
  <si>
    <t xml:space="preserve">interest_rate</t>
  </si>
  <si>
    <t xml:space="preserve">rate_type</t>
  </si>
  <si>
    <t xml:space="preserve">payment_frequency</t>
  </si>
  <si>
    <t xml:space="preserve">payment_amount</t>
  </si>
  <si>
    <t xml:space="preserve">number_of_payments</t>
  </si>
  <si>
    <t xml:space="preserve">first_payment_date</t>
  </si>
  <si>
    <t xml:space="preserve">maturity_date</t>
  </si>
  <si>
    <t xml:space="preserve">principal_balance_at_cutoff</t>
  </si>
  <si>
    <t xml:space="preserve">next_payment_date</t>
  </si>
  <si>
    <t xml:space="preserve">annual_debt_service</t>
  </si>
  <si>
    <t xml:space="preserve">interest_paid_2023</t>
  </si>
  <si>
    <t xml:space="preserve">interest_paid_2024</t>
  </si>
  <si>
    <t xml:space="preserve">interest_paid_2025</t>
  </si>
  <si>
    <t xml:space="preserve">interest_paid_2026_ytd</t>
  </si>
  <si>
    <t xml:space="preserve">principal_due_next_12m</t>
  </si>
  <si>
    <t xml:space="preserve">Sunflower Plains Farm Credit, ACA</t>
  </si>
  <si>
    <t xml:space="preserve">Land loan</t>
  </si>
  <si>
    <t xml:space="preserve">KS 140-ac purchase</t>
  </si>
  <si>
    <t xml:space="preserve">140 ac KS dryland (1st lien)</t>
  </si>
  <si>
    <t xml:space="preserve">Fixed</t>
  </si>
  <si>
    <t xml:space="preserve">Annual</t>
  </si>
  <si>
    <t xml:space="preserve">Green Line Equipment Finance</t>
  </si>
  <si>
    <t xml:space="preserve">Equipment loan</t>
  </si>
  <si>
    <t xml:space="preserve">Combine &amp; corn head</t>
  </si>
  <si>
    <t xml:space="preserve">S770 combine + corn head</t>
  </si>
  <si>
    <t xml:space="preserve">8R tractor</t>
  </si>
  <si>
    <t xml:space="preserve">JD 8R 280 tractor</t>
  </si>
  <si>
    <t xml:space="preserve">First Plains Bank</t>
  </si>
  <si>
    <t xml:space="preserve">Semi &amp; trailer</t>
  </si>
  <si>
    <t xml:space="preserve">Peterbilt semi + hopper trailer</t>
  </si>
  <si>
    <t xml:space="preserve">Monthly</t>
  </si>
  <si>
    <t xml:space="preserve">Prairie Auto Credit</t>
  </si>
  <si>
    <t xml:space="preserve">Vehicle loan</t>
  </si>
  <si>
    <t xml:space="preserve">Pickup</t>
  </si>
  <si>
    <t xml:space="preserve">2021 F-350</t>
  </si>
  <si>
    <t xml:space="preserve">Operating line of credit</t>
  </si>
  <si>
    <t xml:space="preserve">Seasonal operating needs</t>
  </si>
  <si>
    <t xml:space="preserve">Crops/livestock, receivables, equipment (blanket lien)</t>
  </si>
  <si>
    <t xml:space="preserve">Variable (prime + spread)</t>
  </si>
  <si>
    <t xml:space="preserve">Interest monthly; principal revolving</t>
  </si>
  <si>
    <t xml:space="preserve">payment_number</t>
  </si>
  <si>
    <t xml:space="preserve">payment</t>
  </si>
  <si>
    <t xml:space="preserve">principal</t>
  </si>
  <si>
    <t xml:space="preserve">ending_balance</t>
  </si>
  <si>
    <t xml:space="preserve">Scheduled</t>
  </si>
  <si>
    <t xml:space="preserve">line_balance</t>
  </si>
  <si>
    <t xml:space="preserve">limit</t>
  </si>
  <si>
    <t xml:space="preserve">available</t>
  </si>
  <si>
    <t xml:space="preserve">rate</t>
  </si>
  <si>
    <t xml:space="preserve">avg_balance</t>
  </si>
  <si>
    <t xml:space="preserve">month</t>
  </si>
  <si>
    <t xml:space="preserve">worker_type</t>
  </si>
  <si>
    <t xml:space="preserve">worker</t>
  </si>
  <si>
    <t xml:space="preserve">hours</t>
  </si>
  <si>
    <t xml:space="preserve">hourly_cost</t>
  </si>
  <si>
    <t xml:space="preserve">wages_paid</t>
  </si>
  <si>
    <t xml:space="preserve">Hired seasonal</t>
  </si>
  <si>
    <t xml:space="preserve">Hand/truck driver</t>
  </si>
  <si>
    <t xml:space="preserve">60% custom / 40% own farm</t>
  </si>
  <si>
    <t xml:space="preserve">Owner/family (unpaid)</t>
  </si>
  <si>
    <t xml:space="preserve">Sam (combine operator)</t>
  </si>
  <si>
    <t xml:space="preserve">Sam &amp; Megan (own farm, books, grain cart)</t>
  </si>
  <si>
    <t xml:space="preserve">name</t>
  </si>
  <si>
    <t xml:space="preserve">customer_type</t>
  </si>
  <si>
    <t xml:space="preserve">payment_terms_days</t>
  </si>
  <si>
    <t xml:space="preserve">Central Prairie Co-op - grain</t>
  </si>
  <si>
    <t xml:space="preserve">Grain elevator</t>
  </si>
  <si>
    <t xml:space="preserve">McPherson, KS</t>
  </si>
  <si>
    <t xml:space="preserve">High Plains Cotton Marketing Pool</t>
  </si>
  <si>
    <t xml:space="preserve">Cotton marketing cooperative pool</t>
  </si>
  <si>
    <t xml:space="preserve">Lubbock, TX</t>
  </si>
  <si>
    <t xml:space="preserve">Carson County Co-op Gin (cottonseed)</t>
  </si>
  <si>
    <t xml:space="preserve">Gin</t>
  </si>
  <si>
    <t xml:space="preserve">Heritage Mills Flour - wheat</t>
  </si>
  <si>
    <t xml:space="preserve">Flour mill (wheat)</t>
  </si>
  <si>
    <t xml:space="preserve">Hutchinson, KS</t>
  </si>
  <si>
    <t xml:space="preserve">USDA FSA / RMA (programs &amp; indemnities)</t>
  </si>
  <si>
    <t xml:space="preserve">Government / insurance</t>
  </si>
  <si>
    <t xml:space="preserve">Heartland Land &amp; Cattle</t>
  </si>
  <si>
    <t xml:space="preserve">Custom harvesting client</t>
  </si>
  <si>
    <t xml:space="preserve">McPherson/Harvey/Marion Co., KS</t>
  </si>
  <si>
    <t xml:space="preserve">Ostrander Farms</t>
  </si>
  <si>
    <t xml:space="preserve">Slow payer</t>
  </si>
  <si>
    <t xml:space="preserve">Rudd Brothers Partnership</t>
  </si>
  <si>
    <t xml:space="preserve">2025 fall invoice disputed (acre count) - unpaid</t>
  </si>
  <si>
    <t xml:space="preserve">Gail Schrag</t>
  </si>
  <si>
    <t xml:space="preserve">Lindquist Family Farms</t>
  </si>
  <si>
    <t xml:space="preserve">Prairie Rose Dairy</t>
  </si>
  <si>
    <t xml:space="preserve">Dale &amp; Jo Unruh</t>
  </si>
  <si>
    <t xml:space="preserve">Smoky Hill Farms LLC</t>
  </si>
  <si>
    <t xml:space="preserve">Central Prairie Co-op</t>
  </si>
  <si>
    <t xml:space="preserve">Fertilizer, chemicals, fuel, propane</t>
  </si>
  <si>
    <t xml:space="preserve">Golden Plains Seed Co.</t>
  </si>
  <si>
    <t xml:space="preserve">Seed (corn/soy)</t>
  </si>
  <si>
    <t xml:space="preserve">Hesston, KS</t>
  </si>
  <si>
    <t xml:space="preserve">Panhandle Custom Farming</t>
  </si>
  <si>
    <t xml:space="preserve">TX custom field operations</t>
  </si>
  <si>
    <t xml:space="preserve">Panhandle, TX</t>
  </si>
  <si>
    <t xml:space="preserve">Caprock Custom Stripping</t>
  </si>
  <si>
    <t xml:space="preserve">TX custom cotton harvest</t>
  </si>
  <si>
    <t xml:space="preserve">Groom, TX</t>
  </si>
  <si>
    <t xml:space="preserve">Carson County Co-op Gin</t>
  </si>
  <si>
    <t xml:space="preserve">Ginning</t>
  </si>
  <si>
    <t xml:space="preserve">White Deer, TX</t>
  </si>
  <si>
    <t xml:space="preserve">Plains Ag Supply (Amarillo)</t>
  </si>
  <si>
    <t xml:space="preserve">TX cotton seed &amp; chemicals</t>
  </si>
  <si>
    <t xml:space="preserve">Amarillo, TX</t>
  </si>
  <si>
    <t xml:space="preserve">Lender - land</t>
  </si>
  <si>
    <t xml:space="preserve">Lender - equipment</t>
  </si>
  <si>
    <t xml:space="preserve">Lender - operating line &amp; truck</t>
  </si>
  <si>
    <t xml:space="preserve">Lender - vehicle</t>
  </si>
  <si>
    <t xml:space="preserve">Heartland Crop Insurance Agency</t>
  </si>
  <si>
    <t xml:space="preserve">Prairie Mutual Insurance</t>
  </si>
  <si>
    <t xml:space="preserve">Farm/inland marine/auto insurance</t>
  </si>
  <si>
    <t xml:space="preserve">Smoky Valley Implement</t>
  </si>
  <si>
    <t xml:space="preserve">Machinery parts &amp; repair</t>
  </si>
  <si>
    <t xml:space="preserve">Lindsborg, KS</t>
  </si>
  <si>
    <t xml:space="preserve">McPherson County Treasurer</t>
  </si>
  <si>
    <t xml:space="preserve">Property tax (KS)</t>
  </si>
  <si>
    <t xml:space="preserve">Carson County Tax Office</t>
  </si>
  <si>
    <t xml:space="preserve">Property tax (TX)</t>
  </si>
  <si>
    <t xml:space="preserve">Ninnescah Electric Co-op</t>
  </si>
  <si>
    <t xml:space="preserve">Utilities / irrigation power</t>
  </si>
  <si>
    <t xml:space="preserve">PayGrid Payroll</t>
  </si>
  <si>
    <t xml:space="preserve">Boll Weevil Eradication Foundation</t>
  </si>
  <si>
    <t xml:space="preserve">Assessment</t>
  </si>
  <si>
    <t xml:space="preserve">Prairie Ag Accounting</t>
  </si>
  <si>
    <t xml:space="preserve">Accounting</t>
  </si>
  <si>
    <t xml:space="preserve">VEN-SAM-020</t>
  </si>
  <si>
    <t xml:space="preserve">USDA Farm Service Agency</t>
  </si>
  <si>
    <t xml:space="preserve">Government programs</t>
  </si>
  <si>
    <t xml:space="preserve">Kansas Truck &amp; Tag</t>
  </si>
  <si>
    <t xml:space="preserve">Truck registration / DOT</t>
  </si>
  <si>
    <t xml:space="preserve">Big Iron Equipment Sales</t>
  </si>
  <si>
    <t xml:space="preserve">Equipment dealer</t>
  </si>
  <si>
    <t xml:space="preserve">statement</t>
  </si>
  <si>
    <t xml:space="preserve">cash_flow_class</t>
  </si>
  <si>
    <t xml:space="preserve">Income statement</t>
  </si>
  <si>
    <t xml:space="preserve">4030</t>
  </si>
  <si>
    <t xml:space="preserve">Hay sales</t>
  </si>
  <si>
    <t xml:space="preserve">4040</t>
  </si>
  <si>
    <t xml:space="preserve">Produce sales - farmers market</t>
  </si>
  <si>
    <t xml:space="preserve">4050</t>
  </si>
  <si>
    <t xml:space="preserve">Egg sales</t>
  </si>
  <si>
    <t xml:space="preserve">Livestock product sales</t>
  </si>
  <si>
    <t xml:space="preserve">4060</t>
  </si>
  <si>
    <t xml:space="preserve">Beef sales - direct to consumer</t>
  </si>
  <si>
    <t xml:space="preserve">Direct-to-consumer meat sales</t>
  </si>
  <si>
    <t xml:space="preserve">4065</t>
  </si>
  <si>
    <t xml:space="preserve">Pork sales - direct to consumer</t>
  </si>
  <si>
    <t xml:space="preserve">4070</t>
  </si>
  <si>
    <t xml:space="preserve">Feeder/commercial cattle sales</t>
  </si>
  <si>
    <t xml:space="preserve">Livestock sales</t>
  </si>
  <si>
    <t xml:space="preserve">4071</t>
  </si>
  <si>
    <t xml:space="preserve">Cull breeding stock sales</t>
  </si>
  <si>
    <t xml:space="preserve">4072</t>
  </si>
  <si>
    <t xml:space="preserve">Registered breeding-stock sales</t>
  </si>
  <si>
    <t xml:space="preserve">4073</t>
  </si>
  <si>
    <t xml:space="preserve">Bull sales</t>
  </si>
  <si>
    <t xml:space="preserve">4075</t>
  </si>
  <si>
    <t xml:space="preserve">Goat sales</t>
  </si>
  <si>
    <t xml:space="preserve">4080</t>
  </si>
  <si>
    <t xml:space="preserve">Semen sales</t>
  </si>
  <si>
    <t xml:space="preserve">Genetics revenue</t>
  </si>
  <si>
    <t xml:space="preserve">4100</t>
  </si>
  <si>
    <t xml:space="preserve">Pasture lease income</t>
  </si>
  <si>
    <t xml:space="preserve">Lease income</t>
  </si>
  <si>
    <t xml:space="preserve">4110</t>
  </si>
  <si>
    <t xml:space="preserve">Hunting / recreational lease income</t>
  </si>
  <si>
    <t xml:space="preserve">4300</t>
  </si>
  <si>
    <t xml:space="preserve">Other farm income (patronage, refunds)</t>
  </si>
  <si>
    <t xml:space="preserve">Other income</t>
  </si>
  <si>
    <t xml:space="preserve">4310</t>
  </si>
  <si>
    <t xml:space="preserve">Show premiums &amp; awards</t>
  </si>
  <si>
    <t xml:space="preserve">4500</t>
  </si>
  <si>
    <t xml:space="preserve">Internal transfer - animals out (at market)</t>
  </si>
  <si>
    <t xml:space="preserve">XFER</t>
  </si>
  <si>
    <t xml:space="preserve">Internal transfers</t>
  </si>
  <si>
    <t xml:space="preserve">Enterprise reporting only (nets to zero)</t>
  </si>
  <si>
    <t xml:space="preserve">Non-cash</t>
  </si>
  <si>
    <t xml:space="preserve">5070</t>
  </si>
  <si>
    <t xml:space="preserve">Feed - grain, cubes &amp; supplements</t>
  </si>
  <si>
    <t xml:space="preserve">Feed</t>
  </si>
  <si>
    <t xml:space="preserve">5071</t>
  </si>
  <si>
    <t xml:space="preserve">Feed - hay &amp; forage</t>
  </si>
  <si>
    <t xml:space="preserve">5072</t>
  </si>
  <si>
    <t xml:space="preserve">Minerals &amp; salt</t>
  </si>
  <si>
    <t xml:space="preserve">5080</t>
  </si>
  <si>
    <t xml:space="preserve">Veterinary &amp; medicine</t>
  </si>
  <si>
    <t xml:space="preserve">Veterinary &amp; animal health</t>
  </si>
  <si>
    <t xml:space="preserve">5081</t>
  </si>
  <si>
    <t xml:space="preserve">Breeding, AI &amp; reproductive services</t>
  </si>
  <si>
    <t xml:space="preserve">Breeding &amp; genetics</t>
  </si>
  <si>
    <t xml:space="preserve">5082</t>
  </si>
  <si>
    <t xml:space="preserve">Genetic testing &amp; registrations</t>
  </si>
  <si>
    <t xml:space="preserve">5090</t>
  </si>
  <si>
    <t xml:space="preserve">5100</t>
  </si>
  <si>
    <t xml:space="preserve">Processing &amp; slaughter fees</t>
  </si>
  <si>
    <t xml:space="preserve">5110</t>
  </si>
  <si>
    <t xml:space="preserve">Packaging &amp; selling supplies</t>
  </si>
  <si>
    <t xml:space="preserve">Packaging &amp; fulfillment</t>
  </si>
  <si>
    <t xml:space="preserve">5120</t>
  </si>
  <si>
    <t xml:space="preserve">Semen collection &amp; processing</t>
  </si>
  <si>
    <t xml:space="preserve">5121</t>
  </si>
  <si>
    <t xml:space="preserve">Semen storage</t>
  </si>
  <si>
    <t xml:space="preserve">5122</t>
  </si>
  <si>
    <t xml:space="preserve">Shipping &amp; fulfillment</t>
  </si>
  <si>
    <t xml:space="preserve">5170</t>
  </si>
  <si>
    <t xml:space="preserve">Sale commissions &amp; auction fees</t>
  </si>
  <si>
    <t xml:space="preserve">Marketing &amp; selling</t>
  </si>
  <si>
    <t xml:space="preserve">5175</t>
  </si>
  <si>
    <t xml:space="preserve">Farmers market booth fees</t>
  </si>
  <si>
    <t xml:space="preserve">5190</t>
  </si>
  <si>
    <t xml:space="preserve">Hay storage &amp; handling</t>
  </si>
  <si>
    <t xml:space="preserve">Storage</t>
  </si>
  <si>
    <t xml:space="preserve">5195</t>
  </si>
  <si>
    <t xml:space="preserve">Brush control &amp; pasture management</t>
  </si>
  <si>
    <t xml:space="preserve">Pasture &amp; fencing</t>
  </si>
  <si>
    <t xml:space="preserve">5200</t>
  </si>
  <si>
    <t xml:space="preserve">Fencing &amp; pasture repairs</t>
  </si>
  <si>
    <t xml:space="preserve">5210</t>
  </si>
  <si>
    <t xml:space="preserve">Freezer, cold storage &amp; refrigeration</t>
  </si>
  <si>
    <t xml:space="preserve">5500</t>
  </si>
  <si>
    <t xml:space="preserve">Internal transfer - animals in (at market)</t>
  </si>
  <si>
    <t xml:space="preserve">6015</t>
  </si>
  <si>
    <t xml:space="preserve">Livestock mortality insurance</t>
  </si>
  <si>
    <t xml:space="preserve">6040</t>
  </si>
  <si>
    <t xml:space="preserve">Repairs - buildings &amp; improvements</t>
  </si>
  <si>
    <t xml:space="preserve">Repairs - buildings</t>
  </si>
  <si>
    <t xml:space="preserve">6060</t>
  </si>
  <si>
    <t xml:space="preserve">Advertising &amp; marketing</t>
  </si>
  <si>
    <t xml:space="preserve">6070</t>
  </si>
  <si>
    <t xml:space="preserve">Show &amp; exhibition expense</t>
  </si>
  <si>
    <t xml:space="preserve">6110</t>
  </si>
  <si>
    <t xml:space="preserve">Bank &amp; card fees</t>
  </si>
  <si>
    <t xml:space="preserve">6130</t>
  </si>
  <si>
    <t xml:space="preserve">Small tools &amp; farm supplies</t>
  </si>
  <si>
    <t xml:space="preserve">Farm supplies</t>
  </si>
  <si>
    <t xml:space="preserve">6140</t>
  </si>
  <si>
    <t xml:space="preserve">Bad debt expense</t>
  </si>
  <si>
    <t xml:space="preserve">Other overhead</t>
  </si>
  <si>
    <t xml:space="preserve">6150</t>
  </si>
  <si>
    <t xml:space="preserve">Miscellaneous</t>
  </si>
  <si>
    <t xml:space="preserve">7022</t>
  </si>
  <si>
    <t xml:space="preserve">Interest - credit card &amp; other</t>
  </si>
  <si>
    <t xml:space="preserve">7041</t>
  </si>
  <si>
    <t xml:space="preserve">Change in livestock inventory value</t>
  </si>
  <si>
    <t xml:space="preserve">LVCHG</t>
  </si>
  <si>
    <t xml:space="preserve">Balance sheet / cash flow</t>
  </si>
  <si>
    <t xml:space="preserve">8040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</si>
</sst>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.##"/>
    <numFmt numFmtId="167" formatCode="mmm\-yy"/>
    <numFmt numFmtId="168" formatCode="0.0%;\(0.0%\);\-"/>
    <numFmt numFmtId="169" formatCode="yyyy\-mm\-dd"/>
    <numFmt numFmtId="170" formatCode="0.00"/>
    <numFmt numFmtId="171" formatCode="\$#,##0.00;&quot;($&quot;#,##0.00\);\-"/>
    <numFmt numFmtId="172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2D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2D"/>
        <bgColor rgb="FF333300"/>
      </patternFill>
    </fill>
    <fill>
      <patternFill patternType="solid">
        <fgColor rgb="FFCFE2F3"/>
        <bgColor rgb="FFCCFFFF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FCE5CD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B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3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23.8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  <row r="16" customFormat="false" ht="15" hidden="false" customHeight="false" outlineLevel="0" collapsed="false">
      <c r="A16" s="4" t="s">
        <v>14</v>
      </c>
    </row>
    <row r="17" customFormat="false" ht="15" hidden="false" customHeight="false" outlineLevel="0" collapsed="false">
      <c r="A17" s="4" t="s">
        <v>15</v>
      </c>
    </row>
    <row r="18" customFormat="false" ht="15" hidden="false" customHeight="false" outlineLevel="0" collapsed="false">
      <c r="A18" s="4" t="s">
        <v>16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4" t="s">
        <v>18</v>
      </c>
    </row>
    <row r="22" customFormat="false" ht="15" hidden="false" customHeight="false" outlineLevel="0" collapsed="false">
      <c r="A22" s="4" t="s">
        <v>19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2" t="s">
        <v>20</v>
      </c>
    </row>
    <row r="25" customFormat="false" ht="23.85" hidden="false" customHeight="false" outlineLevel="0" collapsed="false">
      <c r="A25" s="4" t="s">
        <v>21</v>
      </c>
    </row>
    <row r="26" customFormat="false" ht="35.0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4" t="s">
        <v>24</v>
      </c>
    </row>
    <row r="29" customFormat="false" ht="23.85" hidden="false" customHeight="false" outlineLevel="0" collapsed="false">
      <c r="A29" s="4" t="s">
        <v>25</v>
      </c>
    </row>
    <row r="30" customFormat="false" ht="23.8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4" t="s">
        <v>27</v>
      </c>
    </row>
    <row r="32" customFormat="false" ht="23.85" hidden="false" customHeight="false" outlineLevel="0" collapsed="false">
      <c r="A32" s="4" t="s">
        <v>28</v>
      </c>
    </row>
    <row r="33" customFormat="false" ht="15" hidden="false" customHeight="false" outlineLevel="0" collapsed="false">
      <c r="A33" s="4" t="s">
        <v>29</v>
      </c>
    </row>
    <row r="34" customFormat="false" ht="23.85" hidden="false" customHeight="false" outlineLevel="0" collapsed="false">
      <c r="A34" s="4" t="s">
        <v>30</v>
      </c>
    </row>
    <row r="35" customFormat="false" ht="23.85" hidden="false" customHeight="false" outlineLevel="0" collapsed="false">
      <c r="A35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5" t="s">
        <v>32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</row>
    <row r="4" customFormat="false" ht="15" hidden="false" customHeight="false" outlineLevel="0" collapsed="false">
      <c r="A4" s="7" t="s">
        <v>38</v>
      </c>
      <c r="B4" s="7" t="n">
        <v>2023</v>
      </c>
      <c r="C4" s="8" t="n">
        <f aca="false">SUMIFS(Transactions!$Q$2:$Q$1092,Transactions!$J$2:$J$1092,"REV",Transactions!$AA$2:$AA$1092,2023,Transactions!$F$2:$F$1092,"Current",Transactions!$C$2:$C$1092,"&lt;="&amp;DATE(2026,9,30))</f>
        <v>374668.55</v>
      </c>
      <c r="D4" s="8" t="n">
        <f aca="false">IS_Annual_Enterprise!D27</f>
        <v>374668.55</v>
      </c>
      <c r="E4" s="8" t="n">
        <f aca="false">ROUND(C4-D4,2)</f>
        <v>0</v>
      </c>
    </row>
    <row r="5" customFormat="false" ht="15" hidden="false" customHeight="false" outlineLevel="0" collapsed="false">
      <c r="A5" s="7" t="s">
        <v>39</v>
      </c>
      <c r="B5" s="7" t="n">
        <v>2023</v>
      </c>
      <c r="C5" s="8" t="n">
        <f aca="false">SUMIFS(Transactions!$Q$2:$Q$1092,Transactions!$J$2:$J$1092,"COP",Transactions!$AA$2:$AA$1092,2023,Transactions!$F$2:$F$1092,"Current",Transactions!$C$2:$C$1092,"&lt;="&amp;DATE(2026,9,30))</f>
        <v>233214.89</v>
      </c>
      <c r="D5" s="8" t="n">
        <f aca="false">IS_Annual_Enterprise!F27</f>
        <v>233214.89</v>
      </c>
      <c r="E5" s="8" t="n">
        <f aca="false">ROUND(C5-D5,2)</f>
        <v>0</v>
      </c>
    </row>
    <row r="6" customFormat="false" ht="15" hidden="false" customHeight="false" outlineLevel="0" collapsed="false">
      <c r="A6" s="7" t="s">
        <v>40</v>
      </c>
      <c r="B6" s="7" t="n">
        <v>2023</v>
      </c>
      <c r="C6" s="8" t="n">
        <f aca="false">SUMIFS(Transactions!$Q$2:$Q$1092,Transactions!$J$2:$J$1092,"INT",Transactions!$AA$2:$AA$1092,2023,Transactions!$F$2:$F$1092,"Current",Transactions!$C$2:$C$1092,"&lt;="&amp;DATE(2026,9,30))</f>
        <v>41451.19</v>
      </c>
      <c r="D6" s="8" t="n">
        <f aca="false">IS_Annual_Enterprise!L27</f>
        <v>41451.19</v>
      </c>
      <c r="E6" s="8" t="n">
        <f aca="false">ROUND(C6-D6,2)</f>
        <v>0</v>
      </c>
    </row>
    <row r="7" customFormat="false" ht="15" hidden="false" customHeight="false" outlineLevel="0" collapsed="false">
      <c r="A7" s="7" t="s">
        <v>38</v>
      </c>
      <c r="B7" s="7" t="n">
        <v>2024</v>
      </c>
      <c r="C7" s="8" t="n">
        <f aca="false">SUMIFS(Transactions!$Q$2:$Q$1092,Transactions!$J$2:$J$1092,"REV",Transactions!$AA$2:$AA$1092,2024,Transactions!$F$2:$F$1092,"Current",Transactions!$C$2:$C$1092,"&lt;="&amp;DATE(2026,9,30))</f>
        <v>429071.06</v>
      </c>
      <c r="D7" s="8" t="n">
        <f aca="false">IS_Annual_Enterprise!D28</f>
        <v>429071.06</v>
      </c>
      <c r="E7" s="8" t="n">
        <f aca="false">ROUND(C7-D7,2)</f>
        <v>0</v>
      </c>
    </row>
    <row r="8" customFormat="false" ht="15" hidden="false" customHeight="false" outlineLevel="0" collapsed="false">
      <c r="A8" s="7" t="s">
        <v>39</v>
      </c>
      <c r="B8" s="7" t="n">
        <v>2024</v>
      </c>
      <c r="C8" s="8" t="n">
        <f aca="false">SUMIFS(Transactions!$Q$2:$Q$1092,Transactions!$J$2:$J$1092,"COP",Transactions!$AA$2:$AA$1092,2024,Transactions!$F$2:$F$1092,"Current",Transactions!$C$2:$C$1092,"&lt;="&amp;DATE(2026,9,30))</f>
        <v>194297.69</v>
      </c>
      <c r="D8" s="8" t="n">
        <f aca="false">IS_Annual_Enterprise!F28</f>
        <v>194297.69</v>
      </c>
      <c r="E8" s="8" t="n">
        <f aca="false">ROUND(C8-D8,2)</f>
        <v>0</v>
      </c>
    </row>
    <row r="9" customFormat="false" ht="15" hidden="false" customHeight="false" outlineLevel="0" collapsed="false">
      <c r="A9" s="7" t="s">
        <v>40</v>
      </c>
      <c r="B9" s="7" t="n">
        <v>2024</v>
      </c>
      <c r="C9" s="8" t="n">
        <f aca="false">SUMIFS(Transactions!$Q$2:$Q$1092,Transactions!$J$2:$J$1092,"INT",Transactions!$AA$2:$AA$1092,2024,Transactions!$F$2:$F$1092,"Current",Transactions!$C$2:$C$1092,"&lt;="&amp;DATE(2026,9,30))</f>
        <v>41973.14</v>
      </c>
      <c r="D9" s="8" t="n">
        <f aca="false">IS_Annual_Enterprise!L28</f>
        <v>41973.14</v>
      </c>
      <c r="E9" s="8" t="n">
        <f aca="false">ROUND(C9-D9,2)</f>
        <v>0</v>
      </c>
    </row>
    <row r="10" customFormat="false" ht="15" hidden="false" customHeight="false" outlineLevel="0" collapsed="false">
      <c r="A10" s="7" t="s">
        <v>38</v>
      </c>
      <c r="B10" s="7" t="n">
        <v>2025</v>
      </c>
      <c r="C10" s="8" t="n">
        <f aca="false">SUMIFS(Transactions!$Q$2:$Q$1092,Transactions!$J$2:$J$1092,"REV",Transactions!$AA$2:$AA$1092,2025,Transactions!$F$2:$F$1092,"Current",Transactions!$C$2:$C$1092,"&lt;="&amp;DATE(2026,9,30))</f>
        <v>443445.2</v>
      </c>
      <c r="D10" s="8" t="n">
        <f aca="false">IS_Annual_Enterprise!D29</f>
        <v>443445.2</v>
      </c>
      <c r="E10" s="8" t="n">
        <f aca="false">ROUND(C10-D10,2)</f>
        <v>0</v>
      </c>
    </row>
    <row r="11" customFormat="false" ht="15" hidden="false" customHeight="false" outlineLevel="0" collapsed="false">
      <c r="A11" s="7" t="s">
        <v>39</v>
      </c>
      <c r="B11" s="7" t="n">
        <v>2025</v>
      </c>
      <c r="C11" s="8" t="n">
        <f aca="false">SUMIFS(Transactions!$Q$2:$Q$1092,Transactions!$J$2:$J$1092,"COP",Transactions!$AA$2:$AA$1092,2025,Transactions!$F$2:$F$1092,"Current",Transactions!$C$2:$C$1092,"&lt;="&amp;DATE(2026,9,30))</f>
        <v>247894.11</v>
      </c>
      <c r="D11" s="8" t="n">
        <f aca="false">IS_Annual_Enterprise!F29</f>
        <v>247894.11</v>
      </c>
      <c r="E11" s="8" t="n">
        <f aca="false">ROUND(C11-D11,2)</f>
        <v>0</v>
      </c>
    </row>
    <row r="12" customFormat="false" ht="15" hidden="false" customHeight="false" outlineLevel="0" collapsed="false">
      <c r="A12" s="7" t="s">
        <v>40</v>
      </c>
      <c r="B12" s="7" t="n">
        <v>2025</v>
      </c>
      <c r="C12" s="8" t="n">
        <f aca="false">SUMIFS(Transactions!$Q$2:$Q$1092,Transactions!$J$2:$J$1092,"INT",Transactions!$AA$2:$AA$1092,2025,Transactions!$F$2:$F$1092,"Current",Transactions!$C$2:$C$1092,"&lt;="&amp;DATE(2026,9,30))</f>
        <v>44597.46</v>
      </c>
      <c r="D12" s="8" t="n">
        <f aca="false">IS_Annual_Enterprise!L29</f>
        <v>44597.46</v>
      </c>
      <c r="E12" s="8" t="n">
        <f aca="false">ROUND(C12-D12,2)</f>
        <v>0</v>
      </c>
    </row>
    <row r="13" customFormat="false" ht="15" hidden="false" customHeight="false" outlineLevel="0" collapsed="false">
      <c r="A13" s="7" t="s">
        <v>38</v>
      </c>
      <c r="B13" s="7" t="n">
        <v>2026</v>
      </c>
      <c r="C13" s="8" t="n">
        <f aca="false">SUMIFS(Transactions!$Q$2:$Q$1092,Transactions!$J$2:$J$1092,"REV",Transactions!$AA$2:$AA$1092,2026,Transactions!$F$2:$F$1092,"Current",Transactions!$C$2:$C$1092,"&lt;="&amp;DATE(2026,9,30))</f>
        <v>234120.21</v>
      </c>
      <c r="D13" s="8" t="n">
        <f aca="false">IS_Annual_Enterprise!D30</f>
        <v>234120.21</v>
      </c>
      <c r="E13" s="8" t="n">
        <f aca="false">ROUND(C13-D13,2)</f>
        <v>0</v>
      </c>
    </row>
    <row r="14" customFormat="false" ht="15" hidden="false" customHeight="false" outlineLevel="0" collapsed="false">
      <c r="A14" s="7" t="s">
        <v>39</v>
      </c>
      <c r="B14" s="7" t="n">
        <v>2026</v>
      </c>
      <c r="C14" s="8" t="n">
        <f aca="false">SUMIFS(Transactions!$Q$2:$Q$1092,Transactions!$J$2:$J$1092,"COP",Transactions!$AA$2:$AA$1092,2026,Transactions!$F$2:$F$1092,"Current",Transactions!$C$2:$C$1092,"&lt;="&amp;DATE(2026,9,30))</f>
        <v>161688.09</v>
      </c>
      <c r="D14" s="8" t="n">
        <f aca="false">IS_Annual_Enterprise!F30</f>
        <v>161688.09</v>
      </c>
      <c r="E14" s="8" t="n">
        <f aca="false">ROUND(C14-D14,2)</f>
        <v>0</v>
      </c>
    </row>
    <row r="15" customFormat="false" ht="15" hidden="false" customHeight="false" outlineLevel="0" collapsed="false">
      <c r="A15" s="7" t="s">
        <v>40</v>
      </c>
      <c r="B15" s="7" t="n">
        <v>2026</v>
      </c>
      <c r="C15" s="8" t="n">
        <f aca="false">SUMIFS(Transactions!$Q$2:$Q$1092,Transactions!$J$2:$J$1092,"INT",Transactions!$AA$2:$AA$1092,2026,Transactions!$F$2:$F$1092,"Current",Transactions!$C$2:$C$1092,"&lt;="&amp;DATE(2026,9,30))</f>
        <v>34762.64</v>
      </c>
      <c r="D15" s="8" t="n">
        <f aca="false">IS_Annual_Enterprise!L30</f>
        <v>34762.64</v>
      </c>
      <c r="E15" s="8" t="n">
        <f aca="false">ROUND(C15-D15,2)</f>
        <v>0</v>
      </c>
    </row>
    <row r="16" customFormat="false" ht="15" hidden="false" customHeight="false" outlineLevel="0" collapsed="false">
      <c r="A16" s="7" t="s">
        <v>41</v>
      </c>
      <c r="C16" s="8" t="n">
        <f aca="false">MAX(BS_Monthly!B38:AU38)</f>
        <v>0</v>
      </c>
      <c r="D16" s="8" t="n">
        <f aca="false">MIN(BS_Monthly!B38:AU38)</f>
        <v>0</v>
      </c>
      <c r="E16" s="8" t="n">
        <f aca="false">ROUND(MAX(ABS(C16),ABS(D16)),2)</f>
        <v>0</v>
      </c>
    </row>
    <row r="17" customFormat="false" ht="15" hidden="false" customHeight="false" outlineLevel="0" collapsed="false">
      <c r="A17" s="7" t="s">
        <v>42</v>
      </c>
      <c r="C17" s="8" t="n">
        <f aca="false">BS_Monthly!AU4</f>
        <v>28343.6</v>
      </c>
      <c r="D17" s="8" t="n">
        <f aca="false">CF_Monthly!AJ47</f>
        <v>28343.6</v>
      </c>
      <c r="E17" s="8" t="n">
        <f aca="false">ROUND(C17-D17,2)</f>
        <v>0</v>
      </c>
    </row>
    <row r="18" customFormat="false" ht="15" hidden="false" customHeight="false" outlineLevel="0" collapsed="false">
      <c r="A18" s="7" t="s">
        <v>43</v>
      </c>
      <c r="C18" s="8" t="n">
        <f aca="false">BS_Monthly!B4+SUMIFS(Transactions!$R$2:$R$1092,Transactions!$D$2:$D$1092,"&gt;="&amp;DATE(2023,1,1))</f>
        <v>28343.6</v>
      </c>
      <c r="D18" s="8" t="n">
        <f aca="false">BS_Monthly!AU4</f>
        <v>28343.6</v>
      </c>
      <c r="E18" s="8" t="n">
        <f aca="false">ROUND(C18-D18,2)</f>
        <v>0</v>
      </c>
    </row>
    <row r="19" customFormat="false" ht="15" hidden="false" customHeight="false" outlineLevel="0" collapsed="false">
      <c r="A19" s="7" t="s">
        <v>44</v>
      </c>
      <c r="C19" s="8" t="n">
        <f aca="false">SUM(AR_Invoices!J2:J108)</f>
        <v>17457.23</v>
      </c>
      <c r="D19" s="8" t="n">
        <f aca="false">BS_Monthly!AU5</f>
        <v>17457.23</v>
      </c>
      <c r="E19" s="8" t="n">
        <f aca="false">ROUND(C19-D19,2)</f>
        <v>0</v>
      </c>
    </row>
    <row r="20" customFormat="false" ht="15" hidden="false" customHeight="false" outlineLevel="0" collapsed="false">
      <c r="A20" s="7" t="s">
        <v>45</v>
      </c>
      <c r="C20" s="8" t="n">
        <f aca="false">SUM(Loans!Q2:Q7)</f>
        <v>834842.73</v>
      </c>
      <c r="D20" s="8" t="n">
        <f aca="false">BS_Monthly!AU26+BS_Monthly!AU27+BS_Monthly!AU29+BS_Monthly!AU30+BS_Monthly!AU31+BS_Monthly!AU32</f>
        <v>834842.73</v>
      </c>
      <c r="E20" s="8" t="n">
        <f aca="false">ROUND(C20-D20,2)</f>
        <v>0</v>
      </c>
    </row>
    <row r="22" customFormat="false" ht="15" hidden="false" customHeight="false" outlineLevel="0" collapsed="false">
      <c r="A22" s="9" t="s">
        <v>46</v>
      </c>
      <c r="E22" s="9" t="str">
        <f aca="false">IF(SUMPRODUCT(ABS(E4:E20))&lt;1,"PASS","REVIEW")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90"/>
    <col collapsed="false" customWidth="true" hidden="false" outlineLevel="0" max="6" min="6" style="0" width="60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0" t="s">
        <v>47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 t="s">
        <v>53</v>
      </c>
      <c r="G2" s="11" t="s">
        <v>54</v>
      </c>
      <c r="H2" s="11" t="s">
        <v>55</v>
      </c>
    </row>
    <row r="3" customFormat="false" ht="35.05" hidden="false" customHeight="false" outlineLevel="0" collapsed="false">
      <c r="A3" s="4" t="s">
        <v>56</v>
      </c>
      <c r="B3" s="12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</row>
    <row r="4" customFormat="false" ht="46.25" hidden="false" customHeight="false" outlineLevel="0" collapsed="false">
      <c r="A4" s="4" t="s">
        <v>64</v>
      </c>
      <c r="B4" s="13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</row>
    <row r="5" customFormat="false" ht="46.25" hidden="false" customHeight="false" outlineLevel="0" collapsed="false">
      <c r="A5" s="4" t="s">
        <v>72</v>
      </c>
      <c r="B5" s="14" t="s">
        <v>73</v>
      </c>
      <c r="C5" s="4" t="s">
        <v>74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79</v>
      </c>
    </row>
    <row r="6" customFormat="false" ht="57.45" hidden="false" customHeight="false" outlineLevel="0" collapsed="false">
      <c r="A6" s="4" t="s">
        <v>80</v>
      </c>
      <c r="B6" s="13" t="s">
        <v>65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</row>
    <row r="7" customFormat="false" ht="46.25" hidden="false" customHeight="false" outlineLevel="0" collapsed="false">
      <c r="A7" s="4" t="s">
        <v>87</v>
      </c>
      <c r="B7" s="15" t="s">
        <v>88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 t="s">
        <v>94</v>
      </c>
    </row>
    <row r="8" customFormat="false" ht="35.05" hidden="false" customHeight="false" outlineLevel="0" collapsed="false">
      <c r="A8" s="4" t="s">
        <v>95</v>
      </c>
      <c r="B8" s="13" t="s">
        <v>65</v>
      </c>
      <c r="C8" s="4" t="s">
        <v>96</v>
      </c>
      <c r="D8" s="4" t="s">
        <v>97</v>
      </c>
      <c r="E8" s="4" t="s">
        <v>98</v>
      </c>
      <c r="F8" s="4" t="s">
        <v>99</v>
      </c>
      <c r="G8" s="4" t="s">
        <v>100</v>
      </c>
      <c r="H8" s="4" t="s">
        <v>101</v>
      </c>
    </row>
    <row r="9" customFormat="false" ht="23.85" hidden="false" customHeight="false" outlineLevel="0" collapsed="false">
      <c r="A9" s="4" t="s">
        <v>102</v>
      </c>
      <c r="B9" s="15" t="s">
        <v>88</v>
      </c>
      <c r="C9" s="4" t="s">
        <v>103</v>
      </c>
      <c r="D9" s="4" t="s">
        <v>104</v>
      </c>
      <c r="E9" s="4" t="s">
        <v>105</v>
      </c>
      <c r="F9" s="4" t="s">
        <v>106</v>
      </c>
      <c r="G9" s="4" t="s">
        <v>107</v>
      </c>
      <c r="H9" s="4" t="s">
        <v>108</v>
      </c>
    </row>
    <row r="10" customFormat="false" ht="35.05" hidden="false" customHeight="false" outlineLevel="0" collapsed="false">
      <c r="A10" s="4" t="s">
        <v>109</v>
      </c>
      <c r="B10" s="15" t="s">
        <v>88</v>
      </c>
      <c r="C10" s="4" t="s">
        <v>110</v>
      </c>
      <c r="D10" s="4" t="s">
        <v>111</v>
      </c>
      <c r="E10" s="4" t="s">
        <v>112</v>
      </c>
      <c r="F10" s="4" t="s">
        <v>113</v>
      </c>
      <c r="G10" s="4" t="s">
        <v>114</v>
      </c>
      <c r="H10" s="4" t="s">
        <v>115</v>
      </c>
    </row>
    <row r="11" customFormat="false" ht="23.85" hidden="false" customHeight="false" outlineLevel="0" collapsed="false">
      <c r="A11" s="4" t="s">
        <v>116</v>
      </c>
      <c r="B11" s="15" t="s">
        <v>88</v>
      </c>
      <c r="C11" s="4" t="s">
        <v>117</v>
      </c>
      <c r="D11" s="4" t="s">
        <v>118</v>
      </c>
      <c r="E11" s="4" t="s">
        <v>119</v>
      </c>
      <c r="F11" s="4" t="s">
        <v>120</v>
      </c>
      <c r="G11" s="4" t="s">
        <v>121</v>
      </c>
      <c r="H11" s="4" t="s">
        <v>122</v>
      </c>
    </row>
    <row r="12" customFormat="false" ht="23.85" hidden="false" customHeight="false" outlineLevel="0" collapsed="false">
      <c r="A12" s="4" t="s">
        <v>123</v>
      </c>
      <c r="B12" s="15" t="s">
        <v>88</v>
      </c>
      <c r="C12" s="4" t="s">
        <v>124</v>
      </c>
      <c r="D12" s="4" t="s">
        <v>125</v>
      </c>
      <c r="E12" s="4" t="s">
        <v>126</v>
      </c>
      <c r="F12" s="4" t="s">
        <v>127</v>
      </c>
      <c r="G12" s="4" t="s">
        <v>128</v>
      </c>
      <c r="H12" s="4" t="s">
        <v>129</v>
      </c>
    </row>
  </sheetData>
  <autoFilter ref="A2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35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1" t="s">
        <v>130</v>
      </c>
      <c r="B1" s="11" t="s">
        <v>131</v>
      </c>
      <c r="C1" s="11" t="s">
        <v>132</v>
      </c>
      <c r="D1" s="11" t="s">
        <v>133</v>
      </c>
      <c r="E1" s="11" t="s">
        <v>134</v>
      </c>
      <c r="F1" s="11" t="s">
        <v>135</v>
      </c>
    </row>
    <row r="2" customFormat="false" ht="15" hidden="false" customHeight="false" outlineLevel="0" collapsed="false">
      <c r="A2" s="7" t="s">
        <v>136</v>
      </c>
      <c r="B2" s="7" t="s">
        <v>137</v>
      </c>
      <c r="C2" s="7" t="s">
        <v>138</v>
      </c>
      <c r="D2" s="7" t="s">
        <v>139</v>
      </c>
      <c r="E2" s="7"/>
      <c r="F2" s="7" t="s">
        <v>140</v>
      </c>
    </row>
    <row r="3" customFormat="false" ht="15" hidden="false" customHeight="false" outlineLevel="0" collapsed="false">
      <c r="A3" s="7" t="s">
        <v>141</v>
      </c>
      <c r="B3" s="7" t="s">
        <v>137</v>
      </c>
      <c r="C3" s="7" t="s">
        <v>142</v>
      </c>
      <c r="D3" s="7" t="s">
        <v>139</v>
      </c>
      <c r="E3" s="7"/>
      <c r="F3" s="7" t="s">
        <v>143</v>
      </c>
    </row>
    <row r="4" customFormat="false" ht="15" hidden="false" customHeight="false" outlineLevel="0" collapsed="false">
      <c r="A4" s="7" t="s">
        <v>144</v>
      </c>
      <c r="B4" s="7" t="s">
        <v>137</v>
      </c>
      <c r="C4" s="7" t="s">
        <v>145</v>
      </c>
      <c r="D4" s="7" t="s">
        <v>139</v>
      </c>
      <c r="E4" s="7"/>
      <c r="F4" s="7" t="s">
        <v>143</v>
      </c>
    </row>
    <row r="5" customFormat="false" ht="15" hidden="false" customHeight="false" outlineLevel="0" collapsed="false">
      <c r="A5" s="7" t="s">
        <v>146</v>
      </c>
      <c r="B5" s="7" t="s">
        <v>137</v>
      </c>
      <c r="C5" s="7" t="s">
        <v>147</v>
      </c>
      <c r="D5" s="7" t="s">
        <v>139</v>
      </c>
      <c r="E5" s="7"/>
      <c r="F5" s="7" t="s">
        <v>148</v>
      </c>
    </row>
    <row r="6" customFormat="false" ht="15" hidden="false" customHeight="false" outlineLevel="0" collapsed="false">
      <c r="A6" s="7" t="s">
        <v>149</v>
      </c>
      <c r="B6" s="7" t="s">
        <v>137</v>
      </c>
      <c r="C6" s="7" t="s">
        <v>150</v>
      </c>
      <c r="D6" s="7" t="s">
        <v>151</v>
      </c>
      <c r="E6" s="7"/>
      <c r="F6" s="7" t="s">
        <v>152</v>
      </c>
    </row>
    <row r="7" customFormat="false" ht="15" hidden="false" customHeight="false" outlineLevel="0" collapsed="false">
      <c r="A7" s="7" t="s">
        <v>153</v>
      </c>
      <c r="B7" s="7" t="s">
        <v>137</v>
      </c>
      <c r="C7" s="7" t="s">
        <v>154</v>
      </c>
      <c r="D7" s="7" t="s">
        <v>155</v>
      </c>
      <c r="E7" s="7"/>
      <c r="F7" s="7" t="s">
        <v>156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37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1" t="s">
        <v>157</v>
      </c>
      <c r="B1" s="11" t="s">
        <v>131</v>
      </c>
      <c r="C1" s="11" t="s">
        <v>158</v>
      </c>
      <c r="D1" s="11" t="s">
        <v>159</v>
      </c>
      <c r="E1" s="11" t="s">
        <v>160</v>
      </c>
      <c r="F1" s="11" t="s">
        <v>161</v>
      </c>
      <c r="G1" s="11" t="s">
        <v>130</v>
      </c>
    </row>
    <row r="2" customFormat="false" ht="15" hidden="false" customHeight="false" outlineLevel="0" collapsed="false">
      <c r="A2" s="7" t="s">
        <v>162</v>
      </c>
      <c r="B2" s="7" t="s">
        <v>137</v>
      </c>
      <c r="C2" s="7" t="s">
        <v>163</v>
      </c>
      <c r="D2" s="16" t="n">
        <v>125</v>
      </c>
      <c r="E2" s="7" t="s">
        <v>164</v>
      </c>
      <c r="F2" s="7" t="s">
        <v>165</v>
      </c>
      <c r="G2" s="7"/>
    </row>
    <row r="3" customFormat="false" ht="15" hidden="false" customHeight="false" outlineLevel="0" collapsed="false">
      <c r="A3" s="7" t="s">
        <v>166</v>
      </c>
      <c r="B3" s="7" t="s">
        <v>137</v>
      </c>
      <c r="C3" s="7" t="s">
        <v>167</v>
      </c>
      <c r="D3" s="16" t="n">
        <v>80</v>
      </c>
      <c r="E3" s="7" t="s">
        <v>168</v>
      </c>
      <c r="F3" s="7" t="s">
        <v>169</v>
      </c>
      <c r="G3" s="7"/>
    </row>
    <row r="4" customFormat="false" ht="15" hidden="false" customHeight="false" outlineLevel="0" collapsed="false">
      <c r="A4" s="7" t="s">
        <v>170</v>
      </c>
      <c r="B4" s="7" t="s">
        <v>137</v>
      </c>
      <c r="C4" s="7" t="s">
        <v>171</v>
      </c>
      <c r="D4" s="16" t="n">
        <v>80</v>
      </c>
      <c r="E4" s="7" t="s">
        <v>168</v>
      </c>
      <c r="F4" s="7" t="s">
        <v>165</v>
      </c>
      <c r="G4" s="7"/>
    </row>
    <row r="5" customFormat="false" ht="15" hidden="false" customHeight="false" outlineLevel="0" collapsed="false">
      <c r="A5" s="7" t="s">
        <v>172</v>
      </c>
      <c r="B5" s="7" t="s">
        <v>137</v>
      </c>
      <c r="C5" s="7" t="s">
        <v>173</v>
      </c>
      <c r="D5" s="16" t="n">
        <v>15</v>
      </c>
      <c r="E5" s="7" t="s">
        <v>174</v>
      </c>
      <c r="F5" s="7" t="s">
        <v>165</v>
      </c>
      <c r="G5" s="7" t="s">
        <v>153</v>
      </c>
    </row>
    <row r="6" customFormat="false" ht="15" hidden="false" customHeight="false" outlineLevel="0" collapsed="false">
      <c r="A6" s="7" t="s">
        <v>175</v>
      </c>
      <c r="B6" s="7" t="s">
        <v>137</v>
      </c>
      <c r="C6" s="7" t="s">
        <v>176</v>
      </c>
      <c r="D6" s="16" t="n">
        <v>100</v>
      </c>
      <c r="E6" s="7" t="s">
        <v>177</v>
      </c>
      <c r="F6" s="7" t="s">
        <v>178</v>
      </c>
      <c r="G6" s="7" t="s">
        <v>136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6" min="2" style="0" width="12"/>
  </cols>
  <sheetData>
    <row r="1" customFormat="false" ht="15" hidden="false" customHeight="false" outlineLevel="0" collapsed="false">
      <c r="A1" s="10" t="s">
        <v>179</v>
      </c>
    </row>
    <row r="2" customFormat="false" ht="15" hidden="false" customHeight="false" outlineLevel="0" collapsed="false">
      <c r="A2" s="6" t="s">
        <v>180</v>
      </c>
      <c r="B2" s="17" t="n">
        <v>44957</v>
      </c>
      <c r="C2" s="17" t="n">
        <v>44985</v>
      </c>
      <c r="D2" s="17" t="n">
        <v>45016</v>
      </c>
      <c r="E2" s="17" t="n">
        <v>45046</v>
      </c>
      <c r="F2" s="17" t="n">
        <v>45077</v>
      </c>
      <c r="G2" s="17" t="n">
        <v>45107</v>
      </c>
      <c r="H2" s="17" t="n">
        <v>45138</v>
      </c>
      <c r="I2" s="17" t="n">
        <v>45169</v>
      </c>
      <c r="J2" s="17" t="n">
        <v>45199</v>
      </c>
      <c r="K2" s="17" t="n">
        <v>45230</v>
      </c>
      <c r="L2" s="17" t="n">
        <v>45260</v>
      </c>
      <c r="M2" s="17" t="n">
        <v>45291</v>
      </c>
      <c r="N2" s="17" t="n">
        <v>45322</v>
      </c>
      <c r="O2" s="17" t="n">
        <v>45351</v>
      </c>
      <c r="P2" s="17" t="n">
        <v>45382</v>
      </c>
      <c r="Q2" s="17" t="n">
        <v>45412</v>
      </c>
      <c r="R2" s="17" t="n">
        <v>45443</v>
      </c>
      <c r="S2" s="17" t="n">
        <v>45473</v>
      </c>
      <c r="T2" s="17" t="n">
        <v>45504</v>
      </c>
      <c r="U2" s="17" t="n">
        <v>45535</v>
      </c>
      <c r="V2" s="17" t="n">
        <v>45565</v>
      </c>
      <c r="W2" s="17" t="n">
        <v>45596</v>
      </c>
      <c r="X2" s="17" t="n">
        <v>45626</v>
      </c>
      <c r="Y2" s="17" t="n">
        <v>45657</v>
      </c>
      <c r="Z2" s="17" t="n">
        <v>45688</v>
      </c>
      <c r="AA2" s="17" t="n">
        <v>45716</v>
      </c>
      <c r="AB2" s="17" t="n">
        <v>45747</v>
      </c>
      <c r="AC2" s="17" t="n">
        <v>45777</v>
      </c>
      <c r="AD2" s="17" t="n">
        <v>45808</v>
      </c>
      <c r="AE2" s="17" t="n">
        <v>45838</v>
      </c>
      <c r="AF2" s="17" t="n">
        <v>45869</v>
      </c>
      <c r="AG2" s="17" t="n">
        <v>45900</v>
      </c>
      <c r="AH2" s="17" t="n">
        <v>45930</v>
      </c>
      <c r="AI2" s="17" t="n">
        <v>45961</v>
      </c>
      <c r="AJ2" s="17" t="n">
        <v>45991</v>
      </c>
      <c r="AK2" s="17" t="n">
        <v>46022</v>
      </c>
      <c r="AL2" s="17" t="n">
        <v>46053</v>
      </c>
      <c r="AM2" s="17" t="n">
        <v>46081</v>
      </c>
      <c r="AN2" s="17" t="n">
        <v>46112</v>
      </c>
      <c r="AO2" s="17" t="n">
        <v>46142</v>
      </c>
      <c r="AP2" s="17" t="n">
        <v>46173</v>
      </c>
      <c r="AQ2" s="17" t="n">
        <v>46203</v>
      </c>
      <c r="AR2" s="17" t="n">
        <v>46234</v>
      </c>
      <c r="AS2" s="17" t="n">
        <v>46265</v>
      </c>
      <c r="AT2" s="17" t="n">
        <v>46295</v>
      </c>
    </row>
    <row r="3" customFormat="false" ht="15" hidden="false" customHeight="false" outlineLevel="0" collapsed="false">
      <c r="A3" s="7" t="s">
        <v>181</v>
      </c>
      <c r="B3" s="8" t="n">
        <v>54644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62275.88</v>
      </c>
      <c r="H3" s="8" t="n">
        <v>16027.87</v>
      </c>
      <c r="I3" s="8" t="n">
        <v>0</v>
      </c>
      <c r="J3" s="8" t="n">
        <v>32814</v>
      </c>
      <c r="K3" s="8" t="n">
        <v>157506.62</v>
      </c>
      <c r="L3" s="8" t="n">
        <v>27408.06</v>
      </c>
      <c r="M3" s="8" t="n">
        <v>23992.12</v>
      </c>
      <c r="N3" s="8" t="n">
        <v>8312.4</v>
      </c>
      <c r="O3" s="8" t="n">
        <v>3609.6</v>
      </c>
      <c r="P3" s="8" t="n">
        <v>38578.56</v>
      </c>
      <c r="Q3" s="8" t="n">
        <v>0</v>
      </c>
      <c r="R3" s="8" t="n">
        <v>27493.25</v>
      </c>
      <c r="S3" s="8" t="n">
        <v>44284.8</v>
      </c>
      <c r="T3" s="8" t="n">
        <v>52272.86</v>
      </c>
      <c r="U3" s="8" t="n">
        <v>0</v>
      </c>
      <c r="V3" s="8" t="n">
        <v>0</v>
      </c>
      <c r="W3" s="8" t="n">
        <v>134296.76</v>
      </c>
      <c r="X3" s="8" t="n">
        <v>85024</v>
      </c>
      <c r="Y3" s="8" t="n">
        <v>35198.83</v>
      </c>
      <c r="Z3" s="8" t="n">
        <v>47443.84</v>
      </c>
      <c r="AA3" s="8" t="n">
        <v>0</v>
      </c>
      <c r="AB3" s="8" t="n">
        <v>0</v>
      </c>
      <c r="AC3" s="8" t="n">
        <v>16691.04</v>
      </c>
      <c r="AD3" s="8" t="n">
        <v>0</v>
      </c>
      <c r="AE3" s="8" t="n">
        <v>51285.4</v>
      </c>
      <c r="AF3" s="8" t="n">
        <v>56376</v>
      </c>
      <c r="AG3" s="8" t="n">
        <v>6215</v>
      </c>
      <c r="AH3" s="8" t="n">
        <v>0</v>
      </c>
      <c r="AI3" s="8" t="n">
        <v>227216.68</v>
      </c>
      <c r="AJ3" s="8" t="n">
        <v>0</v>
      </c>
      <c r="AK3" s="8" t="n">
        <v>38217.24</v>
      </c>
      <c r="AL3" s="8" t="n">
        <v>17371.2</v>
      </c>
      <c r="AM3" s="8" t="n">
        <v>65177.38</v>
      </c>
      <c r="AN3" s="8" t="n">
        <v>11087.6</v>
      </c>
      <c r="AO3" s="8" t="n">
        <v>37073.36</v>
      </c>
      <c r="AP3" s="8" t="n">
        <v>0</v>
      </c>
      <c r="AQ3" s="8" t="n">
        <v>38039.51</v>
      </c>
      <c r="AR3" s="8" t="n">
        <v>33619.16</v>
      </c>
      <c r="AS3" s="8" t="n">
        <v>0</v>
      </c>
      <c r="AT3" s="8" t="n">
        <v>31752</v>
      </c>
    </row>
    <row r="4" customFormat="false" ht="15" hidden="false" customHeight="false" outlineLevel="0" collapsed="false">
      <c r="A4" s="7" t="s">
        <v>182</v>
      </c>
      <c r="B4" s="8" t="n">
        <v>1344</v>
      </c>
      <c r="C4" s="8" t="n">
        <v>0</v>
      </c>
      <c r="D4" s="8" t="n">
        <v>23073.48</v>
      </c>
      <c r="E4" s="8" t="n">
        <v>62992.87</v>
      </c>
      <c r="F4" s="8" t="n">
        <v>17557.85</v>
      </c>
      <c r="G4" s="8" t="n">
        <v>20088.03</v>
      </c>
      <c r="H4" s="8" t="n">
        <v>25384.42</v>
      </c>
      <c r="I4" s="8" t="n">
        <v>13492.53</v>
      </c>
      <c r="J4" s="8" t="n">
        <v>23033.14</v>
      </c>
      <c r="K4" s="8" t="n">
        <v>22982.73</v>
      </c>
      <c r="L4" s="8" t="n">
        <v>19688.88</v>
      </c>
      <c r="M4" s="8" t="n">
        <v>3576.96</v>
      </c>
      <c r="N4" s="8" t="n">
        <v>1384.32</v>
      </c>
      <c r="O4" s="8" t="n">
        <v>0</v>
      </c>
      <c r="P4" s="8" t="n">
        <v>12626.47</v>
      </c>
      <c r="Q4" s="8" t="n">
        <v>10098.18</v>
      </c>
      <c r="R4" s="8" t="n">
        <v>42314.84</v>
      </c>
      <c r="S4" s="8" t="n">
        <v>22813.85</v>
      </c>
      <c r="T4" s="8" t="n">
        <v>22504.51</v>
      </c>
      <c r="U4" s="8" t="n">
        <v>8059.37</v>
      </c>
      <c r="V4" s="8" t="n">
        <v>19540.7</v>
      </c>
      <c r="W4" s="8" t="n">
        <v>27225.91</v>
      </c>
      <c r="X4" s="8" t="n">
        <v>21529.48</v>
      </c>
      <c r="Y4" s="8" t="n">
        <v>6200.06</v>
      </c>
      <c r="Z4" s="8" t="n">
        <v>1424.64</v>
      </c>
      <c r="AA4" s="8" t="n">
        <v>0</v>
      </c>
      <c r="AB4" s="8" t="n">
        <v>14026.88</v>
      </c>
      <c r="AC4" s="8" t="n">
        <v>48209.05</v>
      </c>
      <c r="AD4" s="8" t="n">
        <v>27808</v>
      </c>
      <c r="AE4" s="8" t="n">
        <v>23974.73</v>
      </c>
      <c r="AF4" s="8" t="n">
        <v>26395.34</v>
      </c>
      <c r="AG4" s="8" t="n">
        <v>27019.32</v>
      </c>
      <c r="AH4" s="8" t="n">
        <v>21109.15</v>
      </c>
      <c r="AI4" s="8" t="n">
        <v>31858.34</v>
      </c>
      <c r="AJ4" s="8" t="n">
        <v>18966.39</v>
      </c>
      <c r="AK4" s="8" t="n">
        <v>7102.27</v>
      </c>
      <c r="AL4" s="8" t="n">
        <v>1464.96</v>
      </c>
      <c r="AM4" s="8" t="n">
        <v>0</v>
      </c>
      <c r="AN4" s="8" t="n">
        <v>14095.04</v>
      </c>
      <c r="AO4" s="8" t="n">
        <v>40132.09</v>
      </c>
      <c r="AP4" s="8" t="n">
        <v>28050.68</v>
      </c>
      <c r="AQ4" s="8" t="n">
        <v>21452.28</v>
      </c>
      <c r="AR4" s="8" t="n">
        <v>21875.63</v>
      </c>
      <c r="AS4" s="8" t="n">
        <v>9704.72</v>
      </c>
      <c r="AT4" s="8" t="n">
        <v>24912.69</v>
      </c>
    </row>
    <row r="5" customFormat="false" ht="15" hidden="false" customHeight="false" outlineLevel="0" collapsed="false">
      <c r="A5" s="9" t="s">
        <v>183</v>
      </c>
      <c r="B5" s="18" t="n">
        <f aca="false">B3-B4</f>
        <v>53300</v>
      </c>
      <c r="C5" s="18" t="n">
        <f aca="false">C3-C4</f>
        <v>0</v>
      </c>
      <c r="D5" s="18" t="n">
        <f aca="false">D3-D4</f>
        <v>-23073.48</v>
      </c>
      <c r="E5" s="18" t="n">
        <f aca="false">E3-E4</f>
        <v>-62992.87</v>
      </c>
      <c r="F5" s="18" t="n">
        <f aca="false">F3-F4</f>
        <v>-17557.85</v>
      </c>
      <c r="G5" s="18" t="n">
        <f aca="false">G3-G4</f>
        <v>42187.85</v>
      </c>
      <c r="H5" s="18" t="n">
        <f aca="false">H3-H4</f>
        <v>-9356.55</v>
      </c>
      <c r="I5" s="18" t="n">
        <f aca="false">I3-I4</f>
        <v>-13492.53</v>
      </c>
      <c r="J5" s="18" t="n">
        <f aca="false">J3-J4</f>
        <v>9780.86</v>
      </c>
      <c r="K5" s="18" t="n">
        <f aca="false">K3-K4</f>
        <v>134523.89</v>
      </c>
      <c r="L5" s="18" t="n">
        <f aca="false">L3-L4</f>
        <v>7719.18</v>
      </c>
      <c r="M5" s="18" t="n">
        <f aca="false">M3-M4</f>
        <v>20415.16</v>
      </c>
      <c r="N5" s="18" t="n">
        <f aca="false">N3-N4</f>
        <v>6928.08</v>
      </c>
      <c r="O5" s="18" t="n">
        <f aca="false">O3-O4</f>
        <v>3609.6</v>
      </c>
      <c r="P5" s="18" t="n">
        <f aca="false">P3-P4</f>
        <v>25952.09</v>
      </c>
      <c r="Q5" s="18" t="n">
        <f aca="false">Q3-Q4</f>
        <v>-10098.18</v>
      </c>
      <c r="R5" s="18" t="n">
        <f aca="false">R3-R4</f>
        <v>-14821.59</v>
      </c>
      <c r="S5" s="18" t="n">
        <f aca="false">S3-S4</f>
        <v>21470.95</v>
      </c>
      <c r="T5" s="18" t="n">
        <f aca="false">T3-T4</f>
        <v>29768.35</v>
      </c>
      <c r="U5" s="18" t="n">
        <f aca="false">U3-U4</f>
        <v>-8059.37</v>
      </c>
      <c r="V5" s="18" t="n">
        <f aca="false">V3-V4</f>
        <v>-19540.7</v>
      </c>
      <c r="W5" s="18" t="n">
        <f aca="false">W3-W4</f>
        <v>107070.85</v>
      </c>
      <c r="X5" s="18" t="n">
        <f aca="false">X3-X4</f>
        <v>63494.52</v>
      </c>
      <c r="Y5" s="18" t="n">
        <f aca="false">Y3-Y4</f>
        <v>28998.77</v>
      </c>
      <c r="Z5" s="18" t="n">
        <f aca="false">Z3-Z4</f>
        <v>46019.2</v>
      </c>
      <c r="AA5" s="18" t="n">
        <f aca="false">AA3-AA4</f>
        <v>0</v>
      </c>
      <c r="AB5" s="18" t="n">
        <f aca="false">AB3-AB4</f>
        <v>-14026.88</v>
      </c>
      <c r="AC5" s="18" t="n">
        <f aca="false">AC3-AC4</f>
        <v>-31518.01</v>
      </c>
      <c r="AD5" s="18" t="n">
        <f aca="false">AD3-AD4</f>
        <v>-27808</v>
      </c>
      <c r="AE5" s="18" t="n">
        <f aca="false">AE3-AE4</f>
        <v>27310.67</v>
      </c>
      <c r="AF5" s="18" t="n">
        <f aca="false">AF3-AF4</f>
        <v>29980.66</v>
      </c>
      <c r="AG5" s="18" t="n">
        <f aca="false">AG3-AG4</f>
        <v>-20804.32</v>
      </c>
      <c r="AH5" s="18" t="n">
        <f aca="false">AH3-AH4</f>
        <v>-21109.15</v>
      </c>
      <c r="AI5" s="18" t="n">
        <f aca="false">AI3-AI4</f>
        <v>195358.34</v>
      </c>
      <c r="AJ5" s="18" t="n">
        <f aca="false">AJ3-AJ4</f>
        <v>-18966.39</v>
      </c>
      <c r="AK5" s="18" t="n">
        <f aca="false">AK3-AK4</f>
        <v>31114.97</v>
      </c>
      <c r="AL5" s="18" t="n">
        <f aca="false">AL3-AL4</f>
        <v>15906.24</v>
      </c>
      <c r="AM5" s="18" t="n">
        <f aca="false">AM3-AM4</f>
        <v>65177.38</v>
      </c>
      <c r="AN5" s="18" t="n">
        <f aca="false">AN3-AN4</f>
        <v>-3007.44</v>
      </c>
      <c r="AO5" s="18" t="n">
        <f aca="false">AO3-AO4</f>
        <v>-3058.73</v>
      </c>
      <c r="AP5" s="18" t="n">
        <f aca="false">AP3-AP4</f>
        <v>-28050.68</v>
      </c>
      <c r="AQ5" s="18" t="n">
        <f aca="false">AQ3-AQ4</f>
        <v>16587.23</v>
      </c>
      <c r="AR5" s="18" t="n">
        <f aca="false">AR3-AR4</f>
        <v>11743.53</v>
      </c>
      <c r="AS5" s="18" t="n">
        <f aca="false">AS3-AS4</f>
        <v>-9704.72</v>
      </c>
      <c r="AT5" s="18" t="n">
        <f aca="false">AT3-AT4</f>
        <v>6839.31</v>
      </c>
    </row>
    <row r="6" customFormat="false" ht="15" hidden="false" customHeight="false" outlineLevel="0" collapsed="false">
      <c r="A6" s="7" t="s">
        <v>184</v>
      </c>
      <c r="B6" s="19" t="n">
        <f aca="false">IF(B3=0,0,B5/B3)</f>
        <v>0.975404435985653</v>
      </c>
      <c r="C6" s="19" t="n">
        <f aca="false">IF(C3=0,0,C5/C3)</f>
        <v>0</v>
      </c>
      <c r="D6" s="19" t="n">
        <f aca="false">IF(D3=0,0,D5/D3)</f>
        <v>0</v>
      </c>
      <c r="E6" s="19" t="n">
        <f aca="false">IF(E3=0,0,E5/E3)</f>
        <v>0</v>
      </c>
      <c r="F6" s="19" t="n">
        <f aca="false">IF(F3=0,0,F5/F3)</f>
        <v>0</v>
      </c>
      <c r="G6" s="19" t="n">
        <f aca="false">IF(G3=0,0,G5/G3)</f>
        <v>0.677434827095177</v>
      </c>
      <c r="H6" s="19" t="n">
        <f aca="false">IF(H3=0,0,H5/H3)</f>
        <v>-0.583767524942491</v>
      </c>
      <c r="I6" s="19" t="n">
        <f aca="false">IF(I3=0,0,I5/I3)</f>
        <v>0</v>
      </c>
      <c r="J6" s="19" t="n">
        <f aca="false">IF(J3=0,0,J5/J3)</f>
        <v>0.29806972633632</v>
      </c>
      <c r="K6" s="19" t="n">
        <f aca="false">IF(K3=0,0,K5/K3)</f>
        <v>0.854084037864567</v>
      </c>
      <c r="L6" s="19" t="n">
        <f aca="false">IF(L3=0,0,L5/L3)</f>
        <v>0.281639050702604</v>
      </c>
      <c r="M6" s="19" t="n">
        <f aca="false">IF(M3=0,0,M5/M3)</f>
        <v>0.850911049127797</v>
      </c>
      <c r="N6" s="19" t="n">
        <f aca="false">IF(N3=0,0,N5/N3)</f>
        <v>0.833463259708388</v>
      </c>
      <c r="O6" s="19" t="n">
        <f aca="false">IF(O3=0,0,O5/O3)</f>
        <v>1</v>
      </c>
      <c r="P6" s="19" t="n">
        <f aca="false">IF(P3=0,0,P5/P3)</f>
        <v>0.672707586804691</v>
      </c>
      <c r="Q6" s="19" t="n">
        <f aca="false">IF(Q3=0,0,Q5/Q3)</f>
        <v>0</v>
      </c>
      <c r="R6" s="19" t="n">
        <f aca="false">IF(R3=0,0,R5/R3)</f>
        <v>-0.53909923344821</v>
      </c>
      <c r="S6" s="19" t="n">
        <f aca="false">IF(S3=0,0,S5/S3)</f>
        <v>0.484837912782716</v>
      </c>
      <c r="T6" s="19" t="n">
        <f aca="false">IF(T3=0,0,T5/T3)</f>
        <v>0.569480032276788</v>
      </c>
      <c r="U6" s="19" t="n">
        <f aca="false">IF(U3=0,0,U5/U3)</f>
        <v>0</v>
      </c>
      <c r="V6" s="19" t="n">
        <f aca="false">IF(V3=0,0,V5/V3)</f>
        <v>0</v>
      </c>
      <c r="W6" s="19" t="n">
        <f aca="false">IF(W3=0,0,W5/W3)</f>
        <v>0.797270537278785</v>
      </c>
      <c r="X6" s="19" t="n">
        <f aca="false">IF(X3=0,0,X5/X3)</f>
        <v>0.746783496424539</v>
      </c>
      <c r="Y6" s="19" t="n">
        <f aca="false">IF(Y3=0,0,Y5/Y3)</f>
        <v>0.823856077034379</v>
      </c>
      <c r="Z6" s="19" t="n">
        <f aca="false">IF(Z3=0,0,Z5/Z3)</f>
        <v>0.969972076459241</v>
      </c>
      <c r="AA6" s="19" t="n">
        <f aca="false">IF(AA3=0,0,AA5/AA3)</f>
        <v>0</v>
      </c>
      <c r="AB6" s="19" t="n">
        <f aca="false">IF(AB3=0,0,AB5/AB3)</f>
        <v>0</v>
      </c>
      <c r="AC6" s="19" t="n">
        <f aca="false">IF(AC3=0,0,AC5/AC3)</f>
        <v>-1.88831912211582</v>
      </c>
      <c r="AD6" s="19" t="n">
        <f aca="false">IF(AD3=0,0,AD5/AD3)</f>
        <v>0</v>
      </c>
      <c r="AE6" s="19" t="n">
        <f aca="false">IF(AE3=0,0,AE5/AE3)</f>
        <v>0.532523291229083</v>
      </c>
      <c r="AF6" s="19" t="n">
        <f aca="false">IF(AF3=0,0,AF5/AF3)</f>
        <v>0.531798282957287</v>
      </c>
      <c r="AG6" s="19" t="n">
        <f aca="false">IF(AG3=0,0,AG5/AG3)</f>
        <v>-3.3474368463395</v>
      </c>
      <c r="AH6" s="19" t="n">
        <f aca="false">IF(AH3=0,0,AH5/AH3)</f>
        <v>0</v>
      </c>
      <c r="AI6" s="19" t="n">
        <f aca="false">IF(AI3=0,0,AI5/AI3)</f>
        <v>0.859788726778333</v>
      </c>
      <c r="AJ6" s="19" t="n">
        <f aca="false">IF(AJ3=0,0,AJ5/AJ3)</f>
        <v>0</v>
      </c>
      <c r="AK6" s="19" t="n">
        <f aca="false">IF(AK3=0,0,AK5/AK3)</f>
        <v>0.814160572558353</v>
      </c>
      <c r="AL6" s="19" t="n">
        <f aca="false">IF(AL3=0,0,AL5/AL3)</f>
        <v>0.915667311411992</v>
      </c>
      <c r="AM6" s="19" t="n">
        <f aca="false">IF(AM3=0,0,AM5/AM3)</f>
        <v>1</v>
      </c>
      <c r="AN6" s="19" t="n">
        <f aca="false">IF(AN3=0,0,AN5/AN3)</f>
        <v>-0.271243551354667</v>
      </c>
      <c r="AO6" s="19" t="n">
        <f aca="false">IF(AO3=0,0,AO5/AO3)</f>
        <v>-0.0825047958965682</v>
      </c>
      <c r="AP6" s="19" t="n">
        <f aca="false">IF(AP3=0,0,AP5/AP3)</f>
        <v>0</v>
      </c>
      <c r="AQ6" s="19" t="n">
        <f aca="false">IF(AQ3=0,0,AQ5/AQ3)</f>
        <v>0.436052672602775</v>
      </c>
      <c r="AR6" s="19" t="n">
        <f aca="false">IF(AR3=0,0,AR5/AR3)</f>
        <v>0.34931063119959</v>
      </c>
      <c r="AS6" s="19" t="n">
        <f aca="false">IF(AS3=0,0,AS5/AS3)</f>
        <v>0</v>
      </c>
      <c r="AT6" s="19" t="n">
        <f aca="false">IF(AT3=0,0,AT5/AT3)</f>
        <v>0.215397770219199</v>
      </c>
    </row>
    <row r="7" customFormat="false" ht="15" hidden="false" customHeight="false" outlineLevel="0" collapsed="false">
      <c r="A7" s="7" t="s">
        <v>185</v>
      </c>
      <c r="B7" s="8" t="n">
        <v>13265</v>
      </c>
      <c r="C7" s="8" t="n">
        <v>4387.28</v>
      </c>
      <c r="D7" s="8" t="n">
        <v>791.97</v>
      </c>
      <c r="E7" s="8" t="n">
        <v>1172.94</v>
      </c>
      <c r="F7" s="8" t="n">
        <v>700</v>
      </c>
      <c r="G7" s="8" t="n">
        <v>775.99</v>
      </c>
      <c r="H7" s="8" t="n">
        <v>688.03</v>
      </c>
      <c r="I7" s="8" t="n">
        <v>617.32</v>
      </c>
      <c r="J7" s="8" t="n">
        <v>728.81</v>
      </c>
      <c r="K7" s="8" t="n">
        <v>811.76</v>
      </c>
      <c r="L7" s="8" t="n">
        <v>774.48</v>
      </c>
      <c r="M7" s="8" t="n">
        <v>8122.02</v>
      </c>
      <c r="N7" s="8" t="n">
        <v>14191.72</v>
      </c>
      <c r="O7" s="8" t="n">
        <v>4527.16</v>
      </c>
      <c r="P7" s="8" t="n">
        <v>821.37</v>
      </c>
      <c r="Q7" s="8" t="n">
        <v>1164.19</v>
      </c>
      <c r="R7" s="8" t="n">
        <v>765.78</v>
      </c>
      <c r="S7" s="8" t="n">
        <v>707.41</v>
      </c>
      <c r="T7" s="8" t="n">
        <v>819.6</v>
      </c>
      <c r="U7" s="8" t="n">
        <v>687.89</v>
      </c>
      <c r="V7" s="8" t="n">
        <v>712.39</v>
      </c>
      <c r="W7" s="8" t="n">
        <v>851.23</v>
      </c>
      <c r="X7" s="8" t="n">
        <v>756.79</v>
      </c>
      <c r="Y7" s="8" t="n">
        <v>8388.47</v>
      </c>
      <c r="Z7" s="8" t="n">
        <v>19217.27</v>
      </c>
      <c r="AA7" s="8" t="n">
        <v>4601.49</v>
      </c>
      <c r="AB7" s="8" t="n">
        <v>776.79</v>
      </c>
      <c r="AC7" s="8" t="n">
        <v>1241.86</v>
      </c>
      <c r="AD7" s="8" t="n">
        <v>792.26</v>
      </c>
      <c r="AE7" s="8" t="n">
        <v>817.12</v>
      </c>
      <c r="AF7" s="8" t="n">
        <v>815.05</v>
      </c>
      <c r="AG7" s="8" t="n">
        <v>691.42</v>
      </c>
      <c r="AH7" s="8" t="n">
        <v>756.49</v>
      </c>
      <c r="AI7" s="8" t="n">
        <v>798.5</v>
      </c>
      <c r="AJ7" s="8" t="n">
        <v>739.97</v>
      </c>
      <c r="AK7" s="8" t="n">
        <v>8577.98</v>
      </c>
      <c r="AL7" s="8" t="n">
        <v>20275.3</v>
      </c>
      <c r="AM7" s="8" t="n">
        <v>4649.37</v>
      </c>
      <c r="AN7" s="8" t="n">
        <v>729.5</v>
      </c>
      <c r="AO7" s="8" t="n">
        <v>1199.26</v>
      </c>
      <c r="AP7" s="8" t="n">
        <v>674.3</v>
      </c>
      <c r="AQ7" s="8" t="n">
        <v>743.04</v>
      </c>
      <c r="AR7" s="8" t="n">
        <v>775.15</v>
      </c>
      <c r="AS7" s="8" t="n">
        <v>797.53</v>
      </c>
      <c r="AT7" s="8" t="n">
        <v>787.39</v>
      </c>
    </row>
    <row r="8" customFormat="false" ht="15" hidden="false" customHeight="false" outlineLevel="0" collapsed="false">
      <c r="A8" s="9" t="s">
        <v>186</v>
      </c>
      <c r="B8" s="18" t="n">
        <f aca="false">B5-B7</f>
        <v>40035</v>
      </c>
      <c r="C8" s="18" t="n">
        <f aca="false">C5-C7</f>
        <v>-4387.28</v>
      </c>
      <c r="D8" s="18" t="n">
        <f aca="false">D5-D7</f>
        <v>-23865.45</v>
      </c>
      <c r="E8" s="18" t="n">
        <f aca="false">E5-E7</f>
        <v>-64165.81</v>
      </c>
      <c r="F8" s="18" t="n">
        <f aca="false">F5-F7</f>
        <v>-18257.85</v>
      </c>
      <c r="G8" s="18" t="n">
        <f aca="false">G5-G7</f>
        <v>41411.86</v>
      </c>
      <c r="H8" s="18" t="n">
        <f aca="false">H5-H7</f>
        <v>-10044.58</v>
      </c>
      <c r="I8" s="18" t="n">
        <f aca="false">I5-I7</f>
        <v>-14109.85</v>
      </c>
      <c r="J8" s="18" t="n">
        <f aca="false">J5-J7</f>
        <v>9052.05</v>
      </c>
      <c r="K8" s="18" t="n">
        <f aca="false">K5-K7</f>
        <v>133712.13</v>
      </c>
      <c r="L8" s="18" t="n">
        <f aca="false">L5-L7</f>
        <v>6944.7</v>
      </c>
      <c r="M8" s="18" t="n">
        <f aca="false">M5-M7</f>
        <v>12293.14</v>
      </c>
      <c r="N8" s="18" t="n">
        <f aca="false">N5-N7</f>
        <v>-7263.64</v>
      </c>
      <c r="O8" s="18" t="n">
        <f aca="false">O5-O7</f>
        <v>-917.56</v>
      </c>
      <c r="P8" s="18" t="n">
        <f aca="false">P5-P7</f>
        <v>25130.72</v>
      </c>
      <c r="Q8" s="18" t="n">
        <f aca="false">Q5-Q7</f>
        <v>-11262.37</v>
      </c>
      <c r="R8" s="18" t="n">
        <f aca="false">R5-R7</f>
        <v>-15587.37</v>
      </c>
      <c r="S8" s="18" t="n">
        <f aca="false">S5-S7</f>
        <v>20763.54</v>
      </c>
      <c r="T8" s="18" t="n">
        <f aca="false">T5-T7</f>
        <v>28948.75</v>
      </c>
      <c r="U8" s="18" t="n">
        <f aca="false">U5-U7</f>
        <v>-8747.26</v>
      </c>
      <c r="V8" s="18" t="n">
        <f aca="false">V5-V7</f>
        <v>-20253.09</v>
      </c>
      <c r="W8" s="18" t="n">
        <f aca="false">W5-W7</f>
        <v>106219.62</v>
      </c>
      <c r="X8" s="18" t="n">
        <f aca="false">X5-X7</f>
        <v>62737.73</v>
      </c>
      <c r="Y8" s="18" t="n">
        <f aca="false">Y5-Y7</f>
        <v>20610.3</v>
      </c>
      <c r="Z8" s="18" t="n">
        <f aca="false">Z5-Z7</f>
        <v>26801.93</v>
      </c>
      <c r="AA8" s="18" t="n">
        <f aca="false">AA5-AA7</f>
        <v>-4601.49</v>
      </c>
      <c r="AB8" s="18" t="n">
        <f aca="false">AB5-AB7</f>
        <v>-14803.67</v>
      </c>
      <c r="AC8" s="18" t="n">
        <f aca="false">AC5-AC7</f>
        <v>-32759.87</v>
      </c>
      <c r="AD8" s="18" t="n">
        <f aca="false">AD5-AD7</f>
        <v>-28600.26</v>
      </c>
      <c r="AE8" s="18" t="n">
        <f aca="false">AE5-AE7</f>
        <v>26493.55</v>
      </c>
      <c r="AF8" s="18" t="n">
        <f aca="false">AF5-AF7</f>
        <v>29165.61</v>
      </c>
      <c r="AG8" s="18" t="n">
        <f aca="false">AG5-AG7</f>
        <v>-21495.74</v>
      </c>
      <c r="AH8" s="18" t="n">
        <f aca="false">AH5-AH7</f>
        <v>-21865.64</v>
      </c>
      <c r="AI8" s="18" t="n">
        <f aca="false">AI5-AI7</f>
        <v>194559.84</v>
      </c>
      <c r="AJ8" s="18" t="n">
        <f aca="false">AJ5-AJ7</f>
        <v>-19706.36</v>
      </c>
      <c r="AK8" s="18" t="n">
        <f aca="false">AK5-AK7</f>
        <v>22536.99</v>
      </c>
      <c r="AL8" s="18" t="n">
        <f aca="false">AL5-AL7</f>
        <v>-4369.06</v>
      </c>
      <c r="AM8" s="18" t="n">
        <f aca="false">AM5-AM7</f>
        <v>60528.01</v>
      </c>
      <c r="AN8" s="18" t="n">
        <f aca="false">AN5-AN7</f>
        <v>-3736.94</v>
      </c>
      <c r="AO8" s="18" t="n">
        <f aca="false">AO5-AO7</f>
        <v>-4257.99</v>
      </c>
      <c r="AP8" s="18" t="n">
        <f aca="false">AP5-AP7</f>
        <v>-28724.98</v>
      </c>
      <c r="AQ8" s="18" t="n">
        <f aca="false">AQ5-AQ7</f>
        <v>15844.19</v>
      </c>
      <c r="AR8" s="18" t="n">
        <f aca="false">AR5-AR7</f>
        <v>10968.38</v>
      </c>
      <c r="AS8" s="18" t="n">
        <f aca="false">AS5-AS7</f>
        <v>-10502.25</v>
      </c>
      <c r="AT8" s="18" t="n">
        <f aca="false">AT5-AT7</f>
        <v>6051.92</v>
      </c>
    </row>
    <row r="9" customFormat="false" ht="15" hidden="false" customHeight="false" outlineLevel="0" collapsed="false">
      <c r="A9" s="7" t="s">
        <v>187</v>
      </c>
      <c r="B9" s="8" t="n">
        <v>5603.83</v>
      </c>
      <c r="C9" s="8" t="n">
        <v>5603.81</v>
      </c>
      <c r="D9" s="8" t="n">
        <v>5603.84</v>
      </c>
      <c r="E9" s="8" t="n">
        <v>5603.81</v>
      </c>
      <c r="F9" s="8" t="n">
        <v>5603.82</v>
      </c>
      <c r="G9" s="8" t="n">
        <v>5603.8</v>
      </c>
      <c r="H9" s="8" t="n">
        <v>5603.83</v>
      </c>
      <c r="I9" s="8" t="n">
        <v>5603.83</v>
      </c>
      <c r="J9" s="8" t="n">
        <v>5603.81</v>
      </c>
      <c r="K9" s="8" t="n">
        <v>5603.83</v>
      </c>
      <c r="L9" s="8" t="n">
        <v>5603.81</v>
      </c>
      <c r="M9" s="8" t="n">
        <v>5603.83</v>
      </c>
      <c r="N9" s="8" t="n">
        <v>5603.81</v>
      </c>
      <c r="O9" s="8" t="n">
        <v>5603.82</v>
      </c>
      <c r="P9" s="8" t="n">
        <v>5603.81</v>
      </c>
      <c r="Q9" s="8" t="n">
        <v>5603.83</v>
      </c>
      <c r="R9" s="8" t="n">
        <v>5603.82</v>
      </c>
      <c r="S9" s="8" t="n">
        <v>5603.81</v>
      </c>
      <c r="T9" s="8" t="n">
        <v>5603.83</v>
      </c>
      <c r="U9" s="8" t="n">
        <v>6132.99</v>
      </c>
      <c r="V9" s="8" t="n">
        <v>6132.99</v>
      </c>
      <c r="W9" s="8" t="n">
        <v>6132.98</v>
      </c>
      <c r="X9" s="8" t="n">
        <v>6132.99</v>
      </c>
      <c r="Y9" s="8" t="n">
        <v>6132.96</v>
      </c>
      <c r="Z9" s="8" t="n">
        <v>6133</v>
      </c>
      <c r="AA9" s="8" t="n">
        <v>6132.99</v>
      </c>
      <c r="AB9" s="8" t="n">
        <v>6414.23</v>
      </c>
      <c r="AC9" s="8" t="n">
        <v>6414.25</v>
      </c>
      <c r="AD9" s="8" t="n">
        <v>6414.23</v>
      </c>
      <c r="AE9" s="8" t="n">
        <v>6414.24</v>
      </c>
      <c r="AF9" s="8" t="n">
        <v>6414.22</v>
      </c>
      <c r="AG9" s="8" t="n">
        <v>6414.25</v>
      </c>
      <c r="AH9" s="8" t="n">
        <v>6414.22</v>
      </c>
      <c r="AI9" s="8" t="n">
        <v>6414.25</v>
      </c>
      <c r="AJ9" s="8" t="n">
        <v>6414.24</v>
      </c>
      <c r="AK9" s="8" t="n">
        <v>6414.22</v>
      </c>
      <c r="AL9" s="8" t="n">
        <v>6414.25</v>
      </c>
      <c r="AM9" s="8" t="n">
        <v>6414.23</v>
      </c>
      <c r="AN9" s="8" t="n">
        <v>6414.25</v>
      </c>
      <c r="AO9" s="8" t="n">
        <v>6414.22</v>
      </c>
      <c r="AP9" s="8" t="n">
        <v>6414.24</v>
      </c>
      <c r="AQ9" s="8" t="n">
        <v>6414.22</v>
      </c>
      <c r="AR9" s="8" t="n">
        <v>6414.25</v>
      </c>
      <c r="AS9" s="8" t="n">
        <v>6414.25</v>
      </c>
      <c r="AT9" s="8" t="n">
        <v>6414.22</v>
      </c>
    </row>
    <row r="10" customFormat="false" ht="15" hidden="false" customHeight="false" outlineLevel="0" collapsed="false">
      <c r="A10" s="9" t="s">
        <v>188</v>
      </c>
      <c r="B10" s="18" t="n">
        <f aca="false">B8-B9</f>
        <v>34431.17</v>
      </c>
      <c r="C10" s="18" t="n">
        <f aca="false">C8-C9</f>
        <v>-9991.09</v>
      </c>
      <c r="D10" s="18" t="n">
        <f aca="false">D8-D9</f>
        <v>-29469.29</v>
      </c>
      <c r="E10" s="18" t="n">
        <f aca="false">E8-E9</f>
        <v>-69769.62</v>
      </c>
      <c r="F10" s="18" t="n">
        <f aca="false">F8-F9</f>
        <v>-23861.67</v>
      </c>
      <c r="G10" s="18" t="n">
        <f aca="false">G8-G9</f>
        <v>35808.06</v>
      </c>
      <c r="H10" s="18" t="n">
        <f aca="false">H8-H9</f>
        <v>-15648.41</v>
      </c>
      <c r="I10" s="18" t="n">
        <f aca="false">I8-I9</f>
        <v>-19713.68</v>
      </c>
      <c r="J10" s="18" t="n">
        <f aca="false">J8-J9</f>
        <v>3448.24</v>
      </c>
      <c r="K10" s="18" t="n">
        <f aca="false">K8-K9</f>
        <v>128108.3</v>
      </c>
      <c r="L10" s="18" t="n">
        <f aca="false">L8-L9</f>
        <v>1340.89</v>
      </c>
      <c r="M10" s="18" t="n">
        <f aca="false">M8-M9</f>
        <v>6689.31</v>
      </c>
      <c r="N10" s="18" t="n">
        <f aca="false">N8-N9</f>
        <v>-12867.45</v>
      </c>
      <c r="O10" s="18" t="n">
        <f aca="false">O8-O9</f>
        <v>-6521.38</v>
      </c>
      <c r="P10" s="18" t="n">
        <f aca="false">P8-P9</f>
        <v>19526.91</v>
      </c>
      <c r="Q10" s="18" t="n">
        <f aca="false">Q8-Q9</f>
        <v>-16866.2</v>
      </c>
      <c r="R10" s="18" t="n">
        <f aca="false">R8-R9</f>
        <v>-21191.19</v>
      </c>
      <c r="S10" s="18" t="n">
        <f aca="false">S8-S9</f>
        <v>15159.73</v>
      </c>
      <c r="T10" s="18" t="n">
        <f aca="false">T8-T9</f>
        <v>23344.92</v>
      </c>
      <c r="U10" s="18" t="n">
        <f aca="false">U8-U9</f>
        <v>-14880.25</v>
      </c>
      <c r="V10" s="18" t="n">
        <f aca="false">V8-V9</f>
        <v>-26386.08</v>
      </c>
      <c r="W10" s="18" t="n">
        <f aca="false">W8-W9</f>
        <v>100086.64</v>
      </c>
      <c r="X10" s="18" t="n">
        <f aca="false">X8-X9</f>
        <v>56604.74</v>
      </c>
      <c r="Y10" s="18" t="n">
        <f aca="false">Y8-Y9</f>
        <v>14477.34</v>
      </c>
      <c r="Z10" s="18" t="n">
        <f aca="false">Z8-Z9</f>
        <v>20668.93</v>
      </c>
      <c r="AA10" s="18" t="n">
        <f aca="false">AA8-AA9</f>
        <v>-10734.48</v>
      </c>
      <c r="AB10" s="18" t="n">
        <f aca="false">AB8-AB9</f>
        <v>-21217.9</v>
      </c>
      <c r="AC10" s="18" t="n">
        <f aca="false">AC8-AC9</f>
        <v>-39174.12</v>
      </c>
      <c r="AD10" s="18" t="n">
        <f aca="false">AD8-AD9</f>
        <v>-35014.49</v>
      </c>
      <c r="AE10" s="18" t="n">
        <f aca="false">AE8-AE9</f>
        <v>20079.31</v>
      </c>
      <c r="AF10" s="18" t="n">
        <f aca="false">AF8-AF9</f>
        <v>22751.39</v>
      </c>
      <c r="AG10" s="18" t="n">
        <f aca="false">AG8-AG9</f>
        <v>-27909.99</v>
      </c>
      <c r="AH10" s="18" t="n">
        <f aca="false">AH8-AH9</f>
        <v>-28279.86</v>
      </c>
      <c r="AI10" s="18" t="n">
        <f aca="false">AI8-AI9</f>
        <v>188145.59</v>
      </c>
      <c r="AJ10" s="18" t="n">
        <f aca="false">AJ8-AJ9</f>
        <v>-26120.6</v>
      </c>
      <c r="AK10" s="18" t="n">
        <f aca="false">AK8-AK9</f>
        <v>16122.77</v>
      </c>
      <c r="AL10" s="18" t="n">
        <f aca="false">AL8-AL9</f>
        <v>-10783.31</v>
      </c>
      <c r="AM10" s="18" t="n">
        <f aca="false">AM8-AM9</f>
        <v>54113.78</v>
      </c>
      <c r="AN10" s="18" t="n">
        <f aca="false">AN8-AN9</f>
        <v>-10151.19</v>
      </c>
      <c r="AO10" s="18" t="n">
        <f aca="false">AO8-AO9</f>
        <v>-10672.21</v>
      </c>
      <c r="AP10" s="18" t="n">
        <f aca="false">AP8-AP9</f>
        <v>-35139.22</v>
      </c>
      <c r="AQ10" s="18" t="n">
        <f aca="false">AQ8-AQ9</f>
        <v>9429.97</v>
      </c>
      <c r="AR10" s="18" t="n">
        <f aca="false">AR8-AR9</f>
        <v>4554.13</v>
      </c>
      <c r="AS10" s="18" t="n">
        <f aca="false">AS8-AS9</f>
        <v>-16916.5</v>
      </c>
      <c r="AT10" s="18" t="n">
        <f aca="false">AT8-AT9</f>
        <v>-362.299999999999</v>
      </c>
    </row>
    <row r="11" customFormat="false" ht="15" hidden="false" customHeight="false" outlineLevel="0" collapsed="false">
      <c r="A11" s="7" t="s">
        <v>189</v>
      </c>
      <c r="B11" s="8" t="n">
        <v>13566.98</v>
      </c>
      <c r="C11" s="8" t="n">
        <v>501.3</v>
      </c>
      <c r="D11" s="8" t="n">
        <v>612.53</v>
      </c>
      <c r="E11" s="8" t="n">
        <v>707.77</v>
      </c>
      <c r="F11" s="8" t="n">
        <v>969.3</v>
      </c>
      <c r="G11" s="8" t="n">
        <v>1215.74</v>
      </c>
      <c r="H11" s="8" t="n">
        <v>1503.85</v>
      </c>
      <c r="I11" s="8" t="n">
        <v>1620.09</v>
      </c>
      <c r="J11" s="8" t="n">
        <v>1415.67</v>
      </c>
      <c r="K11" s="8" t="n">
        <v>1457.45</v>
      </c>
      <c r="L11" s="8" t="n">
        <v>965.67</v>
      </c>
      <c r="M11" s="8" t="n">
        <v>16914.84</v>
      </c>
      <c r="N11" s="8" t="n">
        <v>12266.85</v>
      </c>
      <c r="O11" s="8" t="n">
        <v>1125.05</v>
      </c>
      <c r="P11" s="8" t="n">
        <v>1194.91</v>
      </c>
      <c r="Q11" s="8" t="n">
        <v>921.99</v>
      </c>
      <c r="R11" s="8" t="n">
        <v>1039.45</v>
      </c>
      <c r="S11" s="8" t="n">
        <v>1083.51</v>
      </c>
      <c r="T11" s="8" t="n">
        <v>1325.64</v>
      </c>
      <c r="U11" s="8" t="n">
        <v>1628.4</v>
      </c>
      <c r="V11" s="8" t="n">
        <v>1802.54</v>
      </c>
      <c r="W11" s="8" t="n">
        <v>1682.9</v>
      </c>
      <c r="X11" s="8" t="n">
        <v>1299.42</v>
      </c>
      <c r="Y11" s="8" t="n">
        <v>16602.48</v>
      </c>
      <c r="Z11" s="8" t="n">
        <v>11002.53</v>
      </c>
      <c r="AA11" s="8" t="n">
        <v>1177.5</v>
      </c>
      <c r="AB11" s="8" t="n">
        <v>1490.29</v>
      </c>
      <c r="AC11" s="8" t="n">
        <v>1620.91</v>
      </c>
      <c r="AD11" s="8" t="n">
        <v>1698.62</v>
      </c>
      <c r="AE11" s="8" t="n">
        <v>1838.66</v>
      </c>
      <c r="AF11" s="8" t="n">
        <v>2125.37</v>
      </c>
      <c r="AG11" s="8" t="n">
        <v>2176.82</v>
      </c>
      <c r="AH11" s="8" t="n">
        <v>1863.28</v>
      </c>
      <c r="AI11" s="8" t="n">
        <v>1855.23</v>
      </c>
      <c r="AJ11" s="8" t="n">
        <v>1677.28</v>
      </c>
      <c r="AK11" s="8" t="n">
        <v>16070.97</v>
      </c>
      <c r="AL11" s="8" t="n">
        <v>9474.16</v>
      </c>
      <c r="AM11" s="8" t="n">
        <v>1479.91</v>
      </c>
      <c r="AN11" s="8" t="n">
        <v>13781.36</v>
      </c>
      <c r="AO11" s="8" t="n">
        <v>1413.34</v>
      </c>
      <c r="AP11" s="8" t="n">
        <v>1448.96</v>
      </c>
      <c r="AQ11" s="8" t="n">
        <v>1587.71</v>
      </c>
      <c r="AR11" s="8" t="n">
        <v>1863.79</v>
      </c>
      <c r="AS11" s="8" t="n">
        <v>1887.75</v>
      </c>
      <c r="AT11" s="8" t="n">
        <v>1825.66</v>
      </c>
    </row>
    <row r="12" customFormat="false" ht="15" hidden="false" customHeight="false" outlineLevel="0" collapsed="false">
      <c r="A12" s="7" t="s">
        <v>190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9500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8222.22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</row>
    <row r="13" customFormat="false" ht="15" hidden="false" customHeight="false" outlineLevel="0" collapsed="false">
      <c r="A13" s="9" t="s">
        <v>191</v>
      </c>
      <c r="B13" s="18" t="n">
        <f aca="false">B10-B11+B12</f>
        <v>20864.19</v>
      </c>
      <c r="C13" s="18" t="n">
        <f aca="false">C10-C11+C12</f>
        <v>-10492.39</v>
      </c>
      <c r="D13" s="18" t="n">
        <f aca="false">D10-D11+D12</f>
        <v>-30081.82</v>
      </c>
      <c r="E13" s="18" t="n">
        <f aca="false">E10-E11+E12</f>
        <v>-70477.39</v>
      </c>
      <c r="F13" s="18" t="n">
        <f aca="false">F10-F11+F12</f>
        <v>-24830.97</v>
      </c>
      <c r="G13" s="18" t="n">
        <f aca="false">G10-G11+G12</f>
        <v>34592.32</v>
      </c>
      <c r="H13" s="18" t="n">
        <f aca="false">H10-H11+H12</f>
        <v>-17152.26</v>
      </c>
      <c r="I13" s="18" t="n">
        <f aca="false">I10-I11+I12</f>
        <v>-21333.77</v>
      </c>
      <c r="J13" s="18" t="n">
        <f aca="false">J10-J11+J12</f>
        <v>2032.57</v>
      </c>
      <c r="K13" s="18" t="n">
        <f aca="false">K10-K11+K12</f>
        <v>126650.85</v>
      </c>
      <c r="L13" s="18" t="n">
        <f aca="false">L10-L11+L12</f>
        <v>375.22</v>
      </c>
      <c r="M13" s="18" t="n">
        <f aca="false">M10-M11+M12</f>
        <v>-10225.53</v>
      </c>
      <c r="N13" s="18" t="n">
        <f aca="false">N10-N11+N12</f>
        <v>-25134.3</v>
      </c>
      <c r="O13" s="18" t="n">
        <f aca="false">O10-O11+O12</f>
        <v>-7646.43</v>
      </c>
      <c r="P13" s="18" t="n">
        <f aca="false">P10-P11+P12</f>
        <v>18332</v>
      </c>
      <c r="Q13" s="18" t="n">
        <f aca="false">Q10-Q11+Q12</f>
        <v>-17788.19</v>
      </c>
      <c r="R13" s="18" t="n">
        <f aca="false">R10-R11+R12</f>
        <v>-22230.64</v>
      </c>
      <c r="S13" s="18" t="n">
        <f aca="false">S10-S11+S12</f>
        <v>14076.22</v>
      </c>
      <c r="T13" s="18" t="n">
        <f aca="false">T10-T11+T12</f>
        <v>22019.28</v>
      </c>
      <c r="U13" s="18" t="n">
        <f aca="false">U10-U11+U12</f>
        <v>-16508.65</v>
      </c>
      <c r="V13" s="18" t="n">
        <f aca="false">V10-V11+V12</f>
        <v>-18688.62</v>
      </c>
      <c r="W13" s="18" t="n">
        <f aca="false">W10-W11+W12</f>
        <v>98403.74</v>
      </c>
      <c r="X13" s="18" t="n">
        <f aca="false">X10-X11+X12</f>
        <v>55305.32</v>
      </c>
      <c r="Y13" s="18" t="n">
        <f aca="false">Y10-Y11+Y12</f>
        <v>-2125.14</v>
      </c>
      <c r="Z13" s="18" t="n">
        <f aca="false">Z10-Z11+Z12</f>
        <v>9666.4</v>
      </c>
      <c r="AA13" s="18" t="n">
        <f aca="false">AA10-AA11+AA12</f>
        <v>-11911.98</v>
      </c>
      <c r="AB13" s="18" t="n">
        <f aca="false">AB10-AB11+AB12</f>
        <v>-14485.97</v>
      </c>
      <c r="AC13" s="18" t="n">
        <f aca="false">AC10-AC11+AC12</f>
        <v>-40795.03</v>
      </c>
      <c r="AD13" s="18" t="n">
        <f aca="false">AD10-AD11+AD12</f>
        <v>-36713.11</v>
      </c>
      <c r="AE13" s="18" t="n">
        <f aca="false">AE10-AE11+AE12</f>
        <v>18240.65</v>
      </c>
      <c r="AF13" s="18" t="n">
        <f aca="false">AF10-AF11+AF12</f>
        <v>20626.02</v>
      </c>
      <c r="AG13" s="18" t="n">
        <f aca="false">AG10-AG11+AG12</f>
        <v>-30086.81</v>
      </c>
      <c r="AH13" s="18" t="n">
        <f aca="false">AH10-AH11+AH12</f>
        <v>-30143.14</v>
      </c>
      <c r="AI13" s="18" t="n">
        <f aca="false">AI10-AI11+AI12</f>
        <v>186290.36</v>
      </c>
      <c r="AJ13" s="18" t="n">
        <f aca="false">AJ10-AJ11+AJ12</f>
        <v>-27797.88</v>
      </c>
      <c r="AK13" s="18" t="n">
        <f aca="false">AK10-AK11+AK12</f>
        <v>51.7999999999975</v>
      </c>
      <c r="AL13" s="18" t="n">
        <f aca="false">AL10-AL11+AL12</f>
        <v>-20257.47</v>
      </c>
      <c r="AM13" s="18" t="n">
        <f aca="false">AM10-AM11+AM12</f>
        <v>52633.87</v>
      </c>
      <c r="AN13" s="18" t="n">
        <f aca="false">AN10-AN11+AN12</f>
        <v>-23932.55</v>
      </c>
      <c r="AO13" s="18" t="n">
        <f aca="false">AO10-AO11+AO12</f>
        <v>-12085.55</v>
      </c>
      <c r="AP13" s="18" t="n">
        <f aca="false">AP10-AP11+AP12</f>
        <v>-36588.18</v>
      </c>
      <c r="AQ13" s="18" t="n">
        <f aca="false">AQ10-AQ11+AQ12</f>
        <v>7842.26</v>
      </c>
      <c r="AR13" s="18" t="n">
        <f aca="false">AR10-AR11+AR12</f>
        <v>2690.34</v>
      </c>
      <c r="AS13" s="18" t="n">
        <f aca="false">AS10-AS11+AS12</f>
        <v>-18804.25</v>
      </c>
      <c r="AT13" s="18" t="n">
        <f aca="false">AT10-AT11+AT12</f>
        <v>-2187.96</v>
      </c>
    </row>
    <row r="14" customFormat="false" ht="15" hidden="false" customHeight="false" outlineLevel="0" collapsed="false">
      <c r="A14" s="7" t="s">
        <v>192</v>
      </c>
      <c r="B14" s="8" t="n">
        <v>-52768</v>
      </c>
      <c r="C14" s="8" t="n">
        <v>0</v>
      </c>
      <c r="D14" s="8" t="n">
        <v>8960</v>
      </c>
      <c r="E14" s="8" t="n">
        <v>75815.37</v>
      </c>
      <c r="F14" s="8" t="n">
        <v>15166.5</v>
      </c>
      <c r="G14" s="8" t="n">
        <v>4825.45</v>
      </c>
      <c r="H14" s="8" t="n">
        <v>11064.21</v>
      </c>
      <c r="I14" s="8" t="n">
        <v>6302.54</v>
      </c>
      <c r="J14" s="8" t="n">
        <v>-21149.28</v>
      </c>
      <c r="K14" s="8" t="n">
        <v>-4454.59</v>
      </c>
      <c r="L14" s="8" t="n">
        <v>-27277.05</v>
      </c>
      <c r="M14" s="8" t="n">
        <v>-1552.5</v>
      </c>
      <c r="N14" s="8" t="n">
        <v>-168.18</v>
      </c>
      <c r="O14" s="8" t="n">
        <v>-1397.25</v>
      </c>
      <c r="P14" s="8" t="n">
        <v>-30352.75</v>
      </c>
      <c r="Q14" s="8" t="n">
        <v>6729.75</v>
      </c>
      <c r="R14" s="8" t="n">
        <v>11229.12</v>
      </c>
      <c r="S14" s="8" t="n">
        <v>4203.2</v>
      </c>
      <c r="T14" s="8" t="n">
        <v>9073.27</v>
      </c>
      <c r="U14" s="8" t="n">
        <v>5443.48</v>
      </c>
      <c r="V14" s="8" t="n">
        <v>153.04</v>
      </c>
      <c r="W14" s="8" t="n">
        <v>4507.51</v>
      </c>
      <c r="X14" s="8" t="n">
        <v>-31142.32</v>
      </c>
      <c r="Y14" s="8" t="n">
        <v>198.08</v>
      </c>
      <c r="Z14" s="8" t="n">
        <v>-46029.76</v>
      </c>
      <c r="AA14" s="8" t="n">
        <v>0</v>
      </c>
      <c r="AB14" s="8" t="n">
        <v>8066.24</v>
      </c>
      <c r="AC14" s="8" t="n">
        <v>50374.24</v>
      </c>
      <c r="AD14" s="8" t="n">
        <v>25948.94</v>
      </c>
      <c r="AE14" s="8" t="n">
        <v>5773.28</v>
      </c>
      <c r="AF14" s="8" t="n">
        <v>12381.68</v>
      </c>
      <c r="AG14" s="8" t="n">
        <v>5726.72</v>
      </c>
      <c r="AH14" s="8" t="n">
        <v>169.6</v>
      </c>
      <c r="AI14" s="8" t="n">
        <v>24302.07</v>
      </c>
      <c r="AJ14" s="8" t="n">
        <v>-29509.8</v>
      </c>
      <c r="AK14" s="8" t="n">
        <v>1488.54</v>
      </c>
      <c r="AL14" s="8" t="n">
        <v>-14857.39</v>
      </c>
      <c r="AM14" s="8" t="n">
        <v>-41992.68</v>
      </c>
      <c r="AN14" s="8" t="n">
        <v>-1253.66</v>
      </c>
      <c r="AO14" s="8" t="n">
        <v>-10385.14</v>
      </c>
      <c r="AP14" s="8" t="n">
        <v>32626.83</v>
      </c>
      <c r="AQ14" s="8" t="n">
        <v>476</v>
      </c>
      <c r="AR14" s="8" t="n">
        <v>10394.66</v>
      </c>
      <c r="AS14" s="8" t="n">
        <v>6557.61</v>
      </c>
      <c r="AT14" s="8" t="n">
        <v>-21278.48</v>
      </c>
    </row>
    <row r="15" customFormat="false" ht="15" hidden="false" customHeight="false" outlineLevel="0" collapsed="false">
      <c r="A15" s="7" t="s">
        <v>193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</row>
    <row r="16" customFormat="false" ht="15" hidden="false" customHeight="false" outlineLevel="0" collapsed="false">
      <c r="A16" s="9" t="s">
        <v>194</v>
      </c>
      <c r="B16" s="18" t="n">
        <f aca="false">B13+B14+B15</f>
        <v>-31903.81</v>
      </c>
      <c r="C16" s="18" t="n">
        <f aca="false">C13+C14+C15</f>
        <v>-10492.39</v>
      </c>
      <c r="D16" s="18" t="n">
        <f aca="false">D13+D14+D15</f>
        <v>-21121.82</v>
      </c>
      <c r="E16" s="18" t="n">
        <f aca="false">E13+E14+E15</f>
        <v>5337.97999999998</v>
      </c>
      <c r="F16" s="18" t="n">
        <f aca="false">F13+F14+F15</f>
        <v>-9664.47</v>
      </c>
      <c r="G16" s="18" t="n">
        <f aca="false">G13+G14+G15</f>
        <v>39417.77</v>
      </c>
      <c r="H16" s="18" t="n">
        <f aca="false">H13+H14+H15</f>
        <v>-6088.05</v>
      </c>
      <c r="I16" s="18" t="n">
        <f aca="false">I13+I14+I15</f>
        <v>-15031.23</v>
      </c>
      <c r="J16" s="18" t="n">
        <f aca="false">J13+J14+J15</f>
        <v>-19116.71</v>
      </c>
      <c r="K16" s="18" t="n">
        <f aca="false">K13+K14+K15</f>
        <v>122196.26</v>
      </c>
      <c r="L16" s="18" t="n">
        <f aca="false">L13+L14+L15</f>
        <v>-26901.83</v>
      </c>
      <c r="M16" s="18" t="n">
        <f aca="false">M13+M14+M15</f>
        <v>-11778.03</v>
      </c>
      <c r="N16" s="18" t="n">
        <f aca="false">N13+N14+N15</f>
        <v>-25302.48</v>
      </c>
      <c r="O16" s="18" t="n">
        <f aca="false">O13+O14+O15</f>
        <v>-9043.68</v>
      </c>
      <c r="P16" s="18" t="n">
        <f aca="false">P13+P14+P15</f>
        <v>-12020.75</v>
      </c>
      <c r="Q16" s="18" t="n">
        <f aca="false">Q13+Q14+Q15</f>
        <v>-11058.44</v>
      </c>
      <c r="R16" s="18" t="n">
        <f aca="false">R13+R14+R15</f>
        <v>-11001.52</v>
      </c>
      <c r="S16" s="18" t="n">
        <f aca="false">S13+S14+S15</f>
        <v>18279.42</v>
      </c>
      <c r="T16" s="18" t="n">
        <f aca="false">T13+T14+T15</f>
        <v>31092.55</v>
      </c>
      <c r="U16" s="18" t="n">
        <f aca="false">U13+U14+U15</f>
        <v>-11065.17</v>
      </c>
      <c r="V16" s="18" t="n">
        <f aca="false">V13+V14+V15</f>
        <v>-18535.58</v>
      </c>
      <c r="W16" s="18" t="n">
        <f aca="false">W13+W14+W15</f>
        <v>102911.25</v>
      </c>
      <c r="X16" s="18" t="n">
        <f aca="false">X13+X14+X15</f>
        <v>24163</v>
      </c>
      <c r="Y16" s="18" t="n">
        <f aca="false">Y13+Y14+Y15</f>
        <v>-1927.06</v>
      </c>
      <c r="Z16" s="18" t="n">
        <f aca="false">Z13+Z14+Z15</f>
        <v>-36363.36</v>
      </c>
      <c r="AA16" s="18" t="n">
        <f aca="false">AA13+AA14+AA15</f>
        <v>-11911.98</v>
      </c>
      <c r="AB16" s="18" t="n">
        <f aca="false">AB13+AB14+AB15</f>
        <v>-6419.73</v>
      </c>
      <c r="AC16" s="18" t="n">
        <f aca="false">AC13+AC14+AC15</f>
        <v>9579.20999999999</v>
      </c>
      <c r="AD16" s="18" t="n">
        <f aca="false">AD13+AD14+AD15</f>
        <v>-10764.17</v>
      </c>
      <c r="AE16" s="18" t="n">
        <f aca="false">AE13+AE14+AE15</f>
        <v>24013.93</v>
      </c>
      <c r="AF16" s="18" t="n">
        <f aca="false">AF13+AF14+AF15</f>
        <v>33007.7</v>
      </c>
      <c r="AG16" s="18" t="n">
        <f aca="false">AG13+AG14+AG15</f>
        <v>-24360.09</v>
      </c>
      <c r="AH16" s="18" t="n">
        <f aca="false">AH13+AH14+AH15</f>
        <v>-29973.54</v>
      </c>
      <c r="AI16" s="18" t="n">
        <f aca="false">AI13+AI14+AI15</f>
        <v>210592.43</v>
      </c>
      <c r="AJ16" s="18" t="n">
        <f aca="false">AJ13+AJ14+AJ15</f>
        <v>-57307.68</v>
      </c>
      <c r="AK16" s="18" t="n">
        <f aca="false">AK13+AK14+AK15</f>
        <v>1540.34</v>
      </c>
      <c r="AL16" s="18" t="n">
        <f aca="false">AL13+AL14+AL15</f>
        <v>-35114.86</v>
      </c>
      <c r="AM16" s="18" t="n">
        <f aca="false">AM13+AM14+AM15</f>
        <v>10641.19</v>
      </c>
      <c r="AN16" s="18" t="n">
        <f aca="false">AN13+AN14+AN15</f>
        <v>-25186.21</v>
      </c>
      <c r="AO16" s="18" t="n">
        <f aca="false">AO13+AO14+AO15</f>
        <v>-22470.69</v>
      </c>
      <c r="AP16" s="18" t="n">
        <f aca="false">AP13+AP14+AP15</f>
        <v>-3961.35</v>
      </c>
      <c r="AQ16" s="18" t="n">
        <f aca="false">AQ13+AQ14+AQ15</f>
        <v>8318.26</v>
      </c>
      <c r="AR16" s="18" t="n">
        <f aca="false">AR13+AR14+AR15</f>
        <v>13085</v>
      </c>
      <c r="AS16" s="18" t="n">
        <f aca="false">AS13+AS14+AS15</f>
        <v>-12246.64</v>
      </c>
      <c r="AT16" s="18" t="n">
        <f aca="false">AT13+AT14+AT15</f>
        <v>-23466.44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21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24"/>
    <col collapsed="false" customWidth="true" hidden="false" outlineLevel="0" max="17" min="17" style="0" width="25"/>
  </cols>
  <sheetData>
    <row r="1" customFormat="false" ht="15" hidden="false" customHeight="false" outlineLevel="0" collapsed="false">
      <c r="A1" s="10" t="s">
        <v>195</v>
      </c>
    </row>
    <row r="2" customFormat="false" ht="15" hidden="false" customHeight="false" outlineLevel="0" collapsed="false">
      <c r="A2" s="11" t="s">
        <v>131</v>
      </c>
      <c r="B2" s="11" t="s">
        <v>196</v>
      </c>
      <c r="C2" s="11" t="s">
        <v>130</v>
      </c>
      <c r="D2" s="11" t="s">
        <v>197</v>
      </c>
      <c r="E2" s="11" t="s">
        <v>198</v>
      </c>
      <c r="F2" s="11" t="s">
        <v>199</v>
      </c>
      <c r="G2" s="11" t="s">
        <v>200</v>
      </c>
      <c r="H2" s="11" t="s">
        <v>201</v>
      </c>
      <c r="I2" s="11" t="s">
        <v>202</v>
      </c>
      <c r="J2" s="11" t="s">
        <v>203</v>
      </c>
      <c r="K2" s="11" t="s">
        <v>204</v>
      </c>
      <c r="L2" s="11" t="s">
        <v>205</v>
      </c>
      <c r="M2" s="11" t="s">
        <v>206</v>
      </c>
      <c r="N2" s="11" t="s">
        <v>207</v>
      </c>
      <c r="O2" s="11" t="s">
        <v>208</v>
      </c>
      <c r="P2" s="11" t="s">
        <v>209</v>
      </c>
      <c r="Q2" s="11" t="s">
        <v>210</v>
      </c>
    </row>
    <row r="3" customFormat="false" ht="15" hidden="false" customHeight="false" outlineLevel="0" collapsed="false">
      <c r="A3" s="7" t="s">
        <v>137</v>
      </c>
      <c r="B3" s="16" t="n">
        <v>2023</v>
      </c>
      <c r="C3" s="7" t="s">
        <v>141</v>
      </c>
      <c r="D3" s="8" t="n">
        <v>75862.9</v>
      </c>
      <c r="E3" s="8" t="n">
        <v>0</v>
      </c>
      <c r="F3" s="8" t="n">
        <v>104128.88</v>
      </c>
      <c r="G3" s="8" t="n">
        <v>-28265.98</v>
      </c>
      <c r="H3" s="19" t="n">
        <v>-0.3726</v>
      </c>
      <c r="I3" s="16" t="n">
        <v>0</v>
      </c>
      <c r="J3" s="8" t="n">
        <v>-28265.98</v>
      </c>
      <c r="K3" s="8" t="n">
        <v>18546.99</v>
      </c>
      <c r="L3" s="8" t="n">
        <v>0</v>
      </c>
      <c r="M3" s="8" t="n">
        <v>0</v>
      </c>
      <c r="N3" s="8" t="n">
        <v>-46812.97</v>
      </c>
      <c r="O3" s="8" t="n">
        <v>69086.25</v>
      </c>
      <c r="P3" s="8" t="n">
        <v>0</v>
      </c>
      <c r="Q3" s="8" t="n">
        <v>22273.28</v>
      </c>
    </row>
    <row r="4" customFormat="false" ht="15" hidden="false" customHeight="false" outlineLevel="0" collapsed="false">
      <c r="A4" s="7" t="s">
        <v>137</v>
      </c>
      <c r="B4" s="16" t="n">
        <v>2023</v>
      </c>
      <c r="C4" s="7" t="s">
        <v>136</v>
      </c>
      <c r="D4" s="8" t="n">
        <v>23992.12</v>
      </c>
      <c r="E4" s="8" t="n">
        <v>0</v>
      </c>
      <c r="F4" s="8" t="n">
        <v>36797.76</v>
      </c>
      <c r="G4" s="8" t="n">
        <v>-12805.64</v>
      </c>
      <c r="H4" s="19" t="n">
        <v>-0.5337</v>
      </c>
      <c r="I4" s="16" t="n">
        <v>431</v>
      </c>
      <c r="J4" s="8" t="n">
        <v>-13236.64</v>
      </c>
      <c r="K4" s="8" t="n">
        <v>0</v>
      </c>
      <c r="L4" s="8" t="n">
        <v>0</v>
      </c>
      <c r="M4" s="8" t="n">
        <v>0</v>
      </c>
      <c r="N4" s="8" t="n">
        <v>-13236.64</v>
      </c>
      <c r="O4" s="8" t="n">
        <v>0</v>
      </c>
      <c r="P4" s="8" t="n">
        <v>0</v>
      </c>
      <c r="Q4" s="8" t="n">
        <v>-13236.64</v>
      </c>
    </row>
    <row r="5" customFormat="false" ht="15" hidden="false" customHeight="false" outlineLevel="0" collapsed="false">
      <c r="A5" s="7" t="s">
        <v>137</v>
      </c>
      <c r="B5" s="16" t="n">
        <v>2023</v>
      </c>
      <c r="C5" s="7" t="s">
        <v>149</v>
      </c>
      <c r="D5" s="8" t="n">
        <v>196886.41</v>
      </c>
      <c r="E5" s="8" t="n">
        <v>0</v>
      </c>
      <c r="F5" s="8" t="n">
        <v>66547.69</v>
      </c>
      <c r="G5" s="8" t="n">
        <v>130338.72</v>
      </c>
      <c r="H5" s="19" t="n">
        <v>0.662</v>
      </c>
      <c r="I5" s="16" t="n">
        <v>4540</v>
      </c>
      <c r="J5" s="8" t="n">
        <v>125798.72</v>
      </c>
      <c r="K5" s="8" t="n">
        <v>21035.26</v>
      </c>
      <c r="L5" s="8" t="n">
        <v>12838</v>
      </c>
      <c r="M5" s="8" t="n">
        <v>0</v>
      </c>
      <c r="N5" s="8" t="n">
        <v>91925.46</v>
      </c>
      <c r="O5" s="8" t="n">
        <v>0</v>
      </c>
      <c r="P5" s="8" t="n">
        <v>0</v>
      </c>
      <c r="Q5" s="8" t="n">
        <v>91925.46</v>
      </c>
    </row>
    <row r="6" customFormat="false" ht="15" hidden="false" customHeight="false" outlineLevel="0" collapsed="false">
      <c r="A6" s="7" t="s">
        <v>137</v>
      </c>
      <c r="B6" s="16" t="n">
        <v>2023</v>
      </c>
      <c r="C6" s="7" t="s">
        <v>153</v>
      </c>
      <c r="D6" s="8" t="n">
        <v>0</v>
      </c>
      <c r="E6" s="8" t="n">
        <v>0</v>
      </c>
      <c r="F6" s="8" t="n">
        <v>12366.52</v>
      </c>
      <c r="G6" s="8" t="n">
        <v>-12366.52</v>
      </c>
      <c r="H6" s="19"/>
      <c r="I6" s="16" t="n">
        <v>27864.6</v>
      </c>
      <c r="J6" s="8" t="n">
        <v>-40231.12</v>
      </c>
      <c r="K6" s="8" t="n">
        <v>9120.84</v>
      </c>
      <c r="L6" s="8" t="n">
        <v>28613.19</v>
      </c>
      <c r="M6" s="8" t="n">
        <v>0</v>
      </c>
      <c r="N6" s="8" t="n">
        <v>-77965.15</v>
      </c>
      <c r="O6" s="8" t="n">
        <v>0</v>
      </c>
      <c r="P6" s="8" t="n">
        <v>0</v>
      </c>
      <c r="Q6" s="8" t="n">
        <v>-77965.15</v>
      </c>
    </row>
    <row r="7" customFormat="false" ht="15" hidden="false" customHeight="false" outlineLevel="0" collapsed="false">
      <c r="A7" s="7" t="s">
        <v>137</v>
      </c>
      <c r="B7" s="16" t="n">
        <v>2023</v>
      </c>
      <c r="C7" s="7" t="s">
        <v>144</v>
      </c>
      <c r="D7" s="8" t="n">
        <v>54644</v>
      </c>
      <c r="E7" s="8" t="n">
        <v>0</v>
      </c>
      <c r="F7" s="8" t="n">
        <v>0</v>
      </c>
      <c r="G7" s="8" t="n">
        <v>54644</v>
      </c>
      <c r="H7" s="19" t="n">
        <v>1</v>
      </c>
      <c r="I7" s="16" t="n">
        <v>0</v>
      </c>
      <c r="J7" s="8" t="n">
        <v>54644</v>
      </c>
      <c r="K7" s="8" t="n">
        <v>11623.04</v>
      </c>
      <c r="L7" s="8" t="n">
        <v>0</v>
      </c>
      <c r="M7" s="8" t="n">
        <v>0</v>
      </c>
      <c r="N7" s="8" t="n">
        <v>43020.96</v>
      </c>
      <c r="O7" s="8" t="n">
        <v>-54112</v>
      </c>
      <c r="P7" s="8" t="n">
        <v>0</v>
      </c>
      <c r="Q7" s="8" t="n">
        <v>-11091.04</v>
      </c>
    </row>
    <row r="8" customFormat="false" ht="15" hidden="false" customHeight="false" outlineLevel="0" collapsed="false">
      <c r="A8" s="7" t="s">
        <v>137</v>
      </c>
      <c r="B8" s="16" t="n">
        <v>2023</v>
      </c>
      <c r="C8" s="7" t="s">
        <v>146</v>
      </c>
      <c r="D8" s="8" t="n">
        <v>23283.12</v>
      </c>
      <c r="E8" s="8" t="n">
        <v>0</v>
      </c>
      <c r="F8" s="8" t="n">
        <v>13374.04</v>
      </c>
      <c r="G8" s="8" t="n">
        <v>9909.08</v>
      </c>
      <c r="H8" s="19" t="n">
        <v>0.4256</v>
      </c>
      <c r="I8" s="16" t="n">
        <v>0</v>
      </c>
      <c r="J8" s="8" t="n">
        <v>9909.08</v>
      </c>
      <c r="K8" s="8" t="n">
        <v>6919.72</v>
      </c>
      <c r="L8" s="8" t="n">
        <v>0</v>
      </c>
      <c r="M8" s="8" t="n">
        <v>0</v>
      </c>
      <c r="N8" s="8" t="n">
        <v>2989.36</v>
      </c>
      <c r="O8" s="8" t="n">
        <v>-41.6</v>
      </c>
      <c r="P8" s="8" t="n">
        <v>0</v>
      </c>
      <c r="Q8" s="8" t="n">
        <v>2947.76</v>
      </c>
    </row>
    <row r="9" customFormat="false" ht="15" hidden="false" customHeight="false" outlineLevel="0" collapsed="false">
      <c r="A9" s="7" t="s">
        <v>137</v>
      </c>
      <c r="B9" s="16" t="n">
        <v>2024</v>
      </c>
      <c r="C9" s="7" t="s">
        <v>141</v>
      </c>
      <c r="D9" s="8" t="n">
        <v>74384.21</v>
      </c>
      <c r="E9" s="8" t="n">
        <v>0</v>
      </c>
      <c r="F9" s="8" t="n">
        <v>825.6</v>
      </c>
      <c r="G9" s="8" t="n">
        <v>73558.61</v>
      </c>
      <c r="H9" s="19" t="n">
        <v>0.9889</v>
      </c>
      <c r="I9" s="16" t="n">
        <v>0</v>
      </c>
      <c r="J9" s="8" t="n">
        <v>73558.61</v>
      </c>
      <c r="K9" s="8" t="n">
        <v>18943.87</v>
      </c>
      <c r="L9" s="8" t="n">
        <v>0</v>
      </c>
      <c r="M9" s="8" t="n">
        <v>1900</v>
      </c>
      <c r="N9" s="8" t="n">
        <v>56514.74</v>
      </c>
      <c r="O9" s="8" t="n">
        <v>-69086.25</v>
      </c>
      <c r="P9" s="8" t="n">
        <v>0</v>
      </c>
      <c r="Q9" s="8" t="n">
        <v>-12571.51</v>
      </c>
    </row>
    <row r="10" customFormat="false" ht="15" hidden="false" customHeight="false" outlineLevel="0" collapsed="false">
      <c r="A10" s="7" t="s">
        <v>137</v>
      </c>
      <c r="B10" s="16" t="n">
        <v>2024</v>
      </c>
      <c r="C10" s="7" t="s">
        <v>136</v>
      </c>
      <c r="D10" s="8" t="n">
        <v>40196.43</v>
      </c>
      <c r="E10" s="8" t="n">
        <v>0</v>
      </c>
      <c r="F10" s="8" t="n">
        <v>44441.9</v>
      </c>
      <c r="G10" s="8" t="n">
        <v>-4245.47</v>
      </c>
      <c r="H10" s="19" t="n">
        <v>-0.1056</v>
      </c>
      <c r="I10" s="16" t="n">
        <v>443.93</v>
      </c>
      <c r="J10" s="8" t="n">
        <v>-4689.4</v>
      </c>
      <c r="K10" s="8" t="n">
        <v>0</v>
      </c>
      <c r="L10" s="8" t="n">
        <v>0</v>
      </c>
      <c r="M10" s="8" t="n">
        <v>0</v>
      </c>
      <c r="N10" s="8" t="n">
        <v>-4689.4</v>
      </c>
      <c r="O10" s="8" t="n">
        <v>0</v>
      </c>
      <c r="P10" s="8" t="n">
        <v>0</v>
      </c>
      <c r="Q10" s="8" t="n">
        <v>-4689.4</v>
      </c>
    </row>
    <row r="11" customFormat="false" ht="15" hidden="false" customHeight="false" outlineLevel="0" collapsed="false">
      <c r="A11" s="7" t="s">
        <v>137</v>
      </c>
      <c r="B11" s="16" t="n">
        <v>2024</v>
      </c>
      <c r="C11" s="7" t="s">
        <v>149</v>
      </c>
      <c r="D11" s="8" t="n">
        <v>235377.78</v>
      </c>
      <c r="E11" s="8" t="n">
        <v>0</v>
      </c>
      <c r="F11" s="8" t="n">
        <v>75515.76</v>
      </c>
      <c r="G11" s="8" t="n">
        <v>159862.02</v>
      </c>
      <c r="H11" s="19" t="n">
        <v>0.6792</v>
      </c>
      <c r="I11" s="16" t="n">
        <v>4790</v>
      </c>
      <c r="J11" s="8" t="n">
        <v>155072.02</v>
      </c>
      <c r="K11" s="8" t="n">
        <v>23019.63</v>
      </c>
      <c r="L11" s="8" t="n">
        <v>12949.2</v>
      </c>
      <c r="M11" s="8" t="n">
        <v>5700</v>
      </c>
      <c r="N11" s="8" t="n">
        <v>124803.19</v>
      </c>
      <c r="O11" s="8" t="n">
        <v>0</v>
      </c>
      <c r="P11" s="8" t="n">
        <v>0</v>
      </c>
      <c r="Q11" s="8" t="n">
        <v>124803.19</v>
      </c>
    </row>
    <row r="12" customFormat="false" ht="15" hidden="false" customHeight="false" outlineLevel="0" collapsed="false">
      <c r="A12" s="7" t="s">
        <v>137</v>
      </c>
      <c r="B12" s="16" t="n">
        <v>2024</v>
      </c>
      <c r="C12" s="7" t="s">
        <v>153</v>
      </c>
      <c r="D12" s="8" t="n">
        <v>0</v>
      </c>
      <c r="E12" s="8" t="n">
        <v>0</v>
      </c>
      <c r="F12" s="8" t="n">
        <v>13424.82</v>
      </c>
      <c r="G12" s="8" t="n">
        <v>-13424.82</v>
      </c>
      <c r="H12" s="19"/>
      <c r="I12" s="16" t="n">
        <v>29160.07</v>
      </c>
      <c r="J12" s="8" t="n">
        <v>-42584.89</v>
      </c>
      <c r="K12" s="8" t="n">
        <v>9120.83</v>
      </c>
      <c r="L12" s="8" t="n">
        <v>29023.94</v>
      </c>
      <c r="M12" s="8" t="n">
        <v>0</v>
      </c>
      <c r="N12" s="8" t="n">
        <v>-80729.66</v>
      </c>
      <c r="O12" s="8" t="n">
        <v>0</v>
      </c>
      <c r="P12" s="8" t="n">
        <v>0</v>
      </c>
      <c r="Q12" s="8" t="n">
        <v>-80729.66</v>
      </c>
    </row>
    <row r="13" customFormat="false" ht="15" hidden="false" customHeight="false" outlineLevel="0" collapsed="false">
      <c r="A13" s="7" t="s">
        <v>137</v>
      </c>
      <c r="B13" s="16" t="n">
        <v>2024</v>
      </c>
      <c r="C13" s="7" t="s">
        <v>144</v>
      </c>
      <c r="D13" s="8" t="n">
        <v>66902.4</v>
      </c>
      <c r="E13" s="8" t="n">
        <v>0</v>
      </c>
      <c r="F13" s="8" t="n">
        <v>47503.25</v>
      </c>
      <c r="G13" s="8" t="n">
        <v>19399.15</v>
      </c>
      <c r="H13" s="19" t="n">
        <v>0.29</v>
      </c>
      <c r="I13" s="16" t="n">
        <v>0</v>
      </c>
      <c r="J13" s="8" t="n">
        <v>19399.15</v>
      </c>
      <c r="K13" s="8" t="n">
        <v>11755.33</v>
      </c>
      <c r="L13" s="8" t="n">
        <v>0</v>
      </c>
      <c r="M13" s="8" t="n">
        <v>950</v>
      </c>
      <c r="N13" s="8" t="n">
        <v>8593.82</v>
      </c>
      <c r="O13" s="8" t="n">
        <v>39800</v>
      </c>
      <c r="P13" s="8" t="n">
        <v>0</v>
      </c>
      <c r="Q13" s="8" t="n">
        <v>48393.82</v>
      </c>
    </row>
    <row r="14" customFormat="false" ht="15" hidden="false" customHeight="false" outlineLevel="0" collapsed="false">
      <c r="A14" s="7" t="s">
        <v>137</v>
      </c>
      <c r="B14" s="16" t="n">
        <v>2024</v>
      </c>
      <c r="C14" s="7" t="s">
        <v>146</v>
      </c>
      <c r="D14" s="8" t="n">
        <v>12210.24</v>
      </c>
      <c r="E14" s="8" t="n">
        <v>0</v>
      </c>
      <c r="F14" s="8" t="n">
        <v>12586.36</v>
      </c>
      <c r="G14" s="8" t="n">
        <v>-376.12</v>
      </c>
      <c r="H14" s="19" t="n">
        <v>-0.0308</v>
      </c>
      <c r="I14" s="16" t="n">
        <v>0</v>
      </c>
      <c r="J14" s="8" t="n">
        <v>-376.12</v>
      </c>
      <c r="K14" s="8" t="n">
        <v>7051.98</v>
      </c>
      <c r="L14" s="8" t="n">
        <v>0</v>
      </c>
      <c r="M14" s="8" t="n">
        <v>950</v>
      </c>
      <c r="N14" s="8" t="n">
        <v>-6478.1</v>
      </c>
      <c r="O14" s="8" t="n">
        <v>7763.2</v>
      </c>
      <c r="P14" s="8" t="n">
        <v>0</v>
      </c>
      <c r="Q14" s="8" t="n">
        <v>1285.1</v>
      </c>
    </row>
    <row r="15" customFormat="false" ht="15" hidden="false" customHeight="false" outlineLevel="0" collapsed="false">
      <c r="A15" s="7" t="s">
        <v>137</v>
      </c>
      <c r="B15" s="16" t="n">
        <v>2025</v>
      </c>
      <c r="C15" s="7" t="s">
        <v>141</v>
      </c>
      <c r="D15" s="8" t="n">
        <v>39211.28</v>
      </c>
      <c r="E15" s="8" t="n">
        <v>0</v>
      </c>
      <c r="F15" s="8" t="n">
        <v>72982.28</v>
      </c>
      <c r="G15" s="8" t="n">
        <v>-33771</v>
      </c>
      <c r="H15" s="19" t="n">
        <v>-0.8613</v>
      </c>
      <c r="I15" s="16" t="n">
        <v>0</v>
      </c>
      <c r="J15" s="8" t="n">
        <v>-33771</v>
      </c>
      <c r="K15" s="8" t="n">
        <v>20180.09</v>
      </c>
      <c r="L15" s="8" t="n">
        <v>0</v>
      </c>
      <c r="M15" s="8" t="n">
        <v>3700</v>
      </c>
      <c r="N15" s="8" t="n">
        <v>-50251.09</v>
      </c>
      <c r="O15" s="8" t="n">
        <v>77891.35</v>
      </c>
      <c r="P15" s="8" t="n">
        <v>0</v>
      </c>
      <c r="Q15" s="8" t="n">
        <v>27640.26</v>
      </c>
    </row>
    <row r="16" customFormat="false" ht="15" hidden="false" customHeight="false" outlineLevel="0" collapsed="false">
      <c r="A16" s="7" t="s">
        <v>137</v>
      </c>
      <c r="B16" s="16" t="n">
        <v>2025</v>
      </c>
      <c r="C16" s="7" t="s">
        <v>136</v>
      </c>
      <c r="D16" s="8" t="n">
        <v>49296.28</v>
      </c>
      <c r="E16" s="8" t="n">
        <v>0</v>
      </c>
      <c r="F16" s="8" t="n">
        <v>46409.95</v>
      </c>
      <c r="G16" s="8" t="n">
        <v>2886.33</v>
      </c>
      <c r="H16" s="19" t="n">
        <v>0.0586</v>
      </c>
      <c r="I16" s="16" t="n">
        <v>457.25</v>
      </c>
      <c r="J16" s="8" t="n">
        <v>2429.08</v>
      </c>
      <c r="K16" s="8" t="n">
        <v>0</v>
      </c>
      <c r="L16" s="8" t="n">
        <v>0</v>
      </c>
      <c r="M16" s="8" t="n">
        <v>0</v>
      </c>
      <c r="N16" s="8" t="n">
        <v>2429.08</v>
      </c>
      <c r="O16" s="8" t="n">
        <v>0</v>
      </c>
      <c r="P16" s="8" t="n">
        <v>0</v>
      </c>
      <c r="Q16" s="8" t="n">
        <v>2429.08</v>
      </c>
    </row>
    <row r="17" customFormat="false" ht="15" hidden="false" customHeight="false" outlineLevel="0" collapsed="false">
      <c r="A17" s="7" t="s">
        <v>137</v>
      </c>
      <c r="B17" s="16" t="n">
        <v>2025</v>
      </c>
      <c r="C17" s="7" t="s">
        <v>149</v>
      </c>
      <c r="D17" s="8" t="n">
        <v>265687.6</v>
      </c>
      <c r="E17" s="8" t="n">
        <v>0</v>
      </c>
      <c r="F17" s="8" t="n">
        <v>88849.14</v>
      </c>
      <c r="G17" s="8" t="n">
        <v>176838.46</v>
      </c>
      <c r="H17" s="19" t="n">
        <v>0.6656</v>
      </c>
      <c r="I17" s="16" t="n">
        <v>9005</v>
      </c>
      <c r="J17" s="8" t="n">
        <v>167833.46</v>
      </c>
      <c r="K17" s="8" t="n">
        <v>26967.87</v>
      </c>
      <c r="L17" s="8" t="n">
        <v>13896.87</v>
      </c>
      <c r="M17" s="8" t="n">
        <v>0</v>
      </c>
      <c r="N17" s="8" t="n">
        <v>126968.72</v>
      </c>
      <c r="O17" s="8" t="n">
        <v>0</v>
      </c>
      <c r="P17" s="8" t="n">
        <v>0</v>
      </c>
      <c r="Q17" s="8" t="n">
        <v>126968.72</v>
      </c>
    </row>
    <row r="18" customFormat="false" ht="15" hidden="false" customHeight="false" outlineLevel="0" collapsed="false">
      <c r="A18" s="7" t="s">
        <v>137</v>
      </c>
      <c r="B18" s="16" t="n">
        <v>2025</v>
      </c>
      <c r="C18" s="7" t="s">
        <v>153</v>
      </c>
      <c r="D18" s="8" t="n">
        <v>6215</v>
      </c>
      <c r="E18" s="8" t="n">
        <v>0</v>
      </c>
      <c r="F18" s="8" t="n">
        <v>13253.06</v>
      </c>
      <c r="G18" s="8" t="n">
        <v>-7038.06</v>
      </c>
      <c r="H18" s="19" t="n">
        <v>-1.1324</v>
      </c>
      <c r="I18" s="16" t="n">
        <v>30363.95</v>
      </c>
      <c r="J18" s="8" t="n">
        <v>-37402.01</v>
      </c>
      <c r="K18" s="8" t="n">
        <v>9120.83</v>
      </c>
      <c r="L18" s="8" t="n">
        <v>30700.59</v>
      </c>
      <c r="M18" s="8" t="n">
        <v>0</v>
      </c>
      <c r="N18" s="8" t="n">
        <v>-77223.43</v>
      </c>
      <c r="O18" s="8" t="n">
        <v>0</v>
      </c>
      <c r="P18" s="8" t="n">
        <v>0</v>
      </c>
      <c r="Q18" s="8" t="n">
        <v>-77223.43</v>
      </c>
    </row>
    <row r="19" customFormat="false" ht="15" hidden="false" customHeight="false" outlineLevel="0" collapsed="false">
      <c r="A19" s="7" t="s">
        <v>137</v>
      </c>
      <c r="B19" s="16" t="n">
        <v>2025</v>
      </c>
      <c r="C19" s="7" t="s">
        <v>144</v>
      </c>
      <c r="D19" s="8" t="n">
        <v>62677.6</v>
      </c>
      <c r="E19" s="8" t="n">
        <v>0</v>
      </c>
      <c r="F19" s="8" t="n">
        <v>12280.8</v>
      </c>
      <c r="G19" s="8" t="n">
        <v>50396.8</v>
      </c>
      <c r="H19" s="19" t="n">
        <v>0.8041</v>
      </c>
      <c r="I19" s="16" t="n">
        <v>0</v>
      </c>
      <c r="J19" s="8" t="n">
        <v>50396.8</v>
      </c>
      <c r="K19" s="8" t="n">
        <v>12784.28</v>
      </c>
      <c r="L19" s="8" t="n">
        <v>0</v>
      </c>
      <c r="M19" s="8" t="n">
        <v>2466.67</v>
      </c>
      <c r="N19" s="8" t="n">
        <v>40079.19</v>
      </c>
      <c r="O19" s="8" t="n">
        <v>-22412</v>
      </c>
      <c r="P19" s="8" t="n">
        <v>0</v>
      </c>
      <c r="Q19" s="8" t="n">
        <v>17667.19</v>
      </c>
    </row>
    <row r="20" customFormat="false" ht="15" hidden="false" customHeight="false" outlineLevel="0" collapsed="false">
      <c r="A20" s="7" t="s">
        <v>137</v>
      </c>
      <c r="B20" s="16" t="n">
        <v>2025</v>
      </c>
      <c r="C20" s="7" t="s">
        <v>146</v>
      </c>
      <c r="D20" s="8" t="n">
        <v>20357.44</v>
      </c>
      <c r="E20" s="8" t="n">
        <v>0</v>
      </c>
      <c r="F20" s="8" t="n">
        <v>14118.88</v>
      </c>
      <c r="G20" s="8" t="n">
        <v>6238.56</v>
      </c>
      <c r="H20" s="19" t="n">
        <v>0.3065</v>
      </c>
      <c r="I20" s="16" t="n">
        <v>0</v>
      </c>
      <c r="J20" s="8" t="n">
        <v>6238.56</v>
      </c>
      <c r="K20" s="8" t="n">
        <v>7355.27</v>
      </c>
      <c r="L20" s="8" t="n">
        <v>0</v>
      </c>
      <c r="M20" s="8" t="n">
        <v>2055.55</v>
      </c>
      <c r="N20" s="8" t="n">
        <v>938.84</v>
      </c>
      <c r="O20" s="8" t="n">
        <v>3212.4</v>
      </c>
      <c r="P20" s="8" t="n">
        <v>0</v>
      </c>
      <c r="Q20" s="8" t="n">
        <v>4151.24</v>
      </c>
    </row>
    <row r="21" customFormat="false" ht="15" hidden="false" customHeight="false" outlineLevel="0" collapsed="false">
      <c r="A21" s="7" t="s">
        <v>137</v>
      </c>
      <c r="B21" s="16" t="n">
        <v>2026</v>
      </c>
      <c r="C21" s="7" t="s">
        <v>141</v>
      </c>
      <c r="D21" s="8" t="n">
        <v>117118.74</v>
      </c>
      <c r="E21" s="8" t="n">
        <v>0</v>
      </c>
      <c r="F21" s="8" t="n">
        <v>25355.2</v>
      </c>
      <c r="G21" s="8" t="n">
        <v>91763.54</v>
      </c>
      <c r="H21" s="19" t="n">
        <v>0.7835</v>
      </c>
      <c r="I21" s="16" t="n">
        <v>0</v>
      </c>
      <c r="J21" s="8" t="n">
        <v>91763.54</v>
      </c>
      <c r="K21" s="8" t="n">
        <v>15237.16</v>
      </c>
      <c r="L21" s="8" t="n">
        <v>0</v>
      </c>
      <c r="M21" s="8" t="n">
        <v>0</v>
      </c>
      <c r="N21" s="8" t="n">
        <v>76526.38</v>
      </c>
      <c r="O21" s="8" t="n">
        <v>-77887.3</v>
      </c>
      <c r="P21" s="8" t="n">
        <v>0</v>
      </c>
      <c r="Q21" s="8" t="n">
        <v>-1360.92</v>
      </c>
    </row>
    <row r="22" customFormat="false" ht="15" hidden="false" customHeight="false" outlineLevel="0" collapsed="false">
      <c r="A22" s="7" t="s">
        <v>137</v>
      </c>
      <c r="B22" s="16" t="n">
        <v>2026</v>
      </c>
      <c r="C22" s="7" t="s">
        <v>136</v>
      </c>
      <c r="D22" s="8" t="n">
        <v>11265.6</v>
      </c>
      <c r="E22" s="8" t="n">
        <v>0</v>
      </c>
      <c r="F22" s="8" t="n">
        <v>30800.4</v>
      </c>
      <c r="G22" s="8" t="n">
        <v>-19534.8</v>
      </c>
      <c r="H22" s="19" t="n">
        <v>-1.734</v>
      </c>
      <c r="I22" s="16" t="n">
        <v>0</v>
      </c>
      <c r="J22" s="8" t="n">
        <v>-19534.8</v>
      </c>
      <c r="K22" s="8" t="n">
        <v>0</v>
      </c>
      <c r="L22" s="8" t="n">
        <v>0</v>
      </c>
      <c r="M22" s="8" t="n">
        <v>0</v>
      </c>
      <c r="N22" s="8" t="n">
        <v>-19534.8</v>
      </c>
      <c r="O22" s="8" t="n">
        <v>30800.4</v>
      </c>
      <c r="P22" s="8" t="n">
        <v>0</v>
      </c>
      <c r="Q22" s="8" t="n">
        <v>11265.6</v>
      </c>
    </row>
    <row r="23" customFormat="false" ht="15" hidden="false" customHeight="false" outlineLevel="0" collapsed="false">
      <c r="A23" s="7" t="s">
        <v>137</v>
      </c>
      <c r="B23" s="16" t="n">
        <v>2026</v>
      </c>
      <c r="C23" s="7" t="s">
        <v>149</v>
      </c>
      <c r="D23" s="8" t="n">
        <v>60106.99</v>
      </c>
      <c r="E23" s="8" t="n">
        <v>0</v>
      </c>
      <c r="F23" s="8" t="n">
        <v>52364.37</v>
      </c>
      <c r="G23" s="8" t="n">
        <v>7742.62</v>
      </c>
      <c r="H23" s="19" t="n">
        <v>0.1288</v>
      </c>
      <c r="I23" s="16" t="n">
        <v>9545</v>
      </c>
      <c r="J23" s="8" t="n">
        <v>-1802.38</v>
      </c>
      <c r="K23" s="8" t="n">
        <v>20401.42</v>
      </c>
      <c r="L23" s="8" t="n">
        <v>10275.41</v>
      </c>
      <c r="M23" s="8" t="n">
        <v>0</v>
      </c>
      <c r="N23" s="8" t="n">
        <v>-32479.21</v>
      </c>
      <c r="O23" s="8" t="n">
        <v>0</v>
      </c>
      <c r="P23" s="8" t="n">
        <v>0</v>
      </c>
      <c r="Q23" s="8" t="n">
        <v>-32479.21</v>
      </c>
    </row>
    <row r="24" customFormat="false" ht="15" hidden="false" customHeight="false" outlineLevel="0" collapsed="false">
      <c r="A24" s="7" t="s">
        <v>137</v>
      </c>
      <c r="B24" s="16" t="n">
        <v>2026</v>
      </c>
      <c r="C24" s="7" t="s">
        <v>153</v>
      </c>
      <c r="D24" s="8" t="n">
        <v>0</v>
      </c>
      <c r="E24" s="8" t="n">
        <v>0</v>
      </c>
      <c r="F24" s="8" t="n">
        <v>8675.31</v>
      </c>
      <c r="G24" s="8" t="n">
        <v>-8675.31</v>
      </c>
      <c r="H24" s="19"/>
      <c r="I24" s="16" t="n">
        <v>21085.84</v>
      </c>
      <c r="J24" s="8" t="n">
        <v>-29761.15</v>
      </c>
      <c r="K24" s="8" t="n">
        <v>6840.63</v>
      </c>
      <c r="L24" s="8" t="n">
        <v>24487.23</v>
      </c>
      <c r="M24" s="8" t="n">
        <v>0</v>
      </c>
      <c r="N24" s="8" t="n">
        <v>-61089.01</v>
      </c>
      <c r="O24" s="8" t="n">
        <v>0</v>
      </c>
      <c r="P24" s="8" t="n">
        <v>0</v>
      </c>
      <c r="Q24" s="8" t="n">
        <v>-61089.01</v>
      </c>
    </row>
    <row r="25" customFormat="false" ht="15" hidden="false" customHeight="false" outlineLevel="0" collapsed="false">
      <c r="A25" s="7" t="s">
        <v>137</v>
      </c>
      <c r="B25" s="16" t="n">
        <v>2026</v>
      </c>
      <c r="C25" s="7" t="s">
        <v>144</v>
      </c>
      <c r="D25" s="8" t="n">
        <v>19841.6</v>
      </c>
      <c r="E25" s="8" t="n">
        <v>0</v>
      </c>
      <c r="F25" s="8" t="n">
        <v>35850.25</v>
      </c>
      <c r="G25" s="8" t="n">
        <v>-16008.65</v>
      </c>
      <c r="H25" s="19" t="n">
        <v>-0.8068</v>
      </c>
      <c r="I25" s="16" t="n">
        <v>0</v>
      </c>
      <c r="J25" s="8" t="n">
        <v>-16008.65</v>
      </c>
      <c r="K25" s="8" t="n">
        <v>9714.76</v>
      </c>
      <c r="L25" s="8" t="n">
        <v>0</v>
      </c>
      <c r="M25" s="8" t="n">
        <v>0</v>
      </c>
      <c r="N25" s="8" t="n">
        <v>-25723.41</v>
      </c>
      <c r="O25" s="8" t="n">
        <v>18462.25</v>
      </c>
      <c r="P25" s="8" t="n">
        <v>0</v>
      </c>
      <c r="Q25" s="8" t="n">
        <v>-7261.16</v>
      </c>
    </row>
    <row r="26" customFormat="false" ht="15" hidden="false" customHeight="false" outlineLevel="0" collapsed="false">
      <c r="A26" s="7" t="s">
        <v>137</v>
      </c>
      <c r="B26" s="16" t="n">
        <v>2026</v>
      </c>
      <c r="C26" s="7" t="s">
        <v>146</v>
      </c>
      <c r="D26" s="8" t="n">
        <v>25787.28</v>
      </c>
      <c r="E26" s="8" t="n">
        <v>0</v>
      </c>
      <c r="F26" s="8" t="n">
        <v>8642.56</v>
      </c>
      <c r="G26" s="8" t="n">
        <v>17144.72</v>
      </c>
      <c r="H26" s="19" t="n">
        <v>0.6649</v>
      </c>
      <c r="I26" s="16" t="n">
        <v>0</v>
      </c>
      <c r="J26" s="8" t="n">
        <v>17144.72</v>
      </c>
      <c r="K26" s="8" t="n">
        <v>5534.16</v>
      </c>
      <c r="L26" s="8" t="n">
        <v>0</v>
      </c>
      <c r="M26" s="8" t="n">
        <v>0</v>
      </c>
      <c r="N26" s="8" t="n">
        <v>11610.56</v>
      </c>
      <c r="O26" s="8" t="n">
        <v>-11087.6</v>
      </c>
      <c r="P26" s="8" t="n">
        <v>0</v>
      </c>
      <c r="Q26" s="8" t="n">
        <v>522.96</v>
      </c>
    </row>
    <row r="27" customFormat="false" ht="15" hidden="false" customHeight="false" outlineLevel="0" collapsed="false">
      <c r="A27" s="7" t="s">
        <v>137</v>
      </c>
      <c r="B27" s="16" t="n">
        <v>2023</v>
      </c>
      <c r="C27" s="7" t="s">
        <v>211</v>
      </c>
      <c r="D27" s="8" t="n">
        <v>374668.55</v>
      </c>
      <c r="E27" s="8" t="n">
        <v>0</v>
      </c>
      <c r="F27" s="8" t="n">
        <v>233214.89</v>
      </c>
      <c r="G27" s="8" t="n">
        <v>141453.66</v>
      </c>
      <c r="H27" s="19" t="n">
        <v>0.3775</v>
      </c>
      <c r="I27" s="16" t="n">
        <v>32835.6</v>
      </c>
      <c r="J27" s="8" t="n">
        <v>108618.06</v>
      </c>
      <c r="K27" s="8" t="n">
        <v>67245.85</v>
      </c>
      <c r="L27" s="8" t="n">
        <v>41451.19</v>
      </c>
      <c r="M27" s="8" t="n">
        <v>0</v>
      </c>
      <c r="N27" s="8" t="n">
        <v>-78.98</v>
      </c>
      <c r="O27" s="8" t="n">
        <v>14932.65</v>
      </c>
      <c r="P27" s="8" t="n">
        <v>0</v>
      </c>
      <c r="Q27" s="8" t="n">
        <v>14853.67</v>
      </c>
    </row>
    <row r="28" customFormat="false" ht="15" hidden="false" customHeight="false" outlineLevel="0" collapsed="false">
      <c r="A28" s="7" t="s">
        <v>137</v>
      </c>
      <c r="B28" s="16" t="n">
        <v>2024</v>
      </c>
      <c r="C28" s="7" t="s">
        <v>211</v>
      </c>
      <c r="D28" s="8" t="n">
        <v>429071.06</v>
      </c>
      <c r="E28" s="8" t="n">
        <v>0</v>
      </c>
      <c r="F28" s="8" t="n">
        <v>194297.69</v>
      </c>
      <c r="G28" s="8" t="n">
        <v>234773.37</v>
      </c>
      <c r="H28" s="19" t="n">
        <v>0.5472</v>
      </c>
      <c r="I28" s="16" t="n">
        <v>34394</v>
      </c>
      <c r="J28" s="8" t="n">
        <v>200379.37</v>
      </c>
      <c r="K28" s="8" t="n">
        <v>69891.64</v>
      </c>
      <c r="L28" s="8" t="n">
        <v>41973.14</v>
      </c>
      <c r="M28" s="8" t="n">
        <v>9500</v>
      </c>
      <c r="N28" s="8" t="n">
        <v>98014.59</v>
      </c>
      <c r="O28" s="8" t="n">
        <v>-21523.05</v>
      </c>
      <c r="P28" s="8" t="n">
        <v>0</v>
      </c>
      <c r="Q28" s="8" t="n">
        <v>76491.54</v>
      </c>
    </row>
    <row r="29" customFormat="false" ht="15" hidden="false" customHeight="false" outlineLevel="0" collapsed="false">
      <c r="A29" s="7" t="s">
        <v>137</v>
      </c>
      <c r="B29" s="16" t="n">
        <v>2025</v>
      </c>
      <c r="C29" s="7" t="s">
        <v>211</v>
      </c>
      <c r="D29" s="8" t="n">
        <v>443445.2</v>
      </c>
      <c r="E29" s="8" t="n">
        <v>0</v>
      </c>
      <c r="F29" s="8" t="n">
        <v>247894.11</v>
      </c>
      <c r="G29" s="8" t="n">
        <v>195551.09</v>
      </c>
      <c r="H29" s="19" t="n">
        <v>0.441</v>
      </c>
      <c r="I29" s="16" t="n">
        <v>39826.2</v>
      </c>
      <c r="J29" s="8" t="n">
        <v>155724.89</v>
      </c>
      <c r="K29" s="8" t="n">
        <v>76408.34</v>
      </c>
      <c r="L29" s="8" t="n">
        <v>44597.46</v>
      </c>
      <c r="M29" s="8" t="n">
        <v>8222.22</v>
      </c>
      <c r="N29" s="8" t="n">
        <v>42941.31</v>
      </c>
      <c r="O29" s="8" t="n">
        <v>58691.75</v>
      </c>
      <c r="P29" s="8" t="n">
        <v>0</v>
      </c>
      <c r="Q29" s="8" t="n">
        <v>101633.06</v>
      </c>
    </row>
    <row r="30" customFormat="false" ht="15" hidden="false" customHeight="false" outlineLevel="0" collapsed="false">
      <c r="A30" s="7" t="s">
        <v>137</v>
      </c>
      <c r="B30" s="16" t="n">
        <v>2026</v>
      </c>
      <c r="C30" s="7" t="s">
        <v>211</v>
      </c>
      <c r="D30" s="8" t="n">
        <v>234120.21</v>
      </c>
      <c r="E30" s="8" t="n">
        <v>0</v>
      </c>
      <c r="F30" s="8" t="n">
        <v>161688.09</v>
      </c>
      <c r="G30" s="8" t="n">
        <v>72432.12</v>
      </c>
      <c r="H30" s="19" t="n">
        <v>0.3094</v>
      </c>
      <c r="I30" s="16" t="n">
        <v>30630.84</v>
      </c>
      <c r="J30" s="8" t="n">
        <v>41801.28</v>
      </c>
      <c r="K30" s="8" t="n">
        <v>57728.13</v>
      </c>
      <c r="L30" s="8" t="n">
        <v>34762.64</v>
      </c>
      <c r="M30" s="8" t="n">
        <v>0</v>
      </c>
      <c r="N30" s="8" t="n">
        <v>-50689.49</v>
      </c>
      <c r="O30" s="8" t="n">
        <v>-39712.25</v>
      </c>
      <c r="P30" s="8" t="n">
        <v>0</v>
      </c>
      <c r="Q30" s="8" t="n">
        <v>-90401.74</v>
      </c>
    </row>
  </sheetData>
  <autoFilter ref="A2:Q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27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1" t="s">
        <v>131</v>
      </c>
      <c r="B1" s="11" t="s">
        <v>212</v>
      </c>
      <c r="C1" s="11" t="s">
        <v>213</v>
      </c>
      <c r="D1" s="11" t="s">
        <v>130</v>
      </c>
      <c r="E1" s="11" t="s">
        <v>214</v>
      </c>
      <c r="F1" s="11" t="s">
        <v>215</v>
      </c>
      <c r="G1" s="11" t="s">
        <v>216</v>
      </c>
      <c r="H1" s="11" t="s">
        <v>217</v>
      </c>
      <c r="I1" s="11" t="s">
        <v>218</v>
      </c>
    </row>
    <row r="2" customFormat="false" ht="15" hidden="false" customHeight="false" outlineLevel="0" collapsed="false">
      <c r="A2" s="7" t="s">
        <v>137</v>
      </c>
      <c r="B2" s="20" t="n">
        <v>44957</v>
      </c>
      <c r="C2" s="16" t="n">
        <v>2023</v>
      </c>
      <c r="D2" s="7" t="s">
        <v>141</v>
      </c>
      <c r="E2" s="7" t="s">
        <v>219</v>
      </c>
      <c r="F2" s="7" t="s">
        <v>187</v>
      </c>
      <c r="G2" s="7" t="s">
        <v>220</v>
      </c>
      <c r="H2" s="7" t="s">
        <v>187</v>
      </c>
      <c r="I2" s="8" t="n">
        <v>-1545.59</v>
      </c>
    </row>
    <row r="3" customFormat="false" ht="15" hidden="false" customHeight="false" outlineLevel="0" collapsed="false">
      <c r="A3" s="7" t="s">
        <v>137</v>
      </c>
      <c r="B3" s="20" t="n">
        <v>44957</v>
      </c>
      <c r="C3" s="16" t="n">
        <v>2023</v>
      </c>
      <c r="D3" s="7" t="s">
        <v>136</v>
      </c>
      <c r="E3" s="7" t="s">
        <v>221</v>
      </c>
      <c r="F3" s="7" t="s">
        <v>222</v>
      </c>
      <c r="G3" s="7" t="s">
        <v>223</v>
      </c>
      <c r="H3" s="7" t="s">
        <v>224</v>
      </c>
      <c r="I3" s="8" t="n">
        <v>-1344</v>
      </c>
    </row>
    <row r="4" customFormat="false" ht="15" hidden="false" customHeight="false" outlineLevel="0" collapsed="false">
      <c r="A4" s="7" t="s">
        <v>137</v>
      </c>
      <c r="B4" s="20" t="n">
        <v>44957</v>
      </c>
      <c r="C4" s="16" t="n">
        <v>2023</v>
      </c>
      <c r="D4" s="7" t="s">
        <v>136</v>
      </c>
      <c r="E4" s="7" t="s">
        <v>225</v>
      </c>
      <c r="F4" s="7" t="s">
        <v>226</v>
      </c>
      <c r="G4" s="7" t="s">
        <v>227</v>
      </c>
      <c r="H4" s="7" t="s">
        <v>228</v>
      </c>
      <c r="I4" s="8" t="n">
        <v>1344</v>
      </c>
    </row>
    <row r="5" customFormat="false" ht="15" hidden="false" customHeight="false" outlineLevel="0" collapsed="false">
      <c r="A5" s="7" t="s">
        <v>137</v>
      </c>
      <c r="B5" s="20" t="n">
        <v>44957</v>
      </c>
      <c r="C5" s="16" t="n">
        <v>2023</v>
      </c>
      <c r="D5" s="7" t="s">
        <v>149</v>
      </c>
      <c r="E5" s="7" t="s">
        <v>229</v>
      </c>
      <c r="F5" s="7" t="s">
        <v>230</v>
      </c>
      <c r="G5" s="7" t="s">
        <v>231</v>
      </c>
      <c r="H5" s="7" t="s">
        <v>232</v>
      </c>
      <c r="I5" s="8" t="n">
        <v>-3900</v>
      </c>
    </row>
    <row r="6" customFormat="false" ht="15" hidden="false" customHeight="false" outlineLevel="0" collapsed="false">
      <c r="A6" s="7" t="s">
        <v>137</v>
      </c>
      <c r="B6" s="20" t="n">
        <v>44957</v>
      </c>
      <c r="C6" s="16" t="n">
        <v>2023</v>
      </c>
      <c r="D6" s="7" t="s">
        <v>149</v>
      </c>
      <c r="E6" s="7" t="s">
        <v>229</v>
      </c>
      <c r="F6" s="7" t="s">
        <v>233</v>
      </c>
      <c r="G6" s="7" t="s">
        <v>234</v>
      </c>
      <c r="H6" s="7" t="s">
        <v>235</v>
      </c>
      <c r="I6" s="8" t="n">
        <v>-640</v>
      </c>
    </row>
    <row r="7" customFormat="false" ht="15" hidden="false" customHeight="false" outlineLevel="0" collapsed="false">
      <c r="A7" s="7" t="s">
        <v>137</v>
      </c>
      <c r="B7" s="20" t="n">
        <v>44957</v>
      </c>
      <c r="C7" s="16" t="n">
        <v>2023</v>
      </c>
      <c r="D7" s="7" t="s">
        <v>149</v>
      </c>
      <c r="E7" s="7" t="s">
        <v>219</v>
      </c>
      <c r="F7" s="7" t="s">
        <v>187</v>
      </c>
      <c r="G7" s="7" t="s">
        <v>220</v>
      </c>
      <c r="H7" s="7" t="s">
        <v>187</v>
      </c>
      <c r="I7" s="8" t="n">
        <v>-1752.94</v>
      </c>
    </row>
    <row r="8" customFormat="false" ht="15" hidden="false" customHeight="false" outlineLevel="0" collapsed="false">
      <c r="A8" s="7" t="s">
        <v>137</v>
      </c>
      <c r="B8" s="20" t="n">
        <v>44957</v>
      </c>
      <c r="C8" s="16" t="n">
        <v>2023</v>
      </c>
      <c r="D8" s="7" t="s">
        <v>149</v>
      </c>
      <c r="E8" s="7" t="s">
        <v>236</v>
      </c>
      <c r="F8" s="7" t="s">
        <v>189</v>
      </c>
      <c r="G8" s="7" t="s">
        <v>237</v>
      </c>
      <c r="H8" s="7" t="s">
        <v>238</v>
      </c>
      <c r="I8" s="8" t="n">
        <v>-12838</v>
      </c>
    </row>
    <row r="9" customFormat="false" ht="15" hidden="false" customHeight="false" outlineLevel="0" collapsed="false">
      <c r="A9" s="7" t="s">
        <v>137</v>
      </c>
      <c r="B9" s="20" t="n">
        <v>44957</v>
      </c>
      <c r="C9" s="16" t="n">
        <v>2023</v>
      </c>
      <c r="D9" s="7" t="s">
        <v>153</v>
      </c>
      <c r="E9" s="7" t="s">
        <v>229</v>
      </c>
      <c r="F9" s="7" t="s">
        <v>230</v>
      </c>
      <c r="G9" s="7" t="s">
        <v>231</v>
      </c>
      <c r="H9" s="7" t="s">
        <v>232</v>
      </c>
      <c r="I9" s="8" t="n">
        <v>-7880</v>
      </c>
    </row>
    <row r="10" customFormat="false" ht="15" hidden="false" customHeight="false" outlineLevel="0" collapsed="false">
      <c r="A10" s="7" t="s">
        <v>137</v>
      </c>
      <c r="B10" s="20" t="n">
        <v>44957</v>
      </c>
      <c r="C10" s="16" t="n">
        <v>2023</v>
      </c>
      <c r="D10" s="7" t="s">
        <v>153</v>
      </c>
      <c r="E10" s="7" t="s">
        <v>229</v>
      </c>
      <c r="F10" s="7" t="s">
        <v>239</v>
      </c>
      <c r="G10" s="7" t="s">
        <v>240</v>
      </c>
      <c r="H10" s="7" t="s">
        <v>239</v>
      </c>
      <c r="I10" s="8" t="n">
        <v>-395.26</v>
      </c>
    </row>
    <row r="11" customFormat="false" ht="15" hidden="false" customHeight="false" outlineLevel="0" collapsed="false">
      <c r="A11" s="7" t="s">
        <v>137</v>
      </c>
      <c r="B11" s="20" t="n">
        <v>44957</v>
      </c>
      <c r="C11" s="16" t="n">
        <v>2023</v>
      </c>
      <c r="D11" s="7" t="s">
        <v>153</v>
      </c>
      <c r="E11" s="7" t="s">
        <v>229</v>
      </c>
      <c r="F11" s="7" t="s">
        <v>241</v>
      </c>
      <c r="G11" s="7" t="s">
        <v>242</v>
      </c>
      <c r="H11" s="7" t="s">
        <v>243</v>
      </c>
      <c r="I11" s="8" t="n">
        <v>-284.74</v>
      </c>
    </row>
    <row r="12" customFormat="false" ht="15" hidden="false" customHeight="false" outlineLevel="0" collapsed="false">
      <c r="A12" s="7" t="s">
        <v>137</v>
      </c>
      <c r="B12" s="20" t="n">
        <v>44957</v>
      </c>
      <c r="C12" s="16" t="n">
        <v>2023</v>
      </c>
      <c r="D12" s="7" t="s">
        <v>153</v>
      </c>
      <c r="E12" s="7" t="s">
        <v>229</v>
      </c>
      <c r="F12" s="7" t="s">
        <v>233</v>
      </c>
      <c r="G12" s="7" t="s">
        <v>244</v>
      </c>
      <c r="H12" s="7" t="s">
        <v>245</v>
      </c>
      <c r="I12" s="8" t="n">
        <v>-165</v>
      </c>
    </row>
    <row r="13" customFormat="false" ht="15" hidden="false" customHeight="false" outlineLevel="0" collapsed="false">
      <c r="A13" s="7" t="s">
        <v>137</v>
      </c>
      <c r="B13" s="20" t="n">
        <v>44957</v>
      </c>
      <c r="C13" s="16" t="n">
        <v>2023</v>
      </c>
      <c r="D13" s="7" t="s">
        <v>153</v>
      </c>
      <c r="E13" s="7" t="s">
        <v>219</v>
      </c>
      <c r="F13" s="7" t="s">
        <v>187</v>
      </c>
      <c r="G13" s="7" t="s">
        <v>220</v>
      </c>
      <c r="H13" s="7" t="s">
        <v>187</v>
      </c>
      <c r="I13" s="8" t="n">
        <v>-760.07</v>
      </c>
    </row>
    <row r="14" customFormat="false" ht="15" hidden="false" customHeight="false" outlineLevel="0" collapsed="false">
      <c r="A14" s="7" t="s">
        <v>137</v>
      </c>
      <c r="B14" s="20" t="n">
        <v>44957</v>
      </c>
      <c r="C14" s="16" t="n">
        <v>2023</v>
      </c>
      <c r="D14" s="7" t="s">
        <v>153</v>
      </c>
      <c r="E14" s="7" t="s">
        <v>236</v>
      </c>
      <c r="F14" s="7" t="s">
        <v>189</v>
      </c>
      <c r="G14" s="7" t="s">
        <v>237</v>
      </c>
      <c r="H14" s="7" t="s">
        <v>238</v>
      </c>
      <c r="I14" s="8" t="n">
        <v>-107.66</v>
      </c>
    </row>
    <row r="15" customFormat="false" ht="15" hidden="false" customHeight="false" outlineLevel="0" collapsed="false">
      <c r="A15" s="7" t="s">
        <v>137</v>
      </c>
      <c r="B15" s="20" t="n">
        <v>44957</v>
      </c>
      <c r="C15" s="16" t="n">
        <v>2023</v>
      </c>
      <c r="D15" s="7" t="s">
        <v>153</v>
      </c>
      <c r="E15" s="7" t="s">
        <v>236</v>
      </c>
      <c r="F15" s="7" t="s">
        <v>189</v>
      </c>
      <c r="G15" s="7" t="s">
        <v>246</v>
      </c>
      <c r="H15" s="7" t="s">
        <v>247</v>
      </c>
      <c r="I15" s="8" t="n">
        <v>-621.32</v>
      </c>
    </row>
    <row r="16" customFormat="false" ht="15" hidden="false" customHeight="false" outlineLevel="0" collapsed="false">
      <c r="A16" s="7" t="s">
        <v>137</v>
      </c>
      <c r="B16" s="20" t="n">
        <v>44957</v>
      </c>
      <c r="C16" s="16" t="n">
        <v>2023</v>
      </c>
      <c r="D16" s="7" t="s">
        <v>144</v>
      </c>
      <c r="E16" s="7" t="s">
        <v>248</v>
      </c>
      <c r="F16" s="7" t="s">
        <v>249</v>
      </c>
      <c r="G16" s="7" t="s">
        <v>250</v>
      </c>
      <c r="H16" s="7" t="s">
        <v>251</v>
      </c>
      <c r="I16" s="8" t="n">
        <v>54644</v>
      </c>
    </row>
    <row r="17" customFormat="false" ht="15" hidden="false" customHeight="false" outlineLevel="0" collapsed="false">
      <c r="A17" s="7" t="s">
        <v>137</v>
      </c>
      <c r="B17" s="20" t="n">
        <v>44957</v>
      </c>
      <c r="C17" s="16" t="n">
        <v>2023</v>
      </c>
      <c r="D17" s="7" t="s">
        <v>144</v>
      </c>
      <c r="E17" s="7" t="s">
        <v>219</v>
      </c>
      <c r="F17" s="7" t="s">
        <v>187</v>
      </c>
      <c r="G17" s="7" t="s">
        <v>220</v>
      </c>
      <c r="H17" s="7" t="s">
        <v>187</v>
      </c>
      <c r="I17" s="8" t="n">
        <v>-968.59</v>
      </c>
    </row>
    <row r="18" customFormat="false" ht="15" hidden="false" customHeight="false" outlineLevel="0" collapsed="false">
      <c r="A18" s="7" t="s">
        <v>137</v>
      </c>
      <c r="B18" s="20" t="n">
        <v>44957</v>
      </c>
      <c r="C18" s="16" t="n">
        <v>2023</v>
      </c>
      <c r="D18" s="7" t="s">
        <v>144</v>
      </c>
      <c r="E18" s="7" t="s">
        <v>225</v>
      </c>
      <c r="F18" s="7" t="s">
        <v>226</v>
      </c>
      <c r="G18" s="7" t="s">
        <v>227</v>
      </c>
      <c r="H18" s="7" t="s">
        <v>228</v>
      </c>
      <c r="I18" s="8" t="n">
        <v>-54112</v>
      </c>
    </row>
    <row r="19" customFormat="false" ht="15" hidden="false" customHeight="false" outlineLevel="0" collapsed="false">
      <c r="A19" s="7" t="s">
        <v>137</v>
      </c>
      <c r="B19" s="20" t="n">
        <v>44957</v>
      </c>
      <c r="C19" s="16" t="n">
        <v>2023</v>
      </c>
      <c r="D19" s="7" t="s">
        <v>146</v>
      </c>
      <c r="E19" s="7" t="s">
        <v>219</v>
      </c>
      <c r="F19" s="7" t="s">
        <v>187</v>
      </c>
      <c r="G19" s="7" t="s">
        <v>220</v>
      </c>
      <c r="H19" s="7" t="s">
        <v>187</v>
      </c>
      <c r="I19" s="8" t="n">
        <v>-576.64</v>
      </c>
    </row>
    <row r="20" customFormat="false" ht="15" hidden="false" customHeight="false" outlineLevel="0" collapsed="false">
      <c r="A20" s="7" t="s">
        <v>137</v>
      </c>
      <c r="B20" s="20" t="n">
        <v>44985</v>
      </c>
      <c r="C20" s="16" t="n">
        <v>2023</v>
      </c>
      <c r="D20" s="7" t="s">
        <v>141</v>
      </c>
      <c r="E20" s="7" t="s">
        <v>219</v>
      </c>
      <c r="F20" s="7" t="s">
        <v>187</v>
      </c>
      <c r="G20" s="7" t="s">
        <v>220</v>
      </c>
      <c r="H20" s="7" t="s">
        <v>187</v>
      </c>
      <c r="I20" s="8" t="n">
        <v>-1545.58</v>
      </c>
    </row>
    <row r="21" customFormat="false" ht="15" hidden="false" customHeight="false" outlineLevel="0" collapsed="false">
      <c r="A21" s="7" t="s">
        <v>137</v>
      </c>
      <c r="B21" s="20" t="n">
        <v>44985</v>
      </c>
      <c r="C21" s="16" t="n">
        <v>2023</v>
      </c>
      <c r="D21" s="7" t="s">
        <v>149</v>
      </c>
      <c r="E21" s="7" t="s">
        <v>219</v>
      </c>
      <c r="F21" s="7" t="s">
        <v>187</v>
      </c>
      <c r="G21" s="7" t="s">
        <v>220</v>
      </c>
      <c r="H21" s="7" t="s">
        <v>187</v>
      </c>
      <c r="I21" s="8" t="n">
        <v>-1752.94</v>
      </c>
    </row>
    <row r="22" customFormat="false" ht="15" hidden="false" customHeight="false" outlineLevel="0" collapsed="false">
      <c r="A22" s="7" t="s">
        <v>137</v>
      </c>
      <c r="B22" s="20" t="n">
        <v>44985</v>
      </c>
      <c r="C22" s="16" t="n">
        <v>2023</v>
      </c>
      <c r="D22" s="7" t="s">
        <v>153</v>
      </c>
      <c r="E22" s="7" t="s">
        <v>229</v>
      </c>
      <c r="F22" s="7" t="s">
        <v>239</v>
      </c>
      <c r="G22" s="7" t="s">
        <v>240</v>
      </c>
      <c r="H22" s="7" t="s">
        <v>239</v>
      </c>
      <c r="I22" s="8" t="n">
        <v>-433</v>
      </c>
    </row>
    <row r="23" customFormat="false" ht="15" hidden="false" customHeight="false" outlineLevel="0" collapsed="false">
      <c r="A23" s="7" t="s">
        <v>137</v>
      </c>
      <c r="B23" s="20" t="n">
        <v>44985</v>
      </c>
      <c r="C23" s="16" t="n">
        <v>2023</v>
      </c>
      <c r="D23" s="7" t="s">
        <v>153</v>
      </c>
      <c r="E23" s="7" t="s">
        <v>229</v>
      </c>
      <c r="F23" s="7" t="s">
        <v>241</v>
      </c>
      <c r="G23" s="7" t="s">
        <v>242</v>
      </c>
      <c r="H23" s="7" t="s">
        <v>243</v>
      </c>
      <c r="I23" s="8" t="n">
        <v>-389.28</v>
      </c>
    </row>
    <row r="24" customFormat="false" ht="15" hidden="false" customHeight="false" outlineLevel="0" collapsed="false">
      <c r="A24" s="7" t="s">
        <v>137</v>
      </c>
      <c r="B24" s="20" t="n">
        <v>44985</v>
      </c>
      <c r="C24" s="16" t="n">
        <v>2023</v>
      </c>
      <c r="D24" s="7" t="s">
        <v>153</v>
      </c>
      <c r="E24" s="7" t="s">
        <v>229</v>
      </c>
      <c r="F24" s="7" t="s">
        <v>233</v>
      </c>
      <c r="G24" s="7" t="s">
        <v>252</v>
      </c>
      <c r="H24" s="7" t="s">
        <v>253</v>
      </c>
      <c r="I24" s="8" t="n">
        <v>-3400</v>
      </c>
    </row>
    <row r="25" customFormat="false" ht="15" hidden="false" customHeight="false" outlineLevel="0" collapsed="false">
      <c r="A25" s="7" t="s">
        <v>137</v>
      </c>
      <c r="B25" s="20" t="n">
        <v>44985</v>
      </c>
      <c r="C25" s="16" t="n">
        <v>2023</v>
      </c>
      <c r="D25" s="7" t="s">
        <v>153</v>
      </c>
      <c r="E25" s="7" t="s">
        <v>229</v>
      </c>
      <c r="F25" s="7" t="s">
        <v>233</v>
      </c>
      <c r="G25" s="7" t="s">
        <v>244</v>
      </c>
      <c r="H25" s="7" t="s">
        <v>245</v>
      </c>
      <c r="I25" s="8" t="n">
        <v>-165</v>
      </c>
    </row>
    <row r="26" customFormat="false" ht="15" hidden="false" customHeight="false" outlineLevel="0" collapsed="false">
      <c r="A26" s="7" t="s">
        <v>137</v>
      </c>
      <c r="B26" s="20" t="n">
        <v>44985</v>
      </c>
      <c r="C26" s="16" t="n">
        <v>2023</v>
      </c>
      <c r="D26" s="7" t="s">
        <v>153</v>
      </c>
      <c r="E26" s="7" t="s">
        <v>219</v>
      </c>
      <c r="F26" s="7" t="s">
        <v>187</v>
      </c>
      <c r="G26" s="7" t="s">
        <v>220</v>
      </c>
      <c r="H26" s="7" t="s">
        <v>187</v>
      </c>
      <c r="I26" s="8" t="n">
        <v>-760.07</v>
      </c>
    </row>
    <row r="27" customFormat="false" ht="15" hidden="false" customHeight="false" outlineLevel="0" collapsed="false">
      <c r="A27" s="7" t="s">
        <v>137</v>
      </c>
      <c r="B27" s="20" t="n">
        <v>44985</v>
      </c>
      <c r="C27" s="16" t="n">
        <v>2023</v>
      </c>
      <c r="D27" s="7" t="s">
        <v>153</v>
      </c>
      <c r="E27" s="7" t="s">
        <v>236</v>
      </c>
      <c r="F27" s="7" t="s">
        <v>189</v>
      </c>
      <c r="G27" s="7" t="s">
        <v>237</v>
      </c>
      <c r="H27" s="7" t="s">
        <v>238</v>
      </c>
      <c r="I27" s="8" t="n">
        <v>-105.27</v>
      </c>
    </row>
    <row r="28" customFormat="false" ht="15" hidden="false" customHeight="false" outlineLevel="0" collapsed="false">
      <c r="A28" s="7" t="s">
        <v>137</v>
      </c>
      <c r="B28" s="20" t="n">
        <v>44985</v>
      </c>
      <c r="C28" s="16" t="n">
        <v>2023</v>
      </c>
      <c r="D28" s="7" t="s">
        <v>153</v>
      </c>
      <c r="E28" s="7" t="s">
        <v>236</v>
      </c>
      <c r="F28" s="7" t="s">
        <v>189</v>
      </c>
      <c r="G28" s="7" t="s">
        <v>246</v>
      </c>
      <c r="H28" s="7" t="s">
        <v>247</v>
      </c>
      <c r="I28" s="8" t="n">
        <v>-396.03</v>
      </c>
    </row>
    <row r="29" customFormat="false" ht="15" hidden="false" customHeight="false" outlineLevel="0" collapsed="false">
      <c r="A29" s="7" t="s">
        <v>137</v>
      </c>
      <c r="B29" s="20" t="n">
        <v>44985</v>
      </c>
      <c r="C29" s="16" t="n">
        <v>2023</v>
      </c>
      <c r="D29" s="7" t="s">
        <v>144</v>
      </c>
      <c r="E29" s="7" t="s">
        <v>219</v>
      </c>
      <c r="F29" s="7" t="s">
        <v>187</v>
      </c>
      <c r="G29" s="7" t="s">
        <v>220</v>
      </c>
      <c r="H29" s="7" t="s">
        <v>187</v>
      </c>
      <c r="I29" s="8" t="n">
        <v>-968.58</v>
      </c>
    </row>
    <row r="30" customFormat="false" ht="15" hidden="false" customHeight="false" outlineLevel="0" collapsed="false">
      <c r="A30" s="7" t="s">
        <v>137</v>
      </c>
      <c r="B30" s="20" t="n">
        <v>44985</v>
      </c>
      <c r="C30" s="16" t="n">
        <v>2023</v>
      </c>
      <c r="D30" s="7" t="s">
        <v>146</v>
      </c>
      <c r="E30" s="7" t="s">
        <v>219</v>
      </c>
      <c r="F30" s="7" t="s">
        <v>187</v>
      </c>
      <c r="G30" s="7" t="s">
        <v>220</v>
      </c>
      <c r="H30" s="7" t="s">
        <v>187</v>
      </c>
      <c r="I30" s="8" t="n">
        <v>-576.64</v>
      </c>
    </row>
    <row r="31" customFormat="false" ht="15" hidden="false" customHeight="false" outlineLevel="0" collapsed="false">
      <c r="A31" s="7" t="s">
        <v>137</v>
      </c>
      <c r="B31" s="20" t="n">
        <v>45016</v>
      </c>
      <c r="C31" s="16" t="n">
        <v>2023</v>
      </c>
      <c r="D31" s="7" t="s">
        <v>141</v>
      </c>
      <c r="E31" s="7" t="s">
        <v>221</v>
      </c>
      <c r="F31" s="7" t="s">
        <v>254</v>
      </c>
      <c r="G31" s="7" t="s">
        <v>255</v>
      </c>
      <c r="H31" s="7" t="s">
        <v>256</v>
      </c>
      <c r="I31" s="8" t="n">
        <v>-7562.5</v>
      </c>
    </row>
    <row r="32" customFormat="false" ht="15" hidden="false" customHeight="false" outlineLevel="0" collapsed="false">
      <c r="A32" s="7" t="s">
        <v>137</v>
      </c>
      <c r="B32" s="20" t="n">
        <v>45016</v>
      </c>
      <c r="C32" s="16" t="n">
        <v>2023</v>
      </c>
      <c r="D32" s="7" t="s">
        <v>141</v>
      </c>
      <c r="E32" s="7" t="s">
        <v>221</v>
      </c>
      <c r="F32" s="7" t="s">
        <v>257</v>
      </c>
      <c r="G32" s="7" t="s">
        <v>258</v>
      </c>
      <c r="H32" s="7" t="s">
        <v>259</v>
      </c>
      <c r="I32" s="8" t="n">
        <v>-5260</v>
      </c>
    </row>
    <row r="33" customFormat="false" ht="15" hidden="false" customHeight="false" outlineLevel="0" collapsed="false">
      <c r="A33" s="7" t="s">
        <v>137</v>
      </c>
      <c r="B33" s="20" t="n">
        <v>45016</v>
      </c>
      <c r="C33" s="16" t="n">
        <v>2023</v>
      </c>
      <c r="D33" s="7" t="s">
        <v>141</v>
      </c>
      <c r="E33" s="7" t="s">
        <v>219</v>
      </c>
      <c r="F33" s="7" t="s">
        <v>187</v>
      </c>
      <c r="G33" s="7" t="s">
        <v>220</v>
      </c>
      <c r="H33" s="7" t="s">
        <v>187</v>
      </c>
      <c r="I33" s="8" t="n">
        <v>-1545.58</v>
      </c>
    </row>
    <row r="34" customFormat="false" ht="15" hidden="false" customHeight="false" outlineLevel="0" collapsed="false">
      <c r="A34" s="7" t="s">
        <v>137</v>
      </c>
      <c r="B34" s="20" t="n">
        <v>45016</v>
      </c>
      <c r="C34" s="16" t="n">
        <v>2023</v>
      </c>
      <c r="D34" s="7" t="s">
        <v>136</v>
      </c>
      <c r="E34" s="7" t="s">
        <v>221</v>
      </c>
      <c r="F34" s="7" t="s">
        <v>222</v>
      </c>
      <c r="G34" s="7" t="s">
        <v>223</v>
      </c>
      <c r="H34" s="7" t="s">
        <v>224</v>
      </c>
      <c r="I34" s="8" t="n">
        <v>-2304</v>
      </c>
    </row>
    <row r="35" customFormat="false" ht="15" hidden="false" customHeight="false" outlineLevel="0" collapsed="false">
      <c r="A35" s="7" t="s">
        <v>137</v>
      </c>
      <c r="B35" s="20" t="n">
        <v>45016</v>
      </c>
      <c r="C35" s="16" t="n">
        <v>2023</v>
      </c>
      <c r="D35" s="7" t="s">
        <v>136</v>
      </c>
      <c r="E35" s="7" t="s">
        <v>225</v>
      </c>
      <c r="F35" s="7" t="s">
        <v>226</v>
      </c>
      <c r="G35" s="7" t="s">
        <v>227</v>
      </c>
      <c r="H35" s="7" t="s">
        <v>228</v>
      </c>
      <c r="I35" s="8" t="n">
        <v>2304</v>
      </c>
    </row>
    <row r="36" customFormat="false" ht="15" hidden="false" customHeight="false" outlineLevel="0" collapsed="false">
      <c r="A36" s="7" t="s">
        <v>137</v>
      </c>
      <c r="B36" s="20" t="n">
        <v>45016</v>
      </c>
      <c r="C36" s="16" t="n">
        <v>2023</v>
      </c>
      <c r="D36" s="7" t="s">
        <v>149</v>
      </c>
      <c r="E36" s="7" t="s">
        <v>219</v>
      </c>
      <c r="F36" s="7" t="s">
        <v>187</v>
      </c>
      <c r="G36" s="7" t="s">
        <v>220</v>
      </c>
      <c r="H36" s="7" t="s">
        <v>187</v>
      </c>
      <c r="I36" s="8" t="n">
        <v>-1752.94</v>
      </c>
    </row>
    <row r="37" customFormat="false" ht="15" hidden="false" customHeight="false" outlineLevel="0" collapsed="false">
      <c r="A37" s="7" t="s">
        <v>137</v>
      </c>
      <c r="B37" s="20" t="n">
        <v>45016</v>
      </c>
      <c r="C37" s="16" t="n">
        <v>2023</v>
      </c>
      <c r="D37" s="7" t="s">
        <v>153</v>
      </c>
      <c r="E37" s="7" t="s">
        <v>221</v>
      </c>
      <c r="F37" s="7" t="s">
        <v>260</v>
      </c>
      <c r="G37" s="7" t="s">
        <v>261</v>
      </c>
      <c r="H37" s="7" t="s">
        <v>262</v>
      </c>
      <c r="I37" s="8" t="n">
        <v>-1290.98</v>
      </c>
    </row>
    <row r="38" customFormat="false" ht="15" hidden="false" customHeight="false" outlineLevel="0" collapsed="false">
      <c r="A38" s="7" t="s">
        <v>137</v>
      </c>
      <c r="B38" s="20" t="n">
        <v>45016</v>
      </c>
      <c r="C38" s="16" t="n">
        <v>2023</v>
      </c>
      <c r="D38" s="7" t="s">
        <v>153</v>
      </c>
      <c r="E38" s="7" t="s">
        <v>229</v>
      </c>
      <c r="F38" s="7" t="s">
        <v>239</v>
      </c>
      <c r="G38" s="7" t="s">
        <v>240</v>
      </c>
      <c r="H38" s="7" t="s">
        <v>239</v>
      </c>
      <c r="I38" s="8" t="n">
        <v>-271.38</v>
      </c>
    </row>
    <row r="39" customFormat="false" ht="15" hidden="false" customHeight="false" outlineLevel="0" collapsed="false">
      <c r="A39" s="7" t="s">
        <v>137</v>
      </c>
      <c r="B39" s="20" t="n">
        <v>45016</v>
      </c>
      <c r="C39" s="16" t="n">
        <v>2023</v>
      </c>
      <c r="D39" s="7" t="s">
        <v>153</v>
      </c>
      <c r="E39" s="7" t="s">
        <v>229</v>
      </c>
      <c r="F39" s="7" t="s">
        <v>241</v>
      </c>
      <c r="G39" s="7" t="s">
        <v>242</v>
      </c>
      <c r="H39" s="7" t="s">
        <v>243</v>
      </c>
      <c r="I39" s="8" t="n">
        <v>-355.59</v>
      </c>
    </row>
    <row r="40" customFormat="false" ht="15" hidden="false" customHeight="false" outlineLevel="0" collapsed="false">
      <c r="A40" s="7" t="s">
        <v>137</v>
      </c>
      <c r="B40" s="20" t="n">
        <v>45016</v>
      </c>
      <c r="C40" s="16" t="n">
        <v>2023</v>
      </c>
      <c r="D40" s="7" t="s">
        <v>153</v>
      </c>
      <c r="E40" s="7" t="s">
        <v>229</v>
      </c>
      <c r="F40" s="7" t="s">
        <v>233</v>
      </c>
      <c r="G40" s="7" t="s">
        <v>244</v>
      </c>
      <c r="H40" s="7" t="s">
        <v>245</v>
      </c>
      <c r="I40" s="8" t="n">
        <v>-165</v>
      </c>
    </row>
    <row r="41" customFormat="false" ht="15" hidden="false" customHeight="false" outlineLevel="0" collapsed="false">
      <c r="A41" s="7" t="s">
        <v>137</v>
      </c>
      <c r="B41" s="20" t="n">
        <v>45016</v>
      </c>
      <c r="C41" s="16" t="n">
        <v>2023</v>
      </c>
      <c r="D41" s="7" t="s">
        <v>153</v>
      </c>
      <c r="E41" s="7" t="s">
        <v>219</v>
      </c>
      <c r="F41" s="7" t="s">
        <v>187</v>
      </c>
      <c r="G41" s="7" t="s">
        <v>220</v>
      </c>
      <c r="H41" s="7" t="s">
        <v>187</v>
      </c>
      <c r="I41" s="8" t="n">
        <v>-760.08</v>
      </c>
    </row>
    <row r="42" customFormat="false" ht="15" hidden="false" customHeight="false" outlineLevel="0" collapsed="false">
      <c r="A42" s="7" t="s">
        <v>137</v>
      </c>
      <c r="B42" s="20" t="n">
        <v>45016</v>
      </c>
      <c r="C42" s="16" t="n">
        <v>2023</v>
      </c>
      <c r="D42" s="7" t="s">
        <v>153</v>
      </c>
      <c r="E42" s="7" t="s">
        <v>236</v>
      </c>
      <c r="F42" s="7" t="s">
        <v>189</v>
      </c>
      <c r="G42" s="7" t="s">
        <v>237</v>
      </c>
      <c r="H42" s="7" t="s">
        <v>238</v>
      </c>
      <c r="I42" s="8" t="n">
        <v>-102.86</v>
      </c>
    </row>
    <row r="43" customFormat="false" ht="15" hidden="false" customHeight="false" outlineLevel="0" collapsed="false">
      <c r="A43" s="7" t="s">
        <v>137</v>
      </c>
      <c r="B43" s="20" t="n">
        <v>45016</v>
      </c>
      <c r="C43" s="16" t="n">
        <v>2023</v>
      </c>
      <c r="D43" s="7" t="s">
        <v>153</v>
      </c>
      <c r="E43" s="7" t="s">
        <v>236</v>
      </c>
      <c r="F43" s="7" t="s">
        <v>189</v>
      </c>
      <c r="G43" s="7" t="s">
        <v>246</v>
      </c>
      <c r="H43" s="7" t="s">
        <v>247</v>
      </c>
      <c r="I43" s="8" t="n">
        <v>-509.67</v>
      </c>
    </row>
    <row r="44" customFormat="false" ht="15" hidden="false" customHeight="false" outlineLevel="0" collapsed="false">
      <c r="A44" s="7" t="s">
        <v>137</v>
      </c>
      <c r="B44" s="20" t="n">
        <v>45016</v>
      </c>
      <c r="C44" s="16" t="n">
        <v>2023</v>
      </c>
      <c r="D44" s="7" t="s">
        <v>144</v>
      </c>
      <c r="E44" s="7" t="s">
        <v>219</v>
      </c>
      <c r="F44" s="7" t="s">
        <v>187</v>
      </c>
      <c r="G44" s="7" t="s">
        <v>220</v>
      </c>
      <c r="H44" s="7" t="s">
        <v>187</v>
      </c>
      <c r="I44" s="8" t="n">
        <v>-968.59</v>
      </c>
    </row>
    <row r="45" customFormat="false" ht="15" hidden="false" customHeight="false" outlineLevel="0" collapsed="false">
      <c r="A45" s="7" t="s">
        <v>137</v>
      </c>
      <c r="B45" s="20" t="n">
        <v>45016</v>
      </c>
      <c r="C45" s="16" t="n">
        <v>2023</v>
      </c>
      <c r="D45" s="7" t="s">
        <v>146</v>
      </c>
      <c r="E45" s="7" t="s">
        <v>221</v>
      </c>
      <c r="F45" s="7" t="s">
        <v>254</v>
      </c>
      <c r="G45" s="7" t="s">
        <v>255</v>
      </c>
      <c r="H45" s="7" t="s">
        <v>256</v>
      </c>
      <c r="I45" s="8" t="n">
        <v>-4096</v>
      </c>
    </row>
    <row r="46" customFormat="false" ht="15" hidden="false" customHeight="false" outlineLevel="0" collapsed="false">
      <c r="A46" s="7" t="s">
        <v>137</v>
      </c>
      <c r="B46" s="20" t="n">
        <v>45016</v>
      </c>
      <c r="C46" s="16" t="n">
        <v>2023</v>
      </c>
      <c r="D46" s="7" t="s">
        <v>146</v>
      </c>
      <c r="E46" s="7" t="s">
        <v>221</v>
      </c>
      <c r="F46" s="7" t="s">
        <v>263</v>
      </c>
      <c r="G46" s="7" t="s">
        <v>264</v>
      </c>
      <c r="H46" s="7" t="s">
        <v>263</v>
      </c>
      <c r="I46" s="8" t="n">
        <v>-1120</v>
      </c>
    </row>
    <row r="47" customFormat="false" ht="15" hidden="false" customHeight="false" outlineLevel="0" collapsed="false">
      <c r="A47" s="7" t="s">
        <v>137</v>
      </c>
      <c r="B47" s="20" t="n">
        <v>45016</v>
      </c>
      <c r="C47" s="16" t="n">
        <v>2023</v>
      </c>
      <c r="D47" s="7" t="s">
        <v>146</v>
      </c>
      <c r="E47" s="7" t="s">
        <v>221</v>
      </c>
      <c r="F47" s="7" t="s">
        <v>257</v>
      </c>
      <c r="G47" s="7" t="s">
        <v>258</v>
      </c>
      <c r="H47" s="7" t="s">
        <v>259</v>
      </c>
      <c r="I47" s="8" t="n">
        <v>-1440</v>
      </c>
    </row>
    <row r="48" customFormat="false" ht="15" hidden="false" customHeight="false" outlineLevel="0" collapsed="false">
      <c r="A48" s="7" t="s">
        <v>137</v>
      </c>
      <c r="B48" s="20" t="n">
        <v>45016</v>
      </c>
      <c r="C48" s="16" t="n">
        <v>2023</v>
      </c>
      <c r="D48" s="7" t="s">
        <v>146</v>
      </c>
      <c r="E48" s="7" t="s">
        <v>219</v>
      </c>
      <c r="F48" s="7" t="s">
        <v>187</v>
      </c>
      <c r="G48" s="7" t="s">
        <v>220</v>
      </c>
      <c r="H48" s="7" t="s">
        <v>187</v>
      </c>
      <c r="I48" s="8" t="n">
        <v>-576.65</v>
      </c>
    </row>
    <row r="49" customFormat="false" ht="15" hidden="false" customHeight="false" outlineLevel="0" collapsed="false">
      <c r="A49" s="7" t="s">
        <v>137</v>
      </c>
      <c r="B49" s="20" t="n">
        <v>45016</v>
      </c>
      <c r="C49" s="16" t="n">
        <v>2023</v>
      </c>
      <c r="D49" s="7" t="s">
        <v>146</v>
      </c>
      <c r="E49" s="7" t="s">
        <v>225</v>
      </c>
      <c r="F49" s="7" t="s">
        <v>226</v>
      </c>
      <c r="G49" s="7" t="s">
        <v>227</v>
      </c>
      <c r="H49" s="7" t="s">
        <v>228</v>
      </c>
      <c r="I49" s="8" t="n">
        <v>6656</v>
      </c>
    </row>
    <row r="50" customFormat="false" ht="15" hidden="false" customHeight="false" outlineLevel="0" collapsed="false">
      <c r="A50" s="7" t="s">
        <v>137</v>
      </c>
      <c r="B50" s="20" t="n">
        <v>45046</v>
      </c>
      <c r="C50" s="16" t="n">
        <v>2023</v>
      </c>
      <c r="D50" s="7" t="s">
        <v>141</v>
      </c>
      <c r="E50" s="7" t="s">
        <v>221</v>
      </c>
      <c r="F50" s="7" t="s">
        <v>265</v>
      </c>
      <c r="G50" s="7" t="s">
        <v>266</v>
      </c>
      <c r="H50" s="7" t="s">
        <v>265</v>
      </c>
      <c r="I50" s="8" t="n">
        <v>-20740</v>
      </c>
    </row>
    <row r="51" customFormat="false" ht="15" hidden="false" customHeight="false" outlineLevel="0" collapsed="false">
      <c r="A51" s="7" t="s">
        <v>137</v>
      </c>
      <c r="B51" s="20" t="n">
        <v>45046</v>
      </c>
      <c r="C51" s="16" t="n">
        <v>2023</v>
      </c>
      <c r="D51" s="7" t="s">
        <v>141</v>
      </c>
      <c r="E51" s="7" t="s">
        <v>221</v>
      </c>
      <c r="F51" s="7" t="s">
        <v>254</v>
      </c>
      <c r="G51" s="7" t="s">
        <v>255</v>
      </c>
      <c r="H51" s="7" t="s">
        <v>256</v>
      </c>
      <c r="I51" s="8" t="n">
        <v>-26796</v>
      </c>
    </row>
    <row r="52" customFormat="false" ht="15" hidden="false" customHeight="false" outlineLevel="0" collapsed="false">
      <c r="A52" s="7" t="s">
        <v>137</v>
      </c>
      <c r="B52" s="20" t="n">
        <v>45046</v>
      </c>
      <c r="C52" s="16" t="n">
        <v>2023</v>
      </c>
      <c r="D52" s="7" t="s">
        <v>141</v>
      </c>
      <c r="E52" s="7" t="s">
        <v>221</v>
      </c>
      <c r="F52" s="7" t="s">
        <v>263</v>
      </c>
      <c r="G52" s="7" t="s">
        <v>264</v>
      </c>
      <c r="H52" s="7" t="s">
        <v>263</v>
      </c>
      <c r="I52" s="8" t="n">
        <v>-6187.5</v>
      </c>
    </row>
    <row r="53" customFormat="false" ht="15" hidden="false" customHeight="false" outlineLevel="0" collapsed="false">
      <c r="A53" s="7" t="s">
        <v>137</v>
      </c>
      <c r="B53" s="20" t="n">
        <v>45046</v>
      </c>
      <c r="C53" s="16" t="n">
        <v>2023</v>
      </c>
      <c r="D53" s="7" t="s">
        <v>141</v>
      </c>
      <c r="E53" s="7" t="s">
        <v>221</v>
      </c>
      <c r="F53" s="7" t="s">
        <v>267</v>
      </c>
      <c r="G53" s="7" t="s">
        <v>268</v>
      </c>
      <c r="H53" s="7" t="s">
        <v>269</v>
      </c>
      <c r="I53" s="8" t="n">
        <v>-2040.57</v>
      </c>
    </row>
    <row r="54" customFormat="false" ht="15" hidden="false" customHeight="false" outlineLevel="0" collapsed="false">
      <c r="A54" s="7" t="s">
        <v>137</v>
      </c>
      <c r="B54" s="20" t="n">
        <v>45046</v>
      </c>
      <c r="C54" s="16" t="n">
        <v>2023</v>
      </c>
      <c r="D54" s="7" t="s">
        <v>141</v>
      </c>
      <c r="E54" s="7" t="s">
        <v>219</v>
      </c>
      <c r="F54" s="7" t="s">
        <v>187</v>
      </c>
      <c r="G54" s="7" t="s">
        <v>220</v>
      </c>
      <c r="H54" s="7" t="s">
        <v>187</v>
      </c>
      <c r="I54" s="8" t="n">
        <v>-1545.58</v>
      </c>
    </row>
    <row r="55" customFormat="false" ht="15" hidden="false" customHeight="false" outlineLevel="0" collapsed="false">
      <c r="A55" s="7" t="s">
        <v>137</v>
      </c>
      <c r="B55" s="20" t="n">
        <v>45046</v>
      </c>
      <c r="C55" s="16" t="n">
        <v>2023</v>
      </c>
      <c r="D55" s="7" t="s">
        <v>141</v>
      </c>
      <c r="E55" s="7" t="s">
        <v>225</v>
      </c>
      <c r="F55" s="7" t="s">
        <v>226</v>
      </c>
      <c r="G55" s="7" t="s">
        <v>227</v>
      </c>
      <c r="H55" s="7" t="s">
        <v>228</v>
      </c>
      <c r="I55" s="8" t="n">
        <v>68586.57</v>
      </c>
    </row>
    <row r="56" customFormat="false" ht="15" hidden="false" customHeight="false" outlineLevel="0" collapsed="false">
      <c r="A56" s="7" t="s">
        <v>137</v>
      </c>
      <c r="B56" s="20" t="n">
        <v>45046</v>
      </c>
      <c r="C56" s="16" t="n">
        <v>2023</v>
      </c>
      <c r="D56" s="7" t="s">
        <v>136</v>
      </c>
      <c r="E56" s="7" t="s">
        <v>221</v>
      </c>
      <c r="F56" s="7" t="s">
        <v>254</v>
      </c>
      <c r="G56" s="7" t="s">
        <v>255</v>
      </c>
      <c r="H56" s="7" t="s">
        <v>256</v>
      </c>
      <c r="I56" s="8" t="n">
        <v>-4252.8</v>
      </c>
    </row>
    <row r="57" customFormat="false" ht="15" hidden="false" customHeight="false" outlineLevel="0" collapsed="false">
      <c r="A57" s="7" t="s">
        <v>137</v>
      </c>
      <c r="B57" s="20" t="n">
        <v>45046</v>
      </c>
      <c r="C57" s="16" t="n">
        <v>2023</v>
      </c>
      <c r="D57" s="7" t="s">
        <v>136</v>
      </c>
      <c r="E57" s="7" t="s">
        <v>221</v>
      </c>
      <c r="F57" s="7" t="s">
        <v>263</v>
      </c>
      <c r="G57" s="7" t="s">
        <v>264</v>
      </c>
      <c r="H57" s="7" t="s">
        <v>263</v>
      </c>
      <c r="I57" s="8" t="n">
        <v>-2112</v>
      </c>
    </row>
    <row r="58" customFormat="false" ht="15" hidden="false" customHeight="false" outlineLevel="0" collapsed="false">
      <c r="A58" s="7" t="s">
        <v>137</v>
      </c>
      <c r="B58" s="20" t="n">
        <v>45046</v>
      </c>
      <c r="C58" s="16" t="n">
        <v>2023</v>
      </c>
      <c r="D58" s="7" t="s">
        <v>136</v>
      </c>
      <c r="E58" s="7" t="s">
        <v>221</v>
      </c>
      <c r="F58" s="7" t="s">
        <v>222</v>
      </c>
      <c r="G58" s="7" t="s">
        <v>223</v>
      </c>
      <c r="H58" s="7" t="s">
        <v>224</v>
      </c>
      <c r="I58" s="8" t="n">
        <v>-864</v>
      </c>
    </row>
    <row r="59" customFormat="false" ht="15" hidden="false" customHeight="false" outlineLevel="0" collapsed="false">
      <c r="A59" s="7" t="s">
        <v>137</v>
      </c>
      <c r="B59" s="20" t="n">
        <v>45046</v>
      </c>
      <c r="C59" s="16" t="n">
        <v>2023</v>
      </c>
      <c r="D59" s="7" t="s">
        <v>136</v>
      </c>
      <c r="E59" s="7" t="s">
        <v>225</v>
      </c>
      <c r="F59" s="7" t="s">
        <v>226</v>
      </c>
      <c r="G59" s="7" t="s">
        <v>227</v>
      </c>
      <c r="H59" s="7" t="s">
        <v>228</v>
      </c>
      <c r="I59" s="8" t="n">
        <v>7228.8</v>
      </c>
    </row>
    <row r="60" customFormat="false" ht="15" hidden="false" customHeight="false" outlineLevel="0" collapsed="false">
      <c r="A60" s="7" t="s">
        <v>137</v>
      </c>
      <c r="B60" s="20" t="n">
        <v>45046</v>
      </c>
      <c r="C60" s="16" t="n">
        <v>2023</v>
      </c>
      <c r="D60" s="7" t="s">
        <v>149</v>
      </c>
      <c r="E60" s="7" t="s">
        <v>219</v>
      </c>
      <c r="F60" s="7" t="s">
        <v>187</v>
      </c>
      <c r="G60" s="7" t="s">
        <v>220</v>
      </c>
      <c r="H60" s="7" t="s">
        <v>187</v>
      </c>
      <c r="I60" s="8" t="n">
        <v>-1752.93</v>
      </c>
    </row>
    <row r="61" customFormat="false" ht="15" hidden="false" customHeight="false" outlineLevel="0" collapsed="false">
      <c r="A61" s="7" t="s">
        <v>137</v>
      </c>
      <c r="B61" s="20" t="n">
        <v>45046</v>
      </c>
      <c r="C61" s="16" t="n">
        <v>2023</v>
      </c>
      <c r="D61" s="7" t="s">
        <v>153</v>
      </c>
      <c r="E61" s="7" t="s">
        <v>229</v>
      </c>
      <c r="F61" s="7" t="s">
        <v>239</v>
      </c>
      <c r="G61" s="7" t="s">
        <v>240</v>
      </c>
      <c r="H61" s="7" t="s">
        <v>239</v>
      </c>
      <c r="I61" s="8" t="n">
        <v>-237.29</v>
      </c>
    </row>
    <row r="62" customFormat="false" ht="15" hidden="false" customHeight="false" outlineLevel="0" collapsed="false">
      <c r="A62" s="7" t="s">
        <v>137</v>
      </c>
      <c r="B62" s="20" t="n">
        <v>45046</v>
      </c>
      <c r="C62" s="16" t="n">
        <v>2023</v>
      </c>
      <c r="D62" s="7" t="s">
        <v>153</v>
      </c>
      <c r="E62" s="7" t="s">
        <v>229</v>
      </c>
      <c r="F62" s="7" t="s">
        <v>241</v>
      </c>
      <c r="G62" s="7" t="s">
        <v>242</v>
      </c>
      <c r="H62" s="7" t="s">
        <v>243</v>
      </c>
      <c r="I62" s="8" t="n">
        <v>-290.65</v>
      </c>
    </row>
    <row r="63" customFormat="false" ht="15" hidden="false" customHeight="false" outlineLevel="0" collapsed="false">
      <c r="A63" s="7" t="s">
        <v>137</v>
      </c>
      <c r="B63" s="20" t="n">
        <v>45046</v>
      </c>
      <c r="C63" s="16" t="n">
        <v>2023</v>
      </c>
      <c r="D63" s="7" t="s">
        <v>153</v>
      </c>
      <c r="E63" s="7" t="s">
        <v>229</v>
      </c>
      <c r="F63" s="7" t="s">
        <v>233</v>
      </c>
      <c r="G63" s="7" t="s">
        <v>234</v>
      </c>
      <c r="H63" s="7" t="s">
        <v>235</v>
      </c>
      <c r="I63" s="8" t="n">
        <v>-480</v>
      </c>
    </row>
    <row r="64" customFormat="false" ht="15" hidden="false" customHeight="false" outlineLevel="0" collapsed="false">
      <c r="A64" s="7" t="s">
        <v>137</v>
      </c>
      <c r="B64" s="20" t="n">
        <v>45046</v>
      </c>
      <c r="C64" s="16" t="n">
        <v>2023</v>
      </c>
      <c r="D64" s="7" t="s">
        <v>153</v>
      </c>
      <c r="E64" s="7" t="s">
        <v>229</v>
      </c>
      <c r="F64" s="7" t="s">
        <v>233</v>
      </c>
      <c r="G64" s="7" t="s">
        <v>244</v>
      </c>
      <c r="H64" s="7" t="s">
        <v>245</v>
      </c>
      <c r="I64" s="8" t="n">
        <v>-165</v>
      </c>
    </row>
    <row r="65" customFormat="false" ht="15" hidden="false" customHeight="false" outlineLevel="0" collapsed="false">
      <c r="A65" s="7" t="s">
        <v>137</v>
      </c>
      <c r="B65" s="20" t="n">
        <v>45046</v>
      </c>
      <c r="C65" s="16" t="n">
        <v>2023</v>
      </c>
      <c r="D65" s="7" t="s">
        <v>153</v>
      </c>
      <c r="E65" s="7" t="s">
        <v>219</v>
      </c>
      <c r="F65" s="7" t="s">
        <v>187</v>
      </c>
      <c r="G65" s="7" t="s">
        <v>220</v>
      </c>
      <c r="H65" s="7" t="s">
        <v>187</v>
      </c>
      <c r="I65" s="8" t="n">
        <v>-760.07</v>
      </c>
    </row>
    <row r="66" customFormat="false" ht="15" hidden="false" customHeight="false" outlineLevel="0" collapsed="false">
      <c r="A66" s="7" t="s">
        <v>137</v>
      </c>
      <c r="B66" s="20" t="n">
        <v>45046</v>
      </c>
      <c r="C66" s="16" t="n">
        <v>2023</v>
      </c>
      <c r="D66" s="7" t="s">
        <v>153</v>
      </c>
      <c r="E66" s="7" t="s">
        <v>236</v>
      </c>
      <c r="F66" s="7" t="s">
        <v>189</v>
      </c>
      <c r="G66" s="7" t="s">
        <v>237</v>
      </c>
      <c r="H66" s="7" t="s">
        <v>238</v>
      </c>
      <c r="I66" s="8" t="n">
        <v>-100.45</v>
      </c>
    </row>
    <row r="67" customFormat="false" ht="15" hidden="false" customHeight="false" outlineLevel="0" collapsed="false">
      <c r="A67" s="7" t="s">
        <v>137</v>
      </c>
      <c r="B67" s="20" t="n">
        <v>45046</v>
      </c>
      <c r="C67" s="16" t="n">
        <v>2023</v>
      </c>
      <c r="D67" s="7" t="s">
        <v>153</v>
      </c>
      <c r="E67" s="7" t="s">
        <v>236</v>
      </c>
      <c r="F67" s="7" t="s">
        <v>189</v>
      </c>
      <c r="G67" s="7" t="s">
        <v>246</v>
      </c>
      <c r="H67" s="7" t="s">
        <v>247</v>
      </c>
      <c r="I67" s="8" t="n">
        <v>-607.32</v>
      </c>
    </row>
    <row r="68" customFormat="false" ht="15" hidden="false" customHeight="false" outlineLevel="0" collapsed="false">
      <c r="A68" s="7" t="s">
        <v>137</v>
      </c>
      <c r="B68" s="20" t="n">
        <v>45046</v>
      </c>
      <c r="C68" s="16" t="n">
        <v>2023</v>
      </c>
      <c r="D68" s="7" t="s">
        <v>144</v>
      </c>
      <c r="E68" s="7" t="s">
        <v>219</v>
      </c>
      <c r="F68" s="7" t="s">
        <v>187</v>
      </c>
      <c r="G68" s="7" t="s">
        <v>220</v>
      </c>
      <c r="H68" s="7" t="s">
        <v>187</v>
      </c>
      <c r="I68" s="8" t="n">
        <v>-968.59</v>
      </c>
    </row>
    <row r="69" customFormat="false" ht="15" hidden="false" customHeight="false" outlineLevel="0" collapsed="false">
      <c r="A69" s="7" t="s">
        <v>137</v>
      </c>
      <c r="B69" s="20" t="n">
        <v>45046</v>
      </c>
      <c r="C69" s="16" t="n">
        <v>2023</v>
      </c>
      <c r="D69" s="7" t="s">
        <v>146</v>
      </c>
      <c r="E69" s="7" t="s">
        <v>219</v>
      </c>
      <c r="F69" s="7" t="s">
        <v>187</v>
      </c>
      <c r="G69" s="7" t="s">
        <v>220</v>
      </c>
      <c r="H69" s="7" t="s">
        <v>187</v>
      </c>
      <c r="I69" s="8" t="n">
        <v>-576.64</v>
      </c>
    </row>
    <row r="70" customFormat="false" ht="15" hidden="false" customHeight="false" outlineLevel="0" collapsed="false">
      <c r="A70" s="7" t="s">
        <v>137</v>
      </c>
      <c r="B70" s="20" t="n">
        <v>45077</v>
      </c>
      <c r="C70" s="16" t="n">
        <v>2023</v>
      </c>
      <c r="D70" s="7" t="s">
        <v>141</v>
      </c>
      <c r="E70" s="7" t="s">
        <v>221</v>
      </c>
      <c r="F70" s="7" t="s">
        <v>263</v>
      </c>
      <c r="G70" s="7" t="s">
        <v>264</v>
      </c>
      <c r="H70" s="7" t="s">
        <v>263</v>
      </c>
      <c r="I70" s="8" t="n">
        <v>-3262.5</v>
      </c>
    </row>
    <row r="71" customFormat="false" ht="15" hidden="false" customHeight="false" outlineLevel="0" collapsed="false">
      <c r="A71" s="7" t="s">
        <v>137</v>
      </c>
      <c r="B71" s="20" t="n">
        <v>45077</v>
      </c>
      <c r="C71" s="16" t="n">
        <v>2023</v>
      </c>
      <c r="D71" s="7" t="s">
        <v>141</v>
      </c>
      <c r="E71" s="7" t="s">
        <v>219</v>
      </c>
      <c r="F71" s="7" t="s">
        <v>187</v>
      </c>
      <c r="G71" s="7" t="s">
        <v>220</v>
      </c>
      <c r="H71" s="7" t="s">
        <v>187</v>
      </c>
      <c r="I71" s="8" t="n">
        <v>-1545.59</v>
      </c>
    </row>
    <row r="72" customFormat="false" ht="15" hidden="false" customHeight="false" outlineLevel="0" collapsed="false">
      <c r="A72" s="7" t="s">
        <v>137</v>
      </c>
      <c r="B72" s="20" t="n">
        <v>45077</v>
      </c>
      <c r="C72" s="16" t="n">
        <v>2023</v>
      </c>
      <c r="D72" s="7" t="s">
        <v>141</v>
      </c>
      <c r="E72" s="7" t="s">
        <v>225</v>
      </c>
      <c r="F72" s="7" t="s">
        <v>226</v>
      </c>
      <c r="G72" s="7" t="s">
        <v>227</v>
      </c>
      <c r="H72" s="7" t="s">
        <v>228</v>
      </c>
      <c r="I72" s="8" t="n">
        <v>3262.5</v>
      </c>
    </row>
    <row r="73" customFormat="false" ht="15" hidden="false" customHeight="false" outlineLevel="0" collapsed="false">
      <c r="A73" s="7" t="s">
        <v>137</v>
      </c>
      <c r="B73" s="20" t="n">
        <v>45077</v>
      </c>
      <c r="C73" s="16" t="n">
        <v>2023</v>
      </c>
      <c r="D73" s="7" t="s">
        <v>136</v>
      </c>
      <c r="E73" s="7" t="s">
        <v>221</v>
      </c>
      <c r="F73" s="7" t="s">
        <v>265</v>
      </c>
      <c r="G73" s="7" t="s">
        <v>266</v>
      </c>
      <c r="H73" s="7" t="s">
        <v>265</v>
      </c>
      <c r="I73" s="8" t="n">
        <v>-7872</v>
      </c>
    </row>
    <row r="74" customFormat="false" ht="15" hidden="false" customHeight="false" outlineLevel="0" collapsed="false">
      <c r="A74" s="7" t="s">
        <v>137</v>
      </c>
      <c r="B74" s="20" t="n">
        <v>45077</v>
      </c>
      <c r="C74" s="16" t="n">
        <v>2023</v>
      </c>
      <c r="D74" s="7" t="s">
        <v>136</v>
      </c>
      <c r="E74" s="7" t="s">
        <v>221</v>
      </c>
      <c r="F74" s="7" t="s">
        <v>263</v>
      </c>
      <c r="G74" s="7" t="s">
        <v>264</v>
      </c>
      <c r="H74" s="7" t="s">
        <v>263</v>
      </c>
      <c r="I74" s="8" t="n">
        <v>-1728</v>
      </c>
    </row>
    <row r="75" customFormat="false" ht="15" hidden="false" customHeight="false" outlineLevel="0" collapsed="false">
      <c r="A75" s="7" t="s">
        <v>137</v>
      </c>
      <c r="B75" s="20" t="n">
        <v>45077</v>
      </c>
      <c r="C75" s="16" t="n">
        <v>2023</v>
      </c>
      <c r="D75" s="7" t="s">
        <v>136</v>
      </c>
      <c r="E75" s="7" t="s">
        <v>221</v>
      </c>
      <c r="F75" s="7" t="s">
        <v>222</v>
      </c>
      <c r="G75" s="7" t="s">
        <v>223</v>
      </c>
      <c r="H75" s="7" t="s">
        <v>224</v>
      </c>
      <c r="I75" s="8" t="n">
        <v>-2304</v>
      </c>
    </row>
    <row r="76" customFormat="false" ht="15" hidden="false" customHeight="false" outlineLevel="0" collapsed="false">
      <c r="A76" s="7" t="s">
        <v>137</v>
      </c>
      <c r="B76" s="20" t="n">
        <v>45077</v>
      </c>
      <c r="C76" s="16" t="n">
        <v>2023</v>
      </c>
      <c r="D76" s="7" t="s">
        <v>136</v>
      </c>
      <c r="E76" s="7" t="s">
        <v>225</v>
      </c>
      <c r="F76" s="7" t="s">
        <v>226</v>
      </c>
      <c r="G76" s="7" t="s">
        <v>227</v>
      </c>
      <c r="H76" s="7" t="s">
        <v>228</v>
      </c>
      <c r="I76" s="8" t="n">
        <v>11904</v>
      </c>
    </row>
    <row r="77" customFormat="false" ht="15" hidden="false" customHeight="false" outlineLevel="0" collapsed="false">
      <c r="A77" s="7" t="s">
        <v>137</v>
      </c>
      <c r="B77" s="20" t="n">
        <v>45077</v>
      </c>
      <c r="C77" s="16" t="n">
        <v>2023</v>
      </c>
      <c r="D77" s="7" t="s">
        <v>149</v>
      </c>
      <c r="E77" s="7" t="s">
        <v>221</v>
      </c>
      <c r="F77" s="7" t="s">
        <v>270</v>
      </c>
      <c r="G77" s="7" t="s">
        <v>271</v>
      </c>
      <c r="H77" s="7" t="s">
        <v>272</v>
      </c>
      <c r="I77" s="8" t="n">
        <v>-1318.76</v>
      </c>
    </row>
    <row r="78" customFormat="false" ht="15" hidden="false" customHeight="false" outlineLevel="0" collapsed="false">
      <c r="A78" s="7" t="s">
        <v>137</v>
      </c>
      <c r="B78" s="20" t="n">
        <v>45077</v>
      </c>
      <c r="C78" s="16" t="n">
        <v>2023</v>
      </c>
      <c r="D78" s="7" t="s">
        <v>149</v>
      </c>
      <c r="E78" s="7" t="s">
        <v>221</v>
      </c>
      <c r="F78" s="7" t="s">
        <v>270</v>
      </c>
      <c r="G78" s="7" t="s">
        <v>273</v>
      </c>
      <c r="H78" s="7" t="s">
        <v>274</v>
      </c>
      <c r="I78" s="8" t="n">
        <v>-193.42</v>
      </c>
    </row>
    <row r="79" customFormat="false" ht="15" hidden="false" customHeight="false" outlineLevel="0" collapsed="false">
      <c r="A79" s="7" t="s">
        <v>137</v>
      </c>
      <c r="B79" s="20" t="n">
        <v>45077</v>
      </c>
      <c r="C79" s="16" t="n">
        <v>2023</v>
      </c>
      <c r="D79" s="7" t="s">
        <v>149</v>
      </c>
      <c r="E79" s="7" t="s">
        <v>219</v>
      </c>
      <c r="F79" s="7" t="s">
        <v>187</v>
      </c>
      <c r="G79" s="7" t="s">
        <v>220</v>
      </c>
      <c r="H79" s="7" t="s">
        <v>187</v>
      </c>
      <c r="I79" s="8" t="n">
        <v>-1752.94</v>
      </c>
    </row>
    <row r="80" customFormat="false" ht="15" hidden="false" customHeight="false" outlineLevel="0" collapsed="false">
      <c r="A80" s="7" t="s">
        <v>137</v>
      </c>
      <c r="B80" s="20" t="n">
        <v>45077</v>
      </c>
      <c r="C80" s="16" t="n">
        <v>2023</v>
      </c>
      <c r="D80" s="7" t="s">
        <v>153</v>
      </c>
      <c r="E80" s="7" t="s">
        <v>221</v>
      </c>
      <c r="F80" s="7" t="s">
        <v>270</v>
      </c>
      <c r="G80" s="7" t="s">
        <v>271</v>
      </c>
      <c r="H80" s="7" t="s">
        <v>272</v>
      </c>
      <c r="I80" s="8" t="n">
        <v>-879.17</v>
      </c>
    </row>
    <row r="81" customFormat="false" ht="15" hidden="false" customHeight="false" outlineLevel="0" collapsed="false">
      <c r="A81" s="7" t="s">
        <v>137</v>
      </c>
      <c r="B81" s="20" t="n">
        <v>45077</v>
      </c>
      <c r="C81" s="16" t="n">
        <v>2023</v>
      </c>
      <c r="D81" s="7" t="s">
        <v>153</v>
      </c>
      <c r="E81" s="7" t="s">
        <v>229</v>
      </c>
      <c r="F81" s="7" t="s">
        <v>239</v>
      </c>
      <c r="G81" s="7" t="s">
        <v>240</v>
      </c>
      <c r="H81" s="7" t="s">
        <v>239</v>
      </c>
      <c r="I81" s="8" t="n">
        <v>-247.2</v>
      </c>
    </row>
    <row r="82" customFormat="false" ht="15" hidden="false" customHeight="false" outlineLevel="0" collapsed="false">
      <c r="A82" s="7" t="s">
        <v>137</v>
      </c>
      <c r="B82" s="20" t="n">
        <v>45077</v>
      </c>
      <c r="C82" s="16" t="n">
        <v>2023</v>
      </c>
      <c r="D82" s="7" t="s">
        <v>153</v>
      </c>
      <c r="E82" s="7" t="s">
        <v>229</v>
      </c>
      <c r="F82" s="7" t="s">
        <v>241</v>
      </c>
      <c r="G82" s="7" t="s">
        <v>242</v>
      </c>
      <c r="H82" s="7" t="s">
        <v>243</v>
      </c>
      <c r="I82" s="8" t="n">
        <v>-287.8</v>
      </c>
    </row>
    <row r="83" customFormat="false" ht="15" hidden="false" customHeight="false" outlineLevel="0" collapsed="false">
      <c r="A83" s="7" t="s">
        <v>137</v>
      </c>
      <c r="B83" s="20" t="n">
        <v>45077</v>
      </c>
      <c r="C83" s="16" t="n">
        <v>2023</v>
      </c>
      <c r="D83" s="7" t="s">
        <v>153</v>
      </c>
      <c r="E83" s="7" t="s">
        <v>229</v>
      </c>
      <c r="F83" s="7" t="s">
        <v>233</v>
      </c>
      <c r="G83" s="7" t="s">
        <v>244</v>
      </c>
      <c r="H83" s="7" t="s">
        <v>245</v>
      </c>
      <c r="I83" s="8" t="n">
        <v>-165</v>
      </c>
    </row>
    <row r="84" customFormat="false" ht="15" hidden="false" customHeight="false" outlineLevel="0" collapsed="false">
      <c r="A84" s="7" t="s">
        <v>137</v>
      </c>
      <c r="B84" s="20" t="n">
        <v>45077</v>
      </c>
      <c r="C84" s="16" t="n">
        <v>2023</v>
      </c>
      <c r="D84" s="7" t="s">
        <v>153</v>
      </c>
      <c r="E84" s="7" t="s">
        <v>219</v>
      </c>
      <c r="F84" s="7" t="s">
        <v>187</v>
      </c>
      <c r="G84" s="7" t="s">
        <v>220</v>
      </c>
      <c r="H84" s="7" t="s">
        <v>187</v>
      </c>
      <c r="I84" s="8" t="n">
        <v>-760.06</v>
      </c>
    </row>
    <row r="85" customFormat="false" ht="15" hidden="false" customHeight="false" outlineLevel="0" collapsed="false">
      <c r="A85" s="7" t="s">
        <v>137</v>
      </c>
      <c r="B85" s="20" t="n">
        <v>45077</v>
      </c>
      <c r="C85" s="16" t="n">
        <v>2023</v>
      </c>
      <c r="D85" s="7" t="s">
        <v>153</v>
      </c>
      <c r="E85" s="7" t="s">
        <v>236</v>
      </c>
      <c r="F85" s="7" t="s">
        <v>189</v>
      </c>
      <c r="G85" s="7" t="s">
        <v>237</v>
      </c>
      <c r="H85" s="7" t="s">
        <v>238</v>
      </c>
      <c r="I85" s="8" t="n">
        <v>-98.03</v>
      </c>
    </row>
    <row r="86" customFormat="false" ht="15" hidden="false" customHeight="false" outlineLevel="0" collapsed="false">
      <c r="A86" s="7" t="s">
        <v>137</v>
      </c>
      <c r="B86" s="20" t="n">
        <v>45077</v>
      </c>
      <c r="C86" s="16" t="n">
        <v>2023</v>
      </c>
      <c r="D86" s="7" t="s">
        <v>153</v>
      </c>
      <c r="E86" s="7" t="s">
        <v>236</v>
      </c>
      <c r="F86" s="7" t="s">
        <v>189</v>
      </c>
      <c r="G86" s="7" t="s">
        <v>246</v>
      </c>
      <c r="H86" s="7" t="s">
        <v>247</v>
      </c>
      <c r="I86" s="8" t="n">
        <v>-871.27</v>
      </c>
    </row>
    <row r="87" customFormat="false" ht="15" hidden="false" customHeight="false" outlineLevel="0" collapsed="false">
      <c r="A87" s="7" t="s">
        <v>137</v>
      </c>
      <c r="B87" s="20" t="n">
        <v>45077</v>
      </c>
      <c r="C87" s="16" t="n">
        <v>2023</v>
      </c>
      <c r="D87" s="7" t="s">
        <v>144</v>
      </c>
      <c r="E87" s="7" t="s">
        <v>219</v>
      </c>
      <c r="F87" s="7" t="s">
        <v>187</v>
      </c>
      <c r="G87" s="7" t="s">
        <v>220</v>
      </c>
      <c r="H87" s="7" t="s">
        <v>187</v>
      </c>
      <c r="I87" s="8" t="n">
        <v>-968.59</v>
      </c>
    </row>
    <row r="88" customFormat="false" ht="15" hidden="false" customHeight="false" outlineLevel="0" collapsed="false">
      <c r="A88" s="7" t="s">
        <v>137</v>
      </c>
      <c r="B88" s="20" t="n">
        <v>45077</v>
      </c>
      <c r="C88" s="16" t="n">
        <v>2023</v>
      </c>
      <c r="D88" s="7" t="s">
        <v>146</v>
      </c>
      <c r="E88" s="7" t="s">
        <v>219</v>
      </c>
      <c r="F88" s="7" t="s">
        <v>187</v>
      </c>
      <c r="G88" s="7" t="s">
        <v>220</v>
      </c>
      <c r="H88" s="7" t="s">
        <v>187</v>
      </c>
      <c r="I88" s="8" t="n">
        <v>-576.64</v>
      </c>
    </row>
    <row r="89" customFormat="false" ht="15" hidden="false" customHeight="false" outlineLevel="0" collapsed="false">
      <c r="A89" s="7" t="s">
        <v>137</v>
      </c>
      <c r="B89" s="20" t="n">
        <v>45107</v>
      </c>
      <c r="C89" s="16" t="n">
        <v>2023</v>
      </c>
      <c r="D89" s="7" t="s">
        <v>141</v>
      </c>
      <c r="E89" s="7" t="s">
        <v>221</v>
      </c>
      <c r="F89" s="7" t="s">
        <v>263</v>
      </c>
      <c r="G89" s="7" t="s">
        <v>264</v>
      </c>
      <c r="H89" s="7" t="s">
        <v>263</v>
      </c>
      <c r="I89" s="8" t="n">
        <v>-1800</v>
      </c>
    </row>
    <row r="90" customFormat="false" ht="15" hidden="false" customHeight="false" outlineLevel="0" collapsed="false">
      <c r="A90" s="7" t="s">
        <v>137</v>
      </c>
      <c r="B90" s="20" t="n">
        <v>45107</v>
      </c>
      <c r="C90" s="16" t="n">
        <v>2023</v>
      </c>
      <c r="D90" s="7" t="s">
        <v>141</v>
      </c>
      <c r="E90" s="7" t="s">
        <v>221</v>
      </c>
      <c r="F90" s="7" t="s">
        <v>275</v>
      </c>
      <c r="G90" s="7" t="s">
        <v>276</v>
      </c>
      <c r="H90" s="7" t="s">
        <v>277</v>
      </c>
      <c r="I90" s="8" t="n">
        <v>-4406.25</v>
      </c>
    </row>
    <row r="91" customFormat="false" ht="15" hidden="false" customHeight="false" outlineLevel="0" collapsed="false">
      <c r="A91" s="7" t="s">
        <v>137</v>
      </c>
      <c r="B91" s="20" t="n">
        <v>45107</v>
      </c>
      <c r="C91" s="16" t="n">
        <v>2023</v>
      </c>
      <c r="D91" s="7" t="s">
        <v>141</v>
      </c>
      <c r="E91" s="7" t="s">
        <v>219</v>
      </c>
      <c r="F91" s="7" t="s">
        <v>187</v>
      </c>
      <c r="G91" s="7" t="s">
        <v>220</v>
      </c>
      <c r="H91" s="7" t="s">
        <v>187</v>
      </c>
      <c r="I91" s="8" t="n">
        <v>-1545.58</v>
      </c>
    </row>
    <row r="92" customFormat="false" ht="15" hidden="false" customHeight="false" outlineLevel="0" collapsed="false">
      <c r="A92" s="7" t="s">
        <v>137</v>
      </c>
      <c r="B92" s="20" t="n">
        <v>45107</v>
      </c>
      <c r="C92" s="16" t="n">
        <v>2023</v>
      </c>
      <c r="D92" s="7" t="s">
        <v>141</v>
      </c>
      <c r="E92" s="7" t="s">
        <v>225</v>
      </c>
      <c r="F92" s="7" t="s">
        <v>226</v>
      </c>
      <c r="G92" s="7" t="s">
        <v>227</v>
      </c>
      <c r="H92" s="7" t="s">
        <v>228</v>
      </c>
      <c r="I92" s="8" t="n">
        <v>6206.25</v>
      </c>
    </row>
    <row r="93" customFormat="false" ht="15" hidden="false" customHeight="false" outlineLevel="0" collapsed="false">
      <c r="A93" s="7" t="s">
        <v>137</v>
      </c>
      <c r="B93" s="20" t="n">
        <v>45107</v>
      </c>
      <c r="C93" s="16" t="n">
        <v>2023</v>
      </c>
      <c r="D93" s="7" t="s">
        <v>136</v>
      </c>
      <c r="E93" s="7" t="s">
        <v>221</v>
      </c>
      <c r="F93" s="7" t="s">
        <v>263</v>
      </c>
      <c r="G93" s="7" t="s">
        <v>264</v>
      </c>
      <c r="H93" s="7" t="s">
        <v>263</v>
      </c>
      <c r="I93" s="8" t="n">
        <v>-1344</v>
      </c>
    </row>
    <row r="94" customFormat="false" ht="15" hidden="false" customHeight="false" outlineLevel="0" collapsed="false">
      <c r="A94" s="7" t="s">
        <v>137</v>
      </c>
      <c r="B94" s="20" t="n">
        <v>45107</v>
      </c>
      <c r="C94" s="16" t="n">
        <v>2023</v>
      </c>
      <c r="D94" s="7" t="s">
        <v>136</v>
      </c>
      <c r="E94" s="7" t="s">
        <v>221</v>
      </c>
      <c r="F94" s="7" t="s">
        <v>222</v>
      </c>
      <c r="G94" s="7" t="s">
        <v>223</v>
      </c>
      <c r="H94" s="7" t="s">
        <v>224</v>
      </c>
      <c r="I94" s="8" t="n">
        <v>-864</v>
      </c>
    </row>
    <row r="95" customFormat="false" ht="15" hidden="false" customHeight="false" outlineLevel="0" collapsed="false">
      <c r="A95" s="7" t="s">
        <v>137</v>
      </c>
      <c r="B95" s="20" t="n">
        <v>45107</v>
      </c>
      <c r="C95" s="16" t="n">
        <v>2023</v>
      </c>
      <c r="D95" s="7" t="s">
        <v>136</v>
      </c>
      <c r="E95" s="7" t="s">
        <v>225</v>
      </c>
      <c r="F95" s="7" t="s">
        <v>226</v>
      </c>
      <c r="G95" s="7" t="s">
        <v>227</v>
      </c>
      <c r="H95" s="7" t="s">
        <v>228</v>
      </c>
      <c r="I95" s="8" t="n">
        <v>2208</v>
      </c>
    </row>
    <row r="96" customFormat="false" ht="15" hidden="false" customHeight="false" outlineLevel="0" collapsed="false">
      <c r="A96" s="7" t="s">
        <v>137</v>
      </c>
      <c r="B96" s="20" t="n">
        <v>45107</v>
      </c>
      <c r="C96" s="16" t="n">
        <v>2023</v>
      </c>
      <c r="D96" s="7" t="s">
        <v>149</v>
      </c>
      <c r="E96" s="7" t="s">
        <v>248</v>
      </c>
      <c r="F96" s="7" t="s">
        <v>278</v>
      </c>
      <c r="G96" s="7" t="s">
        <v>279</v>
      </c>
      <c r="H96" s="7" t="s">
        <v>280</v>
      </c>
      <c r="I96" s="8" t="n">
        <v>46778</v>
      </c>
    </row>
    <row r="97" customFormat="false" ht="15" hidden="false" customHeight="false" outlineLevel="0" collapsed="false">
      <c r="A97" s="7" t="s">
        <v>137</v>
      </c>
      <c r="B97" s="20" t="n">
        <v>45107</v>
      </c>
      <c r="C97" s="16" t="n">
        <v>2023</v>
      </c>
      <c r="D97" s="7" t="s">
        <v>149</v>
      </c>
      <c r="E97" s="7" t="s">
        <v>248</v>
      </c>
      <c r="F97" s="7" t="s">
        <v>278</v>
      </c>
      <c r="G97" s="7" t="s">
        <v>281</v>
      </c>
      <c r="H97" s="7" t="s">
        <v>282</v>
      </c>
      <c r="I97" s="8" t="n">
        <v>3683.16</v>
      </c>
    </row>
    <row r="98" customFormat="false" ht="15" hidden="false" customHeight="false" outlineLevel="0" collapsed="false">
      <c r="A98" s="7" t="s">
        <v>137</v>
      </c>
      <c r="B98" s="20" t="n">
        <v>45107</v>
      </c>
      <c r="C98" s="16" t="n">
        <v>2023</v>
      </c>
      <c r="D98" s="7" t="s">
        <v>149</v>
      </c>
      <c r="E98" s="7" t="s">
        <v>221</v>
      </c>
      <c r="F98" s="7" t="s">
        <v>270</v>
      </c>
      <c r="G98" s="7" t="s">
        <v>271</v>
      </c>
      <c r="H98" s="7" t="s">
        <v>272</v>
      </c>
      <c r="I98" s="8" t="n">
        <v>-1978.31</v>
      </c>
    </row>
    <row r="99" customFormat="false" ht="15" hidden="false" customHeight="false" outlineLevel="0" collapsed="false">
      <c r="A99" s="7" t="s">
        <v>137</v>
      </c>
      <c r="B99" s="20" t="n">
        <v>45107</v>
      </c>
      <c r="C99" s="16" t="n">
        <v>2023</v>
      </c>
      <c r="D99" s="7" t="s">
        <v>149</v>
      </c>
      <c r="E99" s="7" t="s">
        <v>221</v>
      </c>
      <c r="F99" s="7" t="s">
        <v>270</v>
      </c>
      <c r="G99" s="7" t="s">
        <v>273</v>
      </c>
      <c r="H99" s="7" t="s">
        <v>274</v>
      </c>
      <c r="I99" s="8" t="n">
        <v>-290.16</v>
      </c>
    </row>
    <row r="100" customFormat="false" ht="15" hidden="false" customHeight="false" outlineLevel="0" collapsed="false">
      <c r="A100" s="7" t="s">
        <v>137</v>
      </c>
      <c r="B100" s="20" t="n">
        <v>45107</v>
      </c>
      <c r="C100" s="16" t="n">
        <v>2023</v>
      </c>
      <c r="D100" s="7" t="s">
        <v>149</v>
      </c>
      <c r="E100" s="7" t="s">
        <v>221</v>
      </c>
      <c r="F100" s="7" t="s">
        <v>260</v>
      </c>
      <c r="G100" s="7" t="s">
        <v>261</v>
      </c>
      <c r="H100" s="7" t="s">
        <v>262</v>
      </c>
      <c r="I100" s="8" t="n">
        <v>-5576</v>
      </c>
    </row>
    <row r="101" customFormat="false" ht="15" hidden="false" customHeight="false" outlineLevel="0" collapsed="false">
      <c r="A101" s="7" t="s">
        <v>137</v>
      </c>
      <c r="B101" s="20" t="n">
        <v>45107</v>
      </c>
      <c r="C101" s="16" t="n">
        <v>2023</v>
      </c>
      <c r="D101" s="7" t="s">
        <v>149</v>
      </c>
      <c r="E101" s="7" t="s">
        <v>221</v>
      </c>
      <c r="F101" s="7" t="s">
        <v>283</v>
      </c>
      <c r="G101" s="7" t="s">
        <v>284</v>
      </c>
      <c r="H101" s="7" t="s">
        <v>285</v>
      </c>
      <c r="I101" s="8" t="n">
        <v>-1850</v>
      </c>
    </row>
    <row r="102" customFormat="false" ht="15" hidden="false" customHeight="false" outlineLevel="0" collapsed="false">
      <c r="A102" s="7" t="s">
        <v>137</v>
      </c>
      <c r="B102" s="20" t="n">
        <v>45107</v>
      </c>
      <c r="C102" s="16" t="n">
        <v>2023</v>
      </c>
      <c r="D102" s="7" t="s">
        <v>149</v>
      </c>
      <c r="E102" s="7" t="s">
        <v>219</v>
      </c>
      <c r="F102" s="7" t="s">
        <v>187</v>
      </c>
      <c r="G102" s="7" t="s">
        <v>220</v>
      </c>
      <c r="H102" s="7" t="s">
        <v>187</v>
      </c>
      <c r="I102" s="8" t="n">
        <v>-1752.94</v>
      </c>
    </row>
    <row r="103" customFormat="false" ht="15" hidden="false" customHeight="false" outlineLevel="0" collapsed="false">
      <c r="A103" s="7" t="s">
        <v>137</v>
      </c>
      <c r="B103" s="20" t="n">
        <v>45107</v>
      </c>
      <c r="C103" s="16" t="n">
        <v>2023</v>
      </c>
      <c r="D103" s="7" t="s">
        <v>153</v>
      </c>
      <c r="E103" s="7" t="s">
        <v>221</v>
      </c>
      <c r="F103" s="7" t="s">
        <v>270</v>
      </c>
      <c r="G103" s="7" t="s">
        <v>271</v>
      </c>
      <c r="H103" s="7" t="s">
        <v>272</v>
      </c>
      <c r="I103" s="8" t="n">
        <v>-1318.87</v>
      </c>
    </row>
    <row r="104" customFormat="false" ht="15" hidden="false" customHeight="false" outlineLevel="0" collapsed="false">
      <c r="A104" s="7" t="s">
        <v>137</v>
      </c>
      <c r="B104" s="20" t="n">
        <v>45107</v>
      </c>
      <c r="C104" s="16" t="n">
        <v>2023</v>
      </c>
      <c r="D104" s="7" t="s">
        <v>153</v>
      </c>
      <c r="E104" s="7" t="s">
        <v>229</v>
      </c>
      <c r="F104" s="7" t="s">
        <v>239</v>
      </c>
      <c r="G104" s="7" t="s">
        <v>240</v>
      </c>
      <c r="H104" s="7" t="s">
        <v>239</v>
      </c>
      <c r="I104" s="8" t="n">
        <v>-270.42</v>
      </c>
    </row>
    <row r="105" customFormat="false" ht="15" hidden="false" customHeight="false" outlineLevel="0" collapsed="false">
      <c r="A105" s="7" t="s">
        <v>137</v>
      </c>
      <c r="B105" s="20" t="n">
        <v>45107</v>
      </c>
      <c r="C105" s="16" t="n">
        <v>2023</v>
      </c>
      <c r="D105" s="7" t="s">
        <v>153</v>
      </c>
      <c r="E105" s="7" t="s">
        <v>229</v>
      </c>
      <c r="F105" s="7" t="s">
        <v>241</v>
      </c>
      <c r="G105" s="7" t="s">
        <v>242</v>
      </c>
      <c r="H105" s="7" t="s">
        <v>243</v>
      </c>
      <c r="I105" s="8" t="n">
        <v>-340.57</v>
      </c>
    </row>
    <row r="106" customFormat="false" ht="15" hidden="false" customHeight="false" outlineLevel="0" collapsed="false">
      <c r="A106" s="7" t="s">
        <v>137</v>
      </c>
      <c r="B106" s="20" t="n">
        <v>45107</v>
      </c>
      <c r="C106" s="16" t="n">
        <v>2023</v>
      </c>
      <c r="D106" s="7" t="s">
        <v>153</v>
      </c>
      <c r="E106" s="7" t="s">
        <v>229</v>
      </c>
      <c r="F106" s="7" t="s">
        <v>233</v>
      </c>
      <c r="G106" s="7" t="s">
        <v>244</v>
      </c>
      <c r="H106" s="7" t="s">
        <v>245</v>
      </c>
      <c r="I106" s="8" t="n">
        <v>-165</v>
      </c>
    </row>
    <row r="107" customFormat="false" ht="15" hidden="false" customHeight="false" outlineLevel="0" collapsed="false">
      <c r="A107" s="7" t="s">
        <v>137</v>
      </c>
      <c r="B107" s="20" t="n">
        <v>45107</v>
      </c>
      <c r="C107" s="16" t="n">
        <v>2023</v>
      </c>
      <c r="D107" s="7" t="s">
        <v>153</v>
      </c>
      <c r="E107" s="7" t="s">
        <v>219</v>
      </c>
      <c r="F107" s="7" t="s">
        <v>187</v>
      </c>
      <c r="G107" s="7" t="s">
        <v>220</v>
      </c>
      <c r="H107" s="7" t="s">
        <v>187</v>
      </c>
      <c r="I107" s="8" t="n">
        <v>-760.07</v>
      </c>
    </row>
    <row r="108" customFormat="false" ht="15" hidden="false" customHeight="false" outlineLevel="0" collapsed="false">
      <c r="A108" s="7" t="s">
        <v>137</v>
      </c>
      <c r="B108" s="20" t="n">
        <v>45107</v>
      </c>
      <c r="C108" s="16" t="n">
        <v>2023</v>
      </c>
      <c r="D108" s="7" t="s">
        <v>153</v>
      </c>
      <c r="E108" s="7" t="s">
        <v>236</v>
      </c>
      <c r="F108" s="7" t="s">
        <v>189</v>
      </c>
      <c r="G108" s="7" t="s">
        <v>237</v>
      </c>
      <c r="H108" s="7" t="s">
        <v>238</v>
      </c>
      <c r="I108" s="8" t="n">
        <v>-95.6</v>
      </c>
    </row>
    <row r="109" customFormat="false" ht="15" hidden="false" customHeight="false" outlineLevel="0" collapsed="false">
      <c r="A109" s="7" t="s">
        <v>137</v>
      </c>
      <c r="B109" s="20" t="n">
        <v>45107</v>
      </c>
      <c r="C109" s="16" t="n">
        <v>2023</v>
      </c>
      <c r="D109" s="7" t="s">
        <v>153</v>
      </c>
      <c r="E109" s="7" t="s">
        <v>236</v>
      </c>
      <c r="F109" s="7" t="s">
        <v>189</v>
      </c>
      <c r="G109" s="7" t="s">
        <v>246</v>
      </c>
      <c r="H109" s="7" t="s">
        <v>247</v>
      </c>
      <c r="I109" s="8" t="n">
        <v>-1120.14</v>
      </c>
    </row>
    <row r="110" customFormat="false" ht="15" hidden="false" customHeight="false" outlineLevel="0" collapsed="false">
      <c r="A110" s="7" t="s">
        <v>137</v>
      </c>
      <c r="B110" s="20" t="n">
        <v>45107</v>
      </c>
      <c r="C110" s="16" t="n">
        <v>2023</v>
      </c>
      <c r="D110" s="7" t="s">
        <v>144</v>
      </c>
      <c r="E110" s="7" t="s">
        <v>219</v>
      </c>
      <c r="F110" s="7" t="s">
        <v>187</v>
      </c>
      <c r="G110" s="7" t="s">
        <v>220</v>
      </c>
      <c r="H110" s="7" t="s">
        <v>187</v>
      </c>
      <c r="I110" s="8" t="n">
        <v>-968.57</v>
      </c>
    </row>
    <row r="111" customFormat="false" ht="15" hidden="false" customHeight="false" outlineLevel="0" collapsed="false">
      <c r="A111" s="7" t="s">
        <v>137</v>
      </c>
      <c r="B111" s="20" t="n">
        <v>45107</v>
      </c>
      <c r="C111" s="16" t="n">
        <v>2023</v>
      </c>
      <c r="D111" s="7" t="s">
        <v>146</v>
      </c>
      <c r="E111" s="7" t="s">
        <v>248</v>
      </c>
      <c r="F111" s="7" t="s">
        <v>249</v>
      </c>
      <c r="G111" s="7" t="s">
        <v>250</v>
      </c>
      <c r="H111" s="7" t="s">
        <v>251</v>
      </c>
      <c r="I111" s="8" t="n">
        <v>11814.72</v>
      </c>
    </row>
    <row r="112" customFormat="false" ht="15" hidden="false" customHeight="false" outlineLevel="0" collapsed="false">
      <c r="A112" s="7" t="s">
        <v>137</v>
      </c>
      <c r="B112" s="20" t="n">
        <v>45107</v>
      </c>
      <c r="C112" s="16" t="n">
        <v>2023</v>
      </c>
      <c r="D112" s="7" t="s">
        <v>146</v>
      </c>
      <c r="E112" s="7" t="s">
        <v>221</v>
      </c>
      <c r="F112" s="7" t="s">
        <v>267</v>
      </c>
      <c r="G112" s="7" t="s">
        <v>268</v>
      </c>
      <c r="H112" s="7" t="s">
        <v>269</v>
      </c>
      <c r="I112" s="8" t="n">
        <v>-660.44</v>
      </c>
    </row>
    <row r="113" customFormat="false" ht="15" hidden="false" customHeight="false" outlineLevel="0" collapsed="false">
      <c r="A113" s="7" t="s">
        <v>137</v>
      </c>
      <c r="B113" s="20" t="n">
        <v>45107</v>
      </c>
      <c r="C113" s="16" t="n">
        <v>2023</v>
      </c>
      <c r="D113" s="7" t="s">
        <v>146</v>
      </c>
      <c r="E113" s="7" t="s">
        <v>219</v>
      </c>
      <c r="F113" s="7" t="s">
        <v>187</v>
      </c>
      <c r="G113" s="7" t="s">
        <v>220</v>
      </c>
      <c r="H113" s="7" t="s">
        <v>187</v>
      </c>
      <c r="I113" s="8" t="n">
        <v>-576.64</v>
      </c>
    </row>
    <row r="114" customFormat="false" ht="15" hidden="false" customHeight="false" outlineLevel="0" collapsed="false">
      <c r="A114" s="7" t="s">
        <v>137</v>
      </c>
      <c r="B114" s="20" t="n">
        <v>45107</v>
      </c>
      <c r="C114" s="16" t="n">
        <v>2023</v>
      </c>
      <c r="D114" s="7" t="s">
        <v>146</v>
      </c>
      <c r="E114" s="7" t="s">
        <v>225</v>
      </c>
      <c r="F114" s="7" t="s">
        <v>226</v>
      </c>
      <c r="G114" s="7" t="s">
        <v>227</v>
      </c>
      <c r="H114" s="7" t="s">
        <v>228</v>
      </c>
      <c r="I114" s="8" t="n">
        <v>-3588.8</v>
      </c>
    </row>
    <row r="115" customFormat="false" ht="15" hidden="false" customHeight="false" outlineLevel="0" collapsed="false">
      <c r="A115" s="7" t="s">
        <v>137</v>
      </c>
      <c r="B115" s="20" t="n">
        <v>45138</v>
      </c>
      <c r="C115" s="16" t="n">
        <v>2023</v>
      </c>
      <c r="D115" s="7" t="s">
        <v>141</v>
      </c>
      <c r="E115" s="7" t="s">
        <v>221</v>
      </c>
      <c r="F115" s="7" t="s">
        <v>263</v>
      </c>
      <c r="G115" s="7" t="s">
        <v>264</v>
      </c>
      <c r="H115" s="7" t="s">
        <v>263</v>
      </c>
      <c r="I115" s="8" t="n">
        <v>-3500</v>
      </c>
    </row>
    <row r="116" customFormat="false" ht="15" hidden="false" customHeight="false" outlineLevel="0" collapsed="false">
      <c r="A116" s="7" t="s">
        <v>137</v>
      </c>
      <c r="B116" s="20" t="n">
        <v>45138</v>
      </c>
      <c r="C116" s="16" t="n">
        <v>2023</v>
      </c>
      <c r="D116" s="7" t="s">
        <v>141</v>
      </c>
      <c r="E116" s="7" t="s">
        <v>221</v>
      </c>
      <c r="F116" s="7" t="s">
        <v>275</v>
      </c>
      <c r="G116" s="7" t="s">
        <v>276</v>
      </c>
      <c r="H116" s="7" t="s">
        <v>277</v>
      </c>
      <c r="I116" s="8" t="n">
        <v>-7931.25</v>
      </c>
    </row>
    <row r="117" customFormat="false" ht="15" hidden="false" customHeight="false" outlineLevel="0" collapsed="false">
      <c r="A117" s="7" t="s">
        <v>137</v>
      </c>
      <c r="B117" s="20" t="n">
        <v>45138</v>
      </c>
      <c r="C117" s="16" t="n">
        <v>2023</v>
      </c>
      <c r="D117" s="7" t="s">
        <v>141</v>
      </c>
      <c r="E117" s="7" t="s">
        <v>219</v>
      </c>
      <c r="F117" s="7" t="s">
        <v>187</v>
      </c>
      <c r="G117" s="7" t="s">
        <v>220</v>
      </c>
      <c r="H117" s="7" t="s">
        <v>187</v>
      </c>
      <c r="I117" s="8" t="n">
        <v>-1545.58</v>
      </c>
    </row>
    <row r="118" customFormat="false" ht="15" hidden="false" customHeight="false" outlineLevel="0" collapsed="false">
      <c r="A118" s="7" t="s">
        <v>137</v>
      </c>
      <c r="B118" s="20" t="n">
        <v>45138</v>
      </c>
      <c r="C118" s="16" t="n">
        <v>2023</v>
      </c>
      <c r="D118" s="7" t="s">
        <v>141</v>
      </c>
      <c r="E118" s="7" t="s">
        <v>225</v>
      </c>
      <c r="F118" s="7" t="s">
        <v>226</v>
      </c>
      <c r="G118" s="7" t="s">
        <v>227</v>
      </c>
      <c r="H118" s="7" t="s">
        <v>228</v>
      </c>
      <c r="I118" s="8" t="n">
        <v>11431.25</v>
      </c>
    </row>
    <row r="119" customFormat="false" ht="15" hidden="false" customHeight="false" outlineLevel="0" collapsed="false">
      <c r="A119" s="7" t="s">
        <v>137</v>
      </c>
      <c r="B119" s="20" t="n">
        <v>45138</v>
      </c>
      <c r="C119" s="16" t="n">
        <v>2023</v>
      </c>
      <c r="D119" s="7" t="s">
        <v>149</v>
      </c>
      <c r="E119" s="7" t="s">
        <v>248</v>
      </c>
      <c r="F119" s="7" t="s">
        <v>278</v>
      </c>
      <c r="G119" s="7" t="s">
        <v>279</v>
      </c>
      <c r="H119" s="7" t="s">
        <v>280</v>
      </c>
      <c r="I119" s="8" t="n">
        <v>14858</v>
      </c>
    </row>
    <row r="120" customFormat="false" ht="15" hidden="false" customHeight="false" outlineLevel="0" collapsed="false">
      <c r="A120" s="7" t="s">
        <v>137</v>
      </c>
      <c r="B120" s="20" t="n">
        <v>45138</v>
      </c>
      <c r="C120" s="16" t="n">
        <v>2023</v>
      </c>
      <c r="D120" s="7" t="s">
        <v>149</v>
      </c>
      <c r="E120" s="7" t="s">
        <v>248</v>
      </c>
      <c r="F120" s="7" t="s">
        <v>278</v>
      </c>
      <c r="G120" s="7" t="s">
        <v>281</v>
      </c>
      <c r="H120" s="7" t="s">
        <v>282</v>
      </c>
      <c r="I120" s="8" t="n">
        <v>1169.87</v>
      </c>
    </row>
    <row r="121" customFormat="false" ht="15" hidden="false" customHeight="false" outlineLevel="0" collapsed="false">
      <c r="A121" s="7" t="s">
        <v>137</v>
      </c>
      <c r="B121" s="20" t="n">
        <v>45138</v>
      </c>
      <c r="C121" s="16" t="n">
        <v>2023</v>
      </c>
      <c r="D121" s="7" t="s">
        <v>149</v>
      </c>
      <c r="E121" s="7" t="s">
        <v>221</v>
      </c>
      <c r="F121" s="7" t="s">
        <v>270</v>
      </c>
      <c r="G121" s="7" t="s">
        <v>271</v>
      </c>
      <c r="H121" s="7" t="s">
        <v>272</v>
      </c>
      <c r="I121" s="8" t="n">
        <v>-1863.38</v>
      </c>
    </row>
    <row r="122" customFormat="false" ht="15" hidden="false" customHeight="false" outlineLevel="0" collapsed="false">
      <c r="A122" s="7" t="s">
        <v>137</v>
      </c>
      <c r="B122" s="20" t="n">
        <v>45138</v>
      </c>
      <c r="C122" s="16" t="n">
        <v>2023</v>
      </c>
      <c r="D122" s="7" t="s">
        <v>149</v>
      </c>
      <c r="E122" s="7" t="s">
        <v>221</v>
      </c>
      <c r="F122" s="7" t="s">
        <v>270</v>
      </c>
      <c r="G122" s="7" t="s">
        <v>273</v>
      </c>
      <c r="H122" s="7" t="s">
        <v>274</v>
      </c>
      <c r="I122" s="8" t="n">
        <v>-273.29</v>
      </c>
    </row>
    <row r="123" customFormat="false" ht="15" hidden="false" customHeight="false" outlineLevel="0" collapsed="false">
      <c r="A123" s="7" t="s">
        <v>137</v>
      </c>
      <c r="B123" s="20" t="n">
        <v>45138</v>
      </c>
      <c r="C123" s="16" t="n">
        <v>2023</v>
      </c>
      <c r="D123" s="7" t="s">
        <v>149</v>
      </c>
      <c r="E123" s="7" t="s">
        <v>221</v>
      </c>
      <c r="F123" s="7" t="s">
        <v>267</v>
      </c>
      <c r="G123" s="7" t="s">
        <v>268</v>
      </c>
      <c r="H123" s="7" t="s">
        <v>269</v>
      </c>
      <c r="I123" s="8" t="n">
        <v>-9294.25</v>
      </c>
    </row>
    <row r="124" customFormat="false" ht="15" hidden="false" customHeight="false" outlineLevel="0" collapsed="false">
      <c r="A124" s="7" t="s">
        <v>137</v>
      </c>
      <c r="B124" s="20" t="n">
        <v>45138</v>
      </c>
      <c r="C124" s="16" t="n">
        <v>2023</v>
      </c>
      <c r="D124" s="7" t="s">
        <v>149</v>
      </c>
      <c r="E124" s="7" t="s">
        <v>219</v>
      </c>
      <c r="F124" s="7" t="s">
        <v>187</v>
      </c>
      <c r="G124" s="7" t="s">
        <v>220</v>
      </c>
      <c r="H124" s="7" t="s">
        <v>187</v>
      </c>
      <c r="I124" s="8" t="n">
        <v>-1752.94</v>
      </c>
    </row>
    <row r="125" customFormat="false" ht="15" hidden="false" customHeight="false" outlineLevel="0" collapsed="false">
      <c r="A125" s="7" t="s">
        <v>137</v>
      </c>
      <c r="B125" s="20" t="n">
        <v>45138</v>
      </c>
      <c r="C125" s="16" t="n">
        <v>2023</v>
      </c>
      <c r="D125" s="7" t="s">
        <v>153</v>
      </c>
      <c r="E125" s="7" t="s">
        <v>221</v>
      </c>
      <c r="F125" s="7" t="s">
        <v>270</v>
      </c>
      <c r="G125" s="7" t="s">
        <v>271</v>
      </c>
      <c r="H125" s="7" t="s">
        <v>272</v>
      </c>
      <c r="I125" s="8" t="n">
        <v>-1242.25</v>
      </c>
    </row>
    <row r="126" customFormat="false" ht="15" hidden="false" customHeight="false" outlineLevel="0" collapsed="false">
      <c r="A126" s="7" t="s">
        <v>137</v>
      </c>
      <c r="B126" s="20" t="n">
        <v>45138</v>
      </c>
      <c r="C126" s="16" t="n">
        <v>2023</v>
      </c>
      <c r="D126" s="7" t="s">
        <v>153</v>
      </c>
      <c r="E126" s="7" t="s">
        <v>229</v>
      </c>
      <c r="F126" s="7" t="s">
        <v>239</v>
      </c>
      <c r="G126" s="7" t="s">
        <v>240</v>
      </c>
      <c r="H126" s="7" t="s">
        <v>239</v>
      </c>
      <c r="I126" s="8" t="n">
        <v>-267.75</v>
      </c>
    </row>
    <row r="127" customFormat="false" ht="15" hidden="false" customHeight="false" outlineLevel="0" collapsed="false">
      <c r="A127" s="7" t="s">
        <v>137</v>
      </c>
      <c r="B127" s="20" t="n">
        <v>45138</v>
      </c>
      <c r="C127" s="16" t="n">
        <v>2023</v>
      </c>
      <c r="D127" s="7" t="s">
        <v>153</v>
      </c>
      <c r="E127" s="7" t="s">
        <v>229</v>
      </c>
      <c r="F127" s="7" t="s">
        <v>241</v>
      </c>
      <c r="G127" s="7" t="s">
        <v>242</v>
      </c>
      <c r="H127" s="7" t="s">
        <v>243</v>
      </c>
      <c r="I127" s="8" t="n">
        <v>-255.28</v>
      </c>
    </row>
    <row r="128" customFormat="false" ht="15" hidden="false" customHeight="false" outlineLevel="0" collapsed="false">
      <c r="A128" s="7" t="s">
        <v>137</v>
      </c>
      <c r="B128" s="20" t="n">
        <v>45138</v>
      </c>
      <c r="C128" s="16" t="n">
        <v>2023</v>
      </c>
      <c r="D128" s="7" t="s">
        <v>153</v>
      </c>
      <c r="E128" s="7" t="s">
        <v>229</v>
      </c>
      <c r="F128" s="7" t="s">
        <v>233</v>
      </c>
      <c r="G128" s="7" t="s">
        <v>244</v>
      </c>
      <c r="H128" s="7" t="s">
        <v>245</v>
      </c>
      <c r="I128" s="8" t="n">
        <v>-165</v>
      </c>
    </row>
    <row r="129" customFormat="false" ht="15" hidden="false" customHeight="false" outlineLevel="0" collapsed="false">
      <c r="A129" s="7" t="s">
        <v>137</v>
      </c>
      <c r="B129" s="20" t="n">
        <v>45138</v>
      </c>
      <c r="C129" s="16" t="n">
        <v>2023</v>
      </c>
      <c r="D129" s="7" t="s">
        <v>153</v>
      </c>
      <c r="E129" s="7" t="s">
        <v>219</v>
      </c>
      <c r="F129" s="7" t="s">
        <v>187</v>
      </c>
      <c r="G129" s="7" t="s">
        <v>220</v>
      </c>
      <c r="H129" s="7" t="s">
        <v>187</v>
      </c>
      <c r="I129" s="8" t="n">
        <v>-760.07</v>
      </c>
    </row>
    <row r="130" customFormat="false" ht="15" hidden="false" customHeight="false" outlineLevel="0" collapsed="false">
      <c r="A130" s="7" t="s">
        <v>137</v>
      </c>
      <c r="B130" s="20" t="n">
        <v>45138</v>
      </c>
      <c r="C130" s="16" t="n">
        <v>2023</v>
      </c>
      <c r="D130" s="7" t="s">
        <v>153</v>
      </c>
      <c r="E130" s="7" t="s">
        <v>236</v>
      </c>
      <c r="F130" s="7" t="s">
        <v>189</v>
      </c>
      <c r="G130" s="7" t="s">
        <v>237</v>
      </c>
      <c r="H130" s="7" t="s">
        <v>238</v>
      </c>
      <c r="I130" s="8" t="n">
        <v>-93.17</v>
      </c>
    </row>
    <row r="131" customFormat="false" ht="15" hidden="false" customHeight="false" outlineLevel="0" collapsed="false">
      <c r="A131" s="7" t="s">
        <v>137</v>
      </c>
      <c r="B131" s="20" t="n">
        <v>45138</v>
      </c>
      <c r="C131" s="16" t="n">
        <v>2023</v>
      </c>
      <c r="D131" s="7" t="s">
        <v>153</v>
      </c>
      <c r="E131" s="7" t="s">
        <v>236</v>
      </c>
      <c r="F131" s="7" t="s">
        <v>189</v>
      </c>
      <c r="G131" s="7" t="s">
        <v>246</v>
      </c>
      <c r="H131" s="7" t="s">
        <v>247</v>
      </c>
      <c r="I131" s="8" t="n">
        <v>-1410.68</v>
      </c>
    </row>
    <row r="132" customFormat="false" ht="15" hidden="false" customHeight="false" outlineLevel="0" collapsed="false">
      <c r="A132" s="7" t="s">
        <v>137</v>
      </c>
      <c r="B132" s="20" t="n">
        <v>45138</v>
      </c>
      <c r="C132" s="16" t="n">
        <v>2023</v>
      </c>
      <c r="D132" s="7" t="s">
        <v>144</v>
      </c>
      <c r="E132" s="7" t="s">
        <v>219</v>
      </c>
      <c r="F132" s="7" t="s">
        <v>187</v>
      </c>
      <c r="G132" s="7" t="s">
        <v>220</v>
      </c>
      <c r="H132" s="7" t="s">
        <v>187</v>
      </c>
      <c r="I132" s="8" t="n">
        <v>-968.59</v>
      </c>
    </row>
    <row r="133" customFormat="false" ht="15" hidden="false" customHeight="false" outlineLevel="0" collapsed="false">
      <c r="A133" s="7" t="s">
        <v>137</v>
      </c>
      <c r="B133" s="20" t="n">
        <v>45138</v>
      </c>
      <c r="C133" s="16" t="n">
        <v>2023</v>
      </c>
      <c r="D133" s="7" t="s">
        <v>146</v>
      </c>
      <c r="E133" s="7" t="s">
        <v>221</v>
      </c>
      <c r="F133" s="7" t="s">
        <v>260</v>
      </c>
      <c r="G133" s="7" t="s">
        <v>261</v>
      </c>
      <c r="H133" s="7" t="s">
        <v>262</v>
      </c>
      <c r="I133" s="8" t="n">
        <v>-1280</v>
      </c>
    </row>
    <row r="134" customFormat="false" ht="15" hidden="false" customHeight="false" outlineLevel="0" collapsed="false">
      <c r="A134" s="7" t="s">
        <v>137</v>
      </c>
      <c r="B134" s="20" t="n">
        <v>45138</v>
      </c>
      <c r="C134" s="16" t="n">
        <v>2023</v>
      </c>
      <c r="D134" s="7" t="s">
        <v>146</v>
      </c>
      <c r="E134" s="7" t="s">
        <v>219</v>
      </c>
      <c r="F134" s="7" t="s">
        <v>187</v>
      </c>
      <c r="G134" s="7" t="s">
        <v>220</v>
      </c>
      <c r="H134" s="7" t="s">
        <v>187</v>
      </c>
      <c r="I134" s="8" t="n">
        <v>-576.65</v>
      </c>
    </row>
    <row r="135" customFormat="false" ht="15" hidden="false" customHeight="false" outlineLevel="0" collapsed="false">
      <c r="A135" s="7" t="s">
        <v>137</v>
      </c>
      <c r="B135" s="20" t="n">
        <v>45138</v>
      </c>
      <c r="C135" s="16" t="n">
        <v>2023</v>
      </c>
      <c r="D135" s="7" t="s">
        <v>146</v>
      </c>
      <c r="E135" s="7" t="s">
        <v>225</v>
      </c>
      <c r="F135" s="7" t="s">
        <v>226</v>
      </c>
      <c r="G135" s="7" t="s">
        <v>227</v>
      </c>
      <c r="H135" s="7" t="s">
        <v>228</v>
      </c>
      <c r="I135" s="8" t="n">
        <v>-367.04</v>
      </c>
    </row>
    <row r="136" customFormat="false" ht="15" hidden="false" customHeight="false" outlineLevel="0" collapsed="false">
      <c r="A136" s="7" t="s">
        <v>137</v>
      </c>
      <c r="B136" s="20" t="n">
        <v>45169</v>
      </c>
      <c r="C136" s="16" t="n">
        <v>2023</v>
      </c>
      <c r="D136" s="7" t="s">
        <v>141</v>
      </c>
      <c r="E136" s="7" t="s">
        <v>221</v>
      </c>
      <c r="F136" s="7" t="s">
        <v>260</v>
      </c>
      <c r="G136" s="7" t="s">
        <v>261</v>
      </c>
      <c r="H136" s="7" t="s">
        <v>262</v>
      </c>
      <c r="I136" s="8" t="n">
        <v>-510</v>
      </c>
    </row>
    <row r="137" customFormat="false" ht="15" hidden="false" customHeight="false" outlineLevel="0" collapsed="false">
      <c r="A137" s="7" t="s">
        <v>137</v>
      </c>
      <c r="B137" s="20" t="n">
        <v>45169</v>
      </c>
      <c r="C137" s="16" t="n">
        <v>2023</v>
      </c>
      <c r="D137" s="7" t="s">
        <v>141</v>
      </c>
      <c r="E137" s="7" t="s">
        <v>221</v>
      </c>
      <c r="F137" s="7" t="s">
        <v>275</v>
      </c>
      <c r="G137" s="7" t="s">
        <v>276</v>
      </c>
      <c r="H137" s="7" t="s">
        <v>277</v>
      </c>
      <c r="I137" s="8" t="n">
        <v>-5287.5</v>
      </c>
    </row>
    <row r="138" customFormat="false" ht="15" hidden="false" customHeight="false" outlineLevel="0" collapsed="false">
      <c r="A138" s="7" t="s">
        <v>137</v>
      </c>
      <c r="B138" s="20" t="n">
        <v>45169</v>
      </c>
      <c r="C138" s="16" t="n">
        <v>2023</v>
      </c>
      <c r="D138" s="7" t="s">
        <v>141</v>
      </c>
      <c r="E138" s="7" t="s">
        <v>219</v>
      </c>
      <c r="F138" s="7" t="s">
        <v>187</v>
      </c>
      <c r="G138" s="7" t="s">
        <v>220</v>
      </c>
      <c r="H138" s="7" t="s">
        <v>187</v>
      </c>
      <c r="I138" s="8" t="n">
        <v>-1545.58</v>
      </c>
    </row>
    <row r="139" customFormat="false" ht="15" hidden="false" customHeight="false" outlineLevel="0" collapsed="false">
      <c r="A139" s="7" t="s">
        <v>137</v>
      </c>
      <c r="B139" s="20" t="n">
        <v>45169</v>
      </c>
      <c r="C139" s="16" t="n">
        <v>2023</v>
      </c>
      <c r="D139" s="7" t="s">
        <v>141</v>
      </c>
      <c r="E139" s="7" t="s">
        <v>225</v>
      </c>
      <c r="F139" s="7" t="s">
        <v>226</v>
      </c>
      <c r="G139" s="7" t="s">
        <v>227</v>
      </c>
      <c r="H139" s="7" t="s">
        <v>228</v>
      </c>
      <c r="I139" s="8" t="n">
        <v>5287.5</v>
      </c>
    </row>
    <row r="140" customFormat="false" ht="15" hidden="false" customHeight="false" outlineLevel="0" collapsed="false">
      <c r="A140" s="7" t="s">
        <v>137</v>
      </c>
      <c r="B140" s="20" t="n">
        <v>45169</v>
      </c>
      <c r="C140" s="16" t="n">
        <v>2023</v>
      </c>
      <c r="D140" s="7" t="s">
        <v>136</v>
      </c>
      <c r="E140" s="7" t="s">
        <v>221</v>
      </c>
      <c r="F140" s="7" t="s">
        <v>257</v>
      </c>
      <c r="G140" s="7" t="s">
        <v>258</v>
      </c>
      <c r="H140" s="7" t="s">
        <v>259</v>
      </c>
      <c r="I140" s="8" t="n">
        <v>-1392</v>
      </c>
    </row>
    <row r="141" customFormat="false" ht="15" hidden="false" customHeight="false" outlineLevel="0" collapsed="false">
      <c r="A141" s="7" t="s">
        <v>137</v>
      </c>
      <c r="B141" s="20" t="n">
        <v>45169</v>
      </c>
      <c r="C141" s="16" t="n">
        <v>2023</v>
      </c>
      <c r="D141" s="7" t="s">
        <v>136</v>
      </c>
      <c r="E141" s="7" t="s">
        <v>225</v>
      </c>
      <c r="F141" s="7" t="s">
        <v>226</v>
      </c>
      <c r="G141" s="7" t="s">
        <v>227</v>
      </c>
      <c r="H141" s="7" t="s">
        <v>228</v>
      </c>
      <c r="I141" s="8" t="n">
        <v>1392</v>
      </c>
    </row>
    <row r="142" customFormat="false" ht="15" hidden="false" customHeight="false" outlineLevel="0" collapsed="false">
      <c r="A142" s="7" t="s">
        <v>137</v>
      </c>
      <c r="B142" s="20" t="n">
        <v>45169</v>
      </c>
      <c r="C142" s="16" t="n">
        <v>2023</v>
      </c>
      <c r="D142" s="7" t="s">
        <v>149</v>
      </c>
      <c r="E142" s="7" t="s">
        <v>221</v>
      </c>
      <c r="F142" s="7" t="s">
        <v>270</v>
      </c>
      <c r="G142" s="7" t="s">
        <v>271</v>
      </c>
      <c r="H142" s="7" t="s">
        <v>272</v>
      </c>
      <c r="I142" s="8" t="n">
        <v>-1413.43</v>
      </c>
    </row>
    <row r="143" customFormat="false" ht="15" hidden="false" customHeight="false" outlineLevel="0" collapsed="false">
      <c r="A143" s="7" t="s">
        <v>137</v>
      </c>
      <c r="B143" s="20" t="n">
        <v>45169</v>
      </c>
      <c r="C143" s="16" t="n">
        <v>2023</v>
      </c>
      <c r="D143" s="7" t="s">
        <v>149</v>
      </c>
      <c r="E143" s="7" t="s">
        <v>221</v>
      </c>
      <c r="F143" s="7" t="s">
        <v>270</v>
      </c>
      <c r="G143" s="7" t="s">
        <v>273</v>
      </c>
      <c r="H143" s="7" t="s">
        <v>274</v>
      </c>
      <c r="I143" s="8" t="n">
        <v>-207.31</v>
      </c>
    </row>
    <row r="144" customFormat="false" ht="15" hidden="false" customHeight="false" outlineLevel="0" collapsed="false">
      <c r="A144" s="7" t="s">
        <v>137</v>
      </c>
      <c r="B144" s="20" t="n">
        <v>45169</v>
      </c>
      <c r="C144" s="16" t="n">
        <v>2023</v>
      </c>
      <c r="D144" s="7" t="s">
        <v>149</v>
      </c>
      <c r="E144" s="7" t="s">
        <v>221</v>
      </c>
      <c r="F144" s="7" t="s">
        <v>260</v>
      </c>
      <c r="G144" s="7" t="s">
        <v>261</v>
      </c>
      <c r="H144" s="7" t="s">
        <v>262</v>
      </c>
      <c r="I144" s="8" t="n">
        <v>-3740</v>
      </c>
    </row>
    <row r="145" customFormat="false" ht="15" hidden="false" customHeight="false" outlineLevel="0" collapsed="false">
      <c r="A145" s="7" t="s">
        <v>137</v>
      </c>
      <c r="B145" s="20" t="n">
        <v>45169</v>
      </c>
      <c r="C145" s="16" t="n">
        <v>2023</v>
      </c>
      <c r="D145" s="7" t="s">
        <v>149</v>
      </c>
      <c r="E145" s="7" t="s">
        <v>219</v>
      </c>
      <c r="F145" s="7" t="s">
        <v>187</v>
      </c>
      <c r="G145" s="7" t="s">
        <v>220</v>
      </c>
      <c r="H145" s="7" t="s">
        <v>187</v>
      </c>
      <c r="I145" s="8" t="n">
        <v>-1752.94</v>
      </c>
    </row>
    <row r="146" customFormat="false" ht="15" hidden="false" customHeight="false" outlineLevel="0" collapsed="false">
      <c r="A146" s="7" t="s">
        <v>137</v>
      </c>
      <c r="B146" s="20" t="n">
        <v>45169</v>
      </c>
      <c r="C146" s="16" t="n">
        <v>2023</v>
      </c>
      <c r="D146" s="7" t="s">
        <v>153</v>
      </c>
      <c r="E146" s="7" t="s">
        <v>221</v>
      </c>
      <c r="F146" s="7" t="s">
        <v>270</v>
      </c>
      <c r="G146" s="7" t="s">
        <v>271</v>
      </c>
      <c r="H146" s="7" t="s">
        <v>272</v>
      </c>
      <c r="I146" s="8" t="n">
        <v>-942.29</v>
      </c>
    </row>
    <row r="147" customFormat="false" ht="15" hidden="false" customHeight="false" outlineLevel="0" collapsed="false">
      <c r="A147" s="7" t="s">
        <v>137</v>
      </c>
      <c r="B147" s="20" t="n">
        <v>45169</v>
      </c>
      <c r="C147" s="16" t="n">
        <v>2023</v>
      </c>
      <c r="D147" s="7" t="s">
        <v>153</v>
      </c>
      <c r="E147" s="7" t="s">
        <v>229</v>
      </c>
      <c r="F147" s="7" t="s">
        <v>239</v>
      </c>
      <c r="G147" s="7" t="s">
        <v>240</v>
      </c>
      <c r="H147" s="7" t="s">
        <v>239</v>
      </c>
      <c r="I147" s="8" t="n">
        <v>-236.07</v>
      </c>
    </row>
    <row r="148" customFormat="false" ht="15" hidden="false" customHeight="false" outlineLevel="0" collapsed="false">
      <c r="A148" s="7" t="s">
        <v>137</v>
      </c>
      <c r="B148" s="20" t="n">
        <v>45169</v>
      </c>
      <c r="C148" s="16" t="n">
        <v>2023</v>
      </c>
      <c r="D148" s="7" t="s">
        <v>153</v>
      </c>
      <c r="E148" s="7" t="s">
        <v>229</v>
      </c>
      <c r="F148" s="7" t="s">
        <v>241</v>
      </c>
      <c r="G148" s="7" t="s">
        <v>242</v>
      </c>
      <c r="H148" s="7" t="s">
        <v>243</v>
      </c>
      <c r="I148" s="8" t="n">
        <v>-216.25</v>
      </c>
    </row>
    <row r="149" customFormat="false" ht="15" hidden="false" customHeight="false" outlineLevel="0" collapsed="false">
      <c r="A149" s="7" t="s">
        <v>137</v>
      </c>
      <c r="B149" s="20" t="n">
        <v>45169</v>
      </c>
      <c r="C149" s="16" t="n">
        <v>2023</v>
      </c>
      <c r="D149" s="7" t="s">
        <v>153</v>
      </c>
      <c r="E149" s="7" t="s">
        <v>229</v>
      </c>
      <c r="F149" s="7" t="s">
        <v>233</v>
      </c>
      <c r="G149" s="7" t="s">
        <v>244</v>
      </c>
      <c r="H149" s="7" t="s">
        <v>245</v>
      </c>
      <c r="I149" s="8" t="n">
        <v>-165</v>
      </c>
    </row>
    <row r="150" customFormat="false" ht="15" hidden="false" customHeight="false" outlineLevel="0" collapsed="false">
      <c r="A150" s="7" t="s">
        <v>137</v>
      </c>
      <c r="B150" s="20" t="n">
        <v>45169</v>
      </c>
      <c r="C150" s="16" t="n">
        <v>2023</v>
      </c>
      <c r="D150" s="7" t="s">
        <v>153</v>
      </c>
      <c r="E150" s="7" t="s">
        <v>219</v>
      </c>
      <c r="F150" s="7" t="s">
        <v>187</v>
      </c>
      <c r="G150" s="7" t="s">
        <v>220</v>
      </c>
      <c r="H150" s="7" t="s">
        <v>187</v>
      </c>
      <c r="I150" s="8" t="n">
        <v>-760.08</v>
      </c>
    </row>
    <row r="151" customFormat="false" ht="15" hidden="false" customHeight="false" outlineLevel="0" collapsed="false">
      <c r="A151" s="7" t="s">
        <v>137</v>
      </c>
      <c r="B151" s="20" t="n">
        <v>45169</v>
      </c>
      <c r="C151" s="16" t="n">
        <v>2023</v>
      </c>
      <c r="D151" s="7" t="s">
        <v>153</v>
      </c>
      <c r="E151" s="7" t="s">
        <v>236</v>
      </c>
      <c r="F151" s="7" t="s">
        <v>189</v>
      </c>
      <c r="G151" s="7" t="s">
        <v>237</v>
      </c>
      <c r="H151" s="7" t="s">
        <v>238</v>
      </c>
      <c r="I151" s="8" t="n">
        <v>-90.72</v>
      </c>
    </row>
    <row r="152" customFormat="false" ht="15" hidden="false" customHeight="false" outlineLevel="0" collapsed="false">
      <c r="A152" s="7" t="s">
        <v>137</v>
      </c>
      <c r="B152" s="20" t="n">
        <v>45169</v>
      </c>
      <c r="C152" s="16" t="n">
        <v>2023</v>
      </c>
      <c r="D152" s="7" t="s">
        <v>153</v>
      </c>
      <c r="E152" s="7" t="s">
        <v>236</v>
      </c>
      <c r="F152" s="7" t="s">
        <v>189</v>
      </c>
      <c r="G152" s="7" t="s">
        <v>246</v>
      </c>
      <c r="H152" s="7" t="s">
        <v>247</v>
      </c>
      <c r="I152" s="8" t="n">
        <v>-1529.37</v>
      </c>
    </row>
    <row r="153" customFormat="false" ht="15" hidden="false" customHeight="false" outlineLevel="0" collapsed="false">
      <c r="A153" s="7" t="s">
        <v>137</v>
      </c>
      <c r="B153" s="20" t="n">
        <v>45169</v>
      </c>
      <c r="C153" s="16" t="n">
        <v>2023</v>
      </c>
      <c r="D153" s="7" t="s">
        <v>144</v>
      </c>
      <c r="E153" s="7" t="s">
        <v>219</v>
      </c>
      <c r="F153" s="7" t="s">
        <v>187</v>
      </c>
      <c r="G153" s="7" t="s">
        <v>220</v>
      </c>
      <c r="H153" s="7" t="s">
        <v>187</v>
      </c>
      <c r="I153" s="8" t="n">
        <v>-968.59</v>
      </c>
    </row>
    <row r="154" customFormat="false" ht="15" hidden="false" customHeight="false" outlineLevel="0" collapsed="false">
      <c r="A154" s="7" t="s">
        <v>137</v>
      </c>
      <c r="B154" s="20" t="n">
        <v>45169</v>
      </c>
      <c r="C154" s="16" t="n">
        <v>2023</v>
      </c>
      <c r="D154" s="7" t="s">
        <v>146</v>
      </c>
      <c r="E154" s="7" t="s">
        <v>219</v>
      </c>
      <c r="F154" s="7" t="s">
        <v>187</v>
      </c>
      <c r="G154" s="7" t="s">
        <v>220</v>
      </c>
      <c r="H154" s="7" t="s">
        <v>187</v>
      </c>
      <c r="I154" s="8" t="n">
        <v>-576.64</v>
      </c>
    </row>
    <row r="155" customFormat="false" ht="15" hidden="false" customHeight="false" outlineLevel="0" collapsed="false">
      <c r="A155" s="7" t="s">
        <v>137</v>
      </c>
      <c r="B155" s="20" t="n">
        <v>45169</v>
      </c>
      <c r="C155" s="16" t="n">
        <v>2023</v>
      </c>
      <c r="D155" s="7" t="s">
        <v>146</v>
      </c>
      <c r="E155" s="7" t="s">
        <v>225</v>
      </c>
      <c r="F155" s="7" t="s">
        <v>226</v>
      </c>
      <c r="G155" s="7" t="s">
        <v>227</v>
      </c>
      <c r="H155" s="7" t="s">
        <v>228</v>
      </c>
      <c r="I155" s="8" t="n">
        <v>-376.96</v>
      </c>
    </row>
    <row r="156" customFormat="false" ht="15" hidden="false" customHeight="false" outlineLevel="0" collapsed="false">
      <c r="A156" s="7" t="s">
        <v>137</v>
      </c>
      <c r="B156" s="20" t="n">
        <v>45199</v>
      </c>
      <c r="C156" s="16" t="n">
        <v>2023</v>
      </c>
      <c r="D156" s="7" t="s">
        <v>141</v>
      </c>
      <c r="E156" s="7" t="s">
        <v>248</v>
      </c>
      <c r="F156" s="7" t="s">
        <v>249</v>
      </c>
      <c r="G156" s="7" t="s">
        <v>250</v>
      </c>
      <c r="H156" s="7" t="s">
        <v>251</v>
      </c>
      <c r="I156" s="8" t="n">
        <v>27942.4</v>
      </c>
    </row>
    <row r="157" customFormat="false" ht="15" hidden="false" customHeight="false" outlineLevel="0" collapsed="false">
      <c r="A157" s="7" t="s">
        <v>137</v>
      </c>
      <c r="B157" s="20" t="n">
        <v>45199</v>
      </c>
      <c r="C157" s="16" t="n">
        <v>2023</v>
      </c>
      <c r="D157" s="7" t="s">
        <v>141</v>
      </c>
      <c r="E157" s="7" t="s">
        <v>221</v>
      </c>
      <c r="F157" s="7" t="s">
        <v>267</v>
      </c>
      <c r="G157" s="7" t="s">
        <v>268</v>
      </c>
      <c r="H157" s="7" t="s">
        <v>269</v>
      </c>
      <c r="I157" s="8" t="n">
        <v>-973.28</v>
      </c>
    </row>
    <row r="158" customFormat="false" ht="15" hidden="false" customHeight="false" outlineLevel="0" collapsed="false">
      <c r="A158" s="7" t="s">
        <v>137</v>
      </c>
      <c r="B158" s="20" t="n">
        <v>45199</v>
      </c>
      <c r="C158" s="16" t="n">
        <v>2023</v>
      </c>
      <c r="D158" s="7" t="s">
        <v>141</v>
      </c>
      <c r="E158" s="7" t="s">
        <v>221</v>
      </c>
      <c r="F158" s="7" t="s">
        <v>260</v>
      </c>
      <c r="G158" s="7" t="s">
        <v>261</v>
      </c>
      <c r="H158" s="7" t="s">
        <v>262</v>
      </c>
      <c r="I158" s="8" t="n">
        <v>-1920</v>
      </c>
    </row>
    <row r="159" customFormat="false" ht="15" hidden="false" customHeight="false" outlineLevel="0" collapsed="false">
      <c r="A159" s="7" t="s">
        <v>137</v>
      </c>
      <c r="B159" s="20" t="n">
        <v>45199</v>
      </c>
      <c r="C159" s="16" t="n">
        <v>2023</v>
      </c>
      <c r="D159" s="7" t="s">
        <v>141</v>
      </c>
      <c r="E159" s="7" t="s">
        <v>219</v>
      </c>
      <c r="F159" s="7" t="s">
        <v>187</v>
      </c>
      <c r="G159" s="7" t="s">
        <v>220</v>
      </c>
      <c r="H159" s="7" t="s">
        <v>187</v>
      </c>
      <c r="I159" s="8" t="n">
        <v>-1545.58</v>
      </c>
    </row>
    <row r="160" customFormat="false" ht="15" hidden="false" customHeight="false" outlineLevel="0" collapsed="false">
      <c r="A160" s="7" t="s">
        <v>137</v>
      </c>
      <c r="B160" s="20" t="n">
        <v>45199</v>
      </c>
      <c r="C160" s="16" t="n">
        <v>2023</v>
      </c>
      <c r="D160" s="7" t="s">
        <v>141</v>
      </c>
      <c r="E160" s="7" t="s">
        <v>225</v>
      </c>
      <c r="F160" s="7" t="s">
        <v>226</v>
      </c>
      <c r="G160" s="7" t="s">
        <v>227</v>
      </c>
      <c r="H160" s="7" t="s">
        <v>228</v>
      </c>
      <c r="I160" s="8" t="n">
        <v>-20892.32</v>
      </c>
    </row>
    <row r="161" customFormat="false" ht="15" hidden="false" customHeight="false" outlineLevel="0" collapsed="false">
      <c r="A161" s="7" t="s">
        <v>137</v>
      </c>
      <c r="B161" s="20" t="n">
        <v>45199</v>
      </c>
      <c r="C161" s="16" t="n">
        <v>2023</v>
      </c>
      <c r="D161" s="7" t="s">
        <v>136</v>
      </c>
      <c r="E161" s="7" t="s">
        <v>221</v>
      </c>
      <c r="F161" s="7" t="s">
        <v>222</v>
      </c>
      <c r="G161" s="7" t="s">
        <v>223</v>
      </c>
      <c r="H161" s="7" t="s">
        <v>224</v>
      </c>
      <c r="I161" s="8" t="n">
        <v>-120</v>
      </c>
    </row>
    <row r="162" customFormat="false" ht="15" hidden="false" customHeight="false" outlineLevel="0" collapsed="false">
      <c r="A162" s="7" t="s">
        <v>137</v>
      </c>
      <c r="B162" s="20" t="n">
        <v>45199</v>
      </c>
      <c r="C162" s="16" t="n">
        <v>2023</v>
      </c>
      <c r="D162" s="7" t="s">
        <v>136</v>
      </c>
      <c r="E162" s="7" t="s">
        <v>225</v>
      </c>
      <c r="F162" s="7" t="s">
        <v>226</v>
      </c>
      <c r="G162" s="7" t="s">
        <v>227</v>
      </c>
      <c r="H162" s="7" t="s">
        <v>228</v>
      </c>
      <c r="I162" s="8" t="n">
        <v>120</v>
      </c>
    </row>
    <row r="163" customFormat="false" ht="15" hidden="false" customHeight="false" outlineLevel="0" collapsed="false">
      <c r="A163" s="7" t="s">
        <v>137</v>
      </c>
      <c r="B163" s="20" t="n">
        <v>45199</v>
      </c>
      <c r="C163" s="16" t="n">
        <v>2023</v>
      </c>
      <c r="D163" s="7" t="s">
        <v>149</v>
      </c>
      <c r="E163" s="7" t="s">
        <v>221</v>
      </c>
      <c r="F163" s="7" t="s">
        <v>270</v>
      </c>
      <c r="G163" s="7" t="s">
        <v>271</v>
      </c>
      <c r="H163" s="7" t="s">
        <v>272</v>
      </c>
      <c r="I163" s="8" t="n">
        <v>-3333.56</v>
      </c>
    </row>
    <row r="164" customFormat="false" ht="15" hidden="false" customHeight="false" outlineLevel="0" collapsed="false">
      <c r="A164" s="7" t="s">
        <v>137</v>
      </c>
      <c r="B164" s="20" t="n">
        <v>45199</v>
      </c>
      <c r="C164" s="16" t="n">
        <v>2023</v>
      </c>
      <c r="D164" s="7" t="s">
        <v>149</v>
      </c>
      <c r="E164" s="7" t="s">
        <v>221</v>
      </c>
      <c r="F164" s="7" t="s">
        <v>270</v>
      </c>
      <c r="G164" s="7" t="s">
        <v>273</v>
      </c>
      <c r="H164" s="7" t="s">
        <v>274</v>
      </c>
      <c r="I164" s="8" t="n">
        <v>-488.92</v>
      </c>
    </row>
    <row r="165" customFormat="false" ht="15" hidden="false" customHeight="false" outlineLevel="0" collapsed="false">
      <c r="A165" s="7" t="s">
        <v>137</v>
      </c>
      <c r="B165" s="20" t="n">
        <v>45199</v>
      </c>
      <c r="C165" s="16" t="n">
        <v>2023</v>
      </c>
      <c r="D165" s="7" t="s">
        <v>149</v>
      </c>
      <c r="E165" s="7" t="s">
        <v>221</v>
      </c>
      <c r="F165" s="7" t="s">
        <v>260</v>
      </c>
      <c r="G165" s="7" t="s">
        <v>261</v>
      </c>
      <c r="H165" s="7" t="s">
        <v>262</v>
      </c>
      <c r="I165" s="8" t="n">
        <v>-10275</v>
      </c>
    </row>
    <row r="166" customFormat="false" ht="15" hidden="false" customHeight="false" outlineLevel="0" collapsed="false">
      <c r="A166" s="7" t="s">
        <v>137</v>
      </c>
      <c r="B166" s="20" t="n">
        <v>45199</v>
      </c>
      <c r="C166" s="16" t="n">
        <v>2023</v>
      </c>
      <c r="D166" s="7" t="s">
        <v>149</v>
      </c>
      <c r="E166" s="7" t="s">
        <v>221</v>
      </c>
      <c r="F166" s="7" t="s">
        <v>283</v>
      </c>
      <c r="G166" s="7" t="s">
        <v>284</v>
      </c>
      <c r="H166" s="7" t="s">
        <v>285</v>
      </c>
      <c r="I166" s="8" t="n">
        <v>-3700</v>
      </c>
    </row>
    <row r="167" customFormat="false" ht="15" hidden="false" customHeight="false" outlineLevel="0" collapsed="false">
      <c r="A167" s="7" t="s">
        <v>137</v>
      </c>
      <c r="B167" s="20" t="n">
        <v>45199</v>
      </c>
      <c r="C167" s="16" t="n">
        <v>2023</v>
      </c>
      <c r="D167" s="7" t="s">
        <v>149</v>
      </c>
      <c r="E167" s="7" t="s">
        <v>219</v>
      </c>
      <c r="F167" s="7" t="s">
        <v>187</v>
      </c>
      <c r="G167" s="7" t="s">
        <v>220</v>
      </c>
      <c r="H167" s="7" t="s">
        <v>187</v>
      </c>
      <c r="I167" s="8" t="n">
        <v>-1752.93</v>
      </c>
    </row>
    <row r="168" customFormat="false" ht="15" hidden="false" customHeight="false" outlineLevel="0" collapsed="false">
      <c r="A168" s="7" t="s">
        <v>137</v>
      </c>
      <c r="B168" s="20" t="n">
        <v>45199</v>
      </c>
      <c r="C168" s="16" t="n">
        <v>2023</v>
      </c>
      <c r="D168" s="7" t="s">
        <v>153</v>
      </c>
      <c r="E168" s="7" t="s">
        <v>221</v>
      </c>
      <c r="F168" s="7" t="s">
        <v>270</v>
      </c>
      <c r="G168" s="7" t="s">
        <v>271</v>
      </c>
      <c r="H168" s="7" t="s">
        <v>272</v>
      </c>
      <c r="I168" s="8" t="n">
        <v>-2222.38</v>
      </c>
    </row>
    <row r="169" customFormat="false" ht="15" hidden="false" customHeight="false" outlineLevel="0" collapsed="false">
      <c r="A169" s="7" t="s">
        <v>137</v>
      </c>
      <c r="B169" s="20" t="n">
        <v>45199</v>
      </c>
      <c r="C169" s="16" t="n">
        <v>2023</v>
      </c>
      <c r="D169" s="7" t="s">
        <v>153</v>
      </c>
      <c r="E169" s="7" t="s">
        <v>229</v>
      </c>
      <c r="F169" s="7" t="s">
        <v>239</v>
      </c>
      <c r="G169" s="7" t="s">
        <v>240</v>
      </c>
      <c r="H169" s="7" t="s">
        <v>239</v>
      </c>
      <c r="I169" s="8" t="n">
        <v>-230.58</v>
      </c>
    </row>
    <row r="170" customFormat="false" ht="15" hidden="false" customHeight="false" outlineLevel="0" collapsed="false">
      <c r="A170" s="7" t="s">
        <v>137</v>
      </c>
      <c r="B170" s="20" t="n">
        <v>45199</v>
      </c>
      <c r="C170" s="16" t="n">
        <v>2023</v>
      </c>
      <c r="D170" s="7" t="s">
        <v>153</v>
      </c>
      <c r="E170" s="7" t="s">
        <v>229</v>
      </c>
      <c r="F170" s="7" t="s">
        <v>241</v>
      </c>
      <c r="G170" s="7" t="s">
        <v>242</v>
      </c>
      <c r="H170" s="7" t="s">
        <v>243</v>
      </c>
      <c r="I170" s="8" t="n">
        <v>-333.23</v>
      </c>
    </row>
    <row r="171" customFormat="false" ht="15" hidden="false" customHeight="false" outlineLevel="0" collapsed="false">
      <c r="A171" s="7" t="s">
        <v>137</v>
      </c>
      <c r="B171" s="20" t="n">
        <v>45199</v>
      </c>
      <c r="C171" s="16" t="n">
        <v>2023</v>
      </c>
      <c r="D171" s="7" t="s">
        <v>153</v>
      </c>
      <c r="E171" s="7" t="s">
        <v>229</v>
      </c>
      <c r="F171" s="7" t="s">
        <v>233</v>
      </c>
      <c r="G171" s="7" t="s">
        <v>244</v>
      </c>
      <c r="H171" s="7" t="s">
        <v>245</v>
      </c>
      <c r="I171" s="8" t="n">
        <v>-165</v>
      </c>
    </row>
    <row r="172" customFormat="false" ht="15" hidden="false" customHeight="false" outlineLevel="0" collapsed="false">
      <c r="A172" s="7" t="s">
        <v>137</v>
      </c>
      <c r="B172" s="20" t="n">
        <v>45199</v>
      </c>
      <c r="C172" s="16" t="n">
        <v>2023</v>
      </c>
      <c r="D172" s="7" t="s">
        <v>153</v>
      </c>
      <c r="E172" s="7" t="s">
        <v>219</v>
      </c>
      <c r="F172" s="7" t="s">
        <v>187</v>
      </c>
      <c r="G172" s="7" t="s">
        <v>220</v>
      </c>
      <c r="H172" s="7" t="s">
        <v>187</v>
      </c>
      <c r="I172" s="8" t="n">
        <v>-760.06</v>
      </c>
    </row>
    <row r="173" customFormat="false" ht="15" hidden="false" customHeight="false" outlineLevel="0" collapsed="false">
      <c r="A173" s="7" t="s">
        <v>137</v>
      </c>
      <c r="B173" s="20" t="n">
        <v>45199</v>
      </c>
      <c r="C173" s="16" t="n">
        <v>2023</v>
      </c>
      <c r="D173" s="7" t="s">
        <v>153</v>
      </c>
      <c r="E173" s="7" t="s">
        <v>236</v>
      </c>
      <c r="F173" s="7" t="s">
        <v>189</v>
      </c>
      <c r="G173" s="7" t="s">
        <v>237</v>
      </c>
      <c r="H173" s="7" t="s">
        <v>238</v>
      </c>
      <c r="I173" s="8" t="n">
        <v>-88.27</v>
      </c>
    </row>
    <row r="174" customFormat="false" ht="15" hidden="false" customHeight="false" outlineLevel="0" collapsed="false">
      <c r="A174" s="7" t="s">
        <v>137</v>
      </c>
      <c r="B174" s="20" t="n">
        <v>45199</v>
      </c>
      <c r="C174" s="16" t="n">
        <v>2023</v>
      </c>
      <c r="D174" s="7" t="s">
        <v>153</v>
      </c>
      <c r="E174" s="7" t="s">
        <v>236</v>
      </c>
      <c r="F174" s="7" t="s">
        <v>189</v>
      </c>
      <c r="G174" s="7" t="s">
        <v>246</v>
      </c>
      <c r="H174" s="7" t="s">
        <v>247</v>
      </c>
      <c r="I174" s="8" t="n">
        <v>-1327.4</v>
      </c>
    </row>
    <row r="175" customFormat="false" ht="15" hidden="false" customHeight="false" outlineLevel="0" collapsed="false">
      <c r="A175" s="7" t="s">
        <v>137</v>
      </c>
      <c r="B175" s="20" t="n">
        <v>45199</v>
      </c>
      <c r="C175" s="16" t="n">
        <v>2023</v>
      </c>
      <c r="D175" s="7" t="s">
        <v>144</v>
      </c>
      <c r="E175" s="7" t="s">
        <v>219</v>
      </c>
      <c r="F175" s="7" t="s">
        <v>187</v>
      </c>
      <c r="G175" s="7" t="s">
        <v>220</v>
      </c>
      <c r="H175" s="7" t="s">
        <v>187</v>
      </c>
      <c r="I175" s="8" t="n">
        <v>-968.59</v>
      </c>
    </row>
    <row r="176" customFormat="false" ht="15" hidden="false" customHeight="false" outlineLevel="0" collapsed="false">
      <c r="A176" s="7" t="s">
        <v>137</v>
      </c>
      <c r="B176" s="20" t="n">
        <v>45199</v>
      </c>
      <c r="C176" s="16" t="n">
        <v>2023</v>
      </c>
      <c r="D176" s="7" t="s">
        <v>146</v>
      </c>
      <c r="E176" s="7" t="s">
        <v>248</v>
      </c>
      <c r="F176" s="7" t="s">
        <v>286</v>
      </c>
      <c r="G176" s="7" t="s">
        <v>287</v>
      </c>
      <c r="H176" s="7" t="s">
        <v>288</v>
      </c>
      <c r="I176" s="8" t="n">
        <v>4871.6</v>
      </c>
    </row>
    <row r="177" customFormat="false" ht="15" hidden="false" customHeight="false" outlineLevel="0" collapsed="false">
      <c r="A177" s="7" t="s">
        <v>137</v>
      </c>
      <c r="B177" s="20" t="n">
        <v>45199</v>
      </c>
      <c r="C177" s="16" t="n">
        <v>2023</v>
      </c>
      <c r="D177" s="7" t="s">
        <v>146</v>
      </c>
      <c r="E177" s="7" t="s">
        <v>219</v>
      </c>
      <c r="F177" s="7" t="s">
        <v>187</v>
      </c>
      <c r="G177" s="7" t="s">
        <v>220</v>
      </c>
      <c r="H177" s="7" t="s">
        <v>187</v>
      </c>
      <c r="I177" s="8" t="n">
        <v>-576.65</v>
      </c>
    </row>
    <row r="178" customFormat="false" ht="15" hidden="false" customHeight="false" outlineLevel="0" collapsed="false">
      <c r="A178" s="7" t="s">
        <v>137</v>
      </c>
      <c r="B178" s="20" t="n">
        <v>45199</v>
      </c>
      <c r="C178" s="16" t="n">
        <v>2023</v>
      </c>
      <c r="D178" s="7" t="s">
        <v>146</v>
      </c>
      <c r="E178" s="7" t="s">
        <v>225</v>
      </c>
      <c r="F178" s="7" t="s">
        <v>226</v>
      </c>
      <c r="G178" s="7" t="s">
        <v>227</v>
      </c>
      <c r="H178" s="7" t="s">
        <v>228</v>
      </c>
      <c r="I178" s="8" t="n">
        <v>-376.96</v>
      </c>
    </row>
    <row r="179" customFormat="false" ht="15" hidden="false" customHeight="false" outlineLevel="0" collapsed="false">
      <c r="A179" s="7" t="s">
        <v>137</v>
      </c>
      <c r="B179" s="20" t="n">
        <v>45230</v>
      </c>
      <c r="C179" s="16" t="n">
        <v>2023</v>
      </c>
      <c r="D179" s="7" t="s">
        <v>141</v>
      </c>
      <c r="E179" s="7" t="s">
        <v>248</v>
      </c>
      <c r="F179" s="7" t="s">
        <v>249</v>
      </c>
      <c r="G179" s="7" t="s">
        <v>250</v>
      </c>
      <c r="H179" s="7" t="s">
        <v>251</v>
      </c>
      <c r="I179" s="8" t="n">
        <v>47920.5</v>
      </c>
    </row>
    <row r="180" customFormat="false" ht="15" hidden="false" customHeight="false" outlineLevel="0" collapsed="false">
      <c r="A180" s="7" t="s">
        <v>137</v>
      </c>
      <c r="B180" s="20" t="n">
        <v>45230</v>
      </c>
      <c r="C180" s="16" t="n">
        <v>2023</v>
      </c>
      <c r="D180" s="7" t="s">
        <v>141</v>
      </c>
      <c r="E180" s="7" t="s">
        <v>221</v>
      </c>
      <c r="F180" s="7" t="s">
        <v>267</v>
      </c>
      <c r="G180" s="7" t="s">
        <v>268</v>
      </c>
      <c r="H180" s="7" t="s">
        <v>269</v>
      </c>
      <c r="I180" s="8" t="n">
        <v>-1520.75</v>
      </c>
    </row>
    <row r="181" customFormat="false" ht="15" hidden="false" customHeight="false" outlineLevel="0" collapsed="false">
      <c r="A181" s="7" t="s">
        <v>137</v>
      </c>
      <c r="B181" s="20" t="n">
        <v>45230</v>
      </c>
      <c r="C181" s="16" t="n">
        <v>2023</v>
      </c>
      <c r="D181" s="7" t="s">
        <v>141</v>
      </c>
      <c r="E181" s="7" t="s">
        <v>221</v>
      </c>
      <c r="F181" s="7" t="s">
        <v>260</v>
      </c>
      <c r="G181" s="7" t="s">
        <v>261</v>
      </c>
      <c r="H181" s="7" t="s">
        <v>262</v>
      </c>
      <c r="I181" s="8" t="n">
        <v>-4430.78</v>
      </c>
    </row>
    <row r="182" customFormat="false" ht="15" hidden="false" customHeight="false" outlineLevel="0" collapsed="false">
      <c r="A182" s="7" t="s">
        <v>137</v>
      </c>
      <c r="B182" s="20" t="n">
        <v>45230</v>
      </c>
      <c r="C182" s="16" t="n">
        <v>2023</v>
      </c>
      <c r="D182" s="7" t="s">
        <v>141</v>
      </c>
      <c r="E182" s="7" t="s">
        <v>219</v>
      </c>
      <c r="F182" s="7" t="s">
        <v>187</v>
      </c>
      <c r="G182" s="7" t="s">
        <v>220</v>
      </c>
      <c r="H182" s="7" t="s">
        <v>187</v>
      </c>
      <c r="I182" s="8" t="n">
        <v>-1545.59</v>
      </c>
    </row>
    <row r="183" customFormat="false" ht="15" hidden="false" customHeight="false" outlineLevel="0" collapsed="false">
      <c r="A183" s="7" t="s">
        <v>137</v>
      </c>
      <c r="B183" s="20" t="n">
        <v>45230</v>
      </c>
      <c r="C183" s="16" t="n">
        <v>2023</v>
      </c>
      <c r="D183" s="7" t="s">
        <v>141</v>
      </c>
      <c r="E183" s="7" t="s">
        <v>225</v>
      </c>
      <c r="F183" s="7" t="s">
        <v>226</v>
      </c>
      <c r="G183" s="7" t="s">
        <v>227</v>
      </c>
      <c r="H183" s="7" t="s">
        <v>228</v>
      </c>
      <c r="I183" s="8" t="n">
        <v>-2466.75</v>
      </c>
    </row>
    <row r="184" customFormat="false" ht="15" hidden="false" customHeight="false" outlineLevel="0" collapsed="false">
      <c r="A184" s="7" t="s">
        <v>137</v>
      </c>
      <c r="B184" s="20" t="n">
        <v>45230</v>
      </c>
      <c r="C184" s="16" t="n">
        <v>2023</v>
      </c>
      <c r="D184" s="7" t="s">
        <v>149</v>
      </c>
      <c r="E184" s="7" t="s">
        <v>248</v>
      </c>
      <c r="F184" s="7" t="s">
        <v>278</v>
      </c>
      <c r="G184" s="7" t="s">
        <v>279</v>
      </c>
      <c r="H184" s="7" t="s">
        <v>280</v>
      </c>
      <c r="I184" s="8" t="n">
        <v>80381</v>
      </c>
    </row>
    <row r="185" customFormat="false" ht="15" hidden="false" customHeight="false" outlineLevel="0" collapsed="false">
      <c r="A185" s="7" t="s">
        <v>137</v>
      </c>
      <c r="B185" s="20" t="n">
        <v>45230</v>
      </c>
      <c r="C185" s="16" t="n">
        <v>2023</v>
      </c>
      <c r="D185" s="7" t="s">
        <v>149</v>
      </c>
      <c r="E185" s="7" t="s">
        <v>248</v>
      </c>
      <c r="F185" s="7" t="s">
        <v>278</v>
      </c>
      <c r="G185" s="7" t="s">
        <v>281</v>
      </c>
      <c r="H185" s="7" t="s">
        <v>282</v>
      </c>
      <c r="I185" s="8" t="n">
        <v>22608.32</v>
      </c>
    </row>
    <row r="186" customFormat="false" ht="15" hidden="false" customHeight="false" outlineLevel="0" collapsed="false">
      <c r="A186" s="7" t="s">
        <v>137</v>
      </c>
      <c r="B186" s="20" t="n">
        <v>45230</v>
      </c>
      <c r="C186" s="16" t="n">
        <v>2023</v>
      </c>
      <c r="D186" s="7" t="s">
        <v>149</v>
      </c>
      <c r="E186" s="7" t="s">
        <v>221</v>
      </c>
      <c r="F186" s="7" t="s">
        <v>270</v>
      </c>
      <c r="G186" s="7" t="s">
        <v>271</v>
      </c>
      <c r="H186" s="7" t="s">
        <v>272</v>
      </c>
      <c r="I186" s="8" t="n">
        <v>-2497.19</v>
      </c>
    </row>
    <row r="187" customFormat="false" ht="15" hidden="false" customHeight="false" outlineLevel="0" collapsed="false">
      <c r="A187" s="7" t="s">
        <v>137</v>
      </c>
      <c r="B187" s="20" t="n">
        <v>45230</v>
      </c>
      <c r="C187" s="16" t="n">
        <v>2023</v>
      </c>
      <c r="D187" s="7" t="s">
        <v>149</v>
      </c>
      <c r="E187" s="7" t="s">
        <v>221</v>
      </c>
      <c r="F187" s="7" t="s">
        <v>270</v>
      </c>
      <c r="G187" s="7" t="s">
        <v>273</v>
      </c>
      <c r="H187" s="7" t="s">
        <v>274</v>
      </c>
      <c r="I187" s="8" t="n">
        <v>-366.26</v>
      </c>
    </row>
    <row r="188" customFormat="false" ht="15" hidden="false" customHeight="false" outlineLevel="0" collapsed="false">
      <c r="A188" s="7" t="s">
        <v>137</v>
      </c>
      <c r="B188" s="20" t="n">
        <v>45230</v>
      </c>
      <c r="C188" s="16" t="n">
        <v>2023</v>
      </c>
      <c r="D188" s="7" t="s">
        <v>149</v>
      </c>
      <c r="E188" s="7" t="s">
        <v>221</v>
      </c>
      <c r="F188" s="7" t="s">
        <v>267</v>
      </c>
      <c r="G188" s="7" t="s">
        <v>268</v>
      </c>
      <c r="H188" s="7" t="s">
        <v>269</v>
      </c>
      <c r="I188" s="8" t="n">
        <v>-7725.35</v>
      </c>
    </row>
    <row r="189" customFormat="false" ht="15" hidden="false" customHeight="false" outlineLevel="0" collapsed="false">
      <c r="A189" s="7" t="s">
        <v>137</v>
      </c>
      <c r="B189" s="20" t="n">
        <v>45230</v>
      </c>
      <c r="C189" s="16" t="n">
        <v>2023</v>
      </c>
      <c r="D189" s="7" t="s">
        <v>149</v>
      </c>
      <c r="E189" s="7" t="s">
        <v>219</v>
      </c>
      <c r="F189" s="7" t="s">
        <v>187</v>
      </c>
      <c r="G189" s="7" t="s">
        <v>220</v>
      </c>
      <c r="H189" s="7" t="s">
        <v>187</v>
      </c>
      <c r="I189" s="8" t="n">
        <v>-1752.94</v>
      </c>
    </row>
    <row r="190" customFormat="false" ht="15" hidden="false" customHeight="false" outlineLevel="0" collapsed="false">
      <c r="A190" s="7" t="s">
        <v>137</v>
      </c>
      <c r="B190" s="20" t="n">
        <v>45230</v>
      </c>
      <c r="C190" s="16" t="n">
        <v>2023</v>
      </c>
      <c r="D190" s="7" t="s">
        <v>153</v>
      </c>
      <c r="E190" s="7" t="s">
        <v>221</v>
      </c>
      <c r="F190" s="7" t="s">
        <v>270</v>
      </c>
      <c r="G190" s="7" t="s">
        <v>271</v>
      </c>
      <c r="H190" s="7" t="s">
        <v>272</v>
      </c>
      <c r="I190" s="8" t="n">
        <v>-1664.8</v>
      </c>
    </row>
    <row r="191" customFormat="false" ht="15" hidden="false" customHeight="false" outlineLevel="0" collapsed="false">
      <c r="A191" s="7" t="s">
        <v>137</v>
      </c>
      <c r="B191" s="20" t="n">
        <v>45230</v>
      </c>
      <c r="C191" s="16" t="n">
        <v>2023</v>
      </c>
      <c r="D191" s="7" t="s">
        <v>153</v>
      </c>
      <c r="E191" s="7" t="s">
        <v>229</v>
      </c>
      <c r="F191" s="7" t="s">
        <v>239</v>
      </c>
      <c r="G191" s="7" t="s">
        <v>240</v>
      </c>
      <c r="H191" s="7" t="s">
        <v>239</v>
      </c>
      <c r="I191" s="8" t="n">
        <v>-254.3</v>
      </c>
    </row>
    <row r="192" customFormat="false" ht="15" hidden="false" customHeight="false" outlineLevel="0" collapsed="false">
      <c r="A192" s="7" t="s">
        <v>137</v>
      </c>
      <c r="B192" s="20" t="n">
        <v>45230</v>
      </c>
      <c r="C192" s="16" t="n">
        <v>2023</v>
      </c>
      <c r="D192" s="7" t="s">
        <v>153</v>
      </c>
      <c r="E192" s="7" t="s">
        <v>229</v>
      </c>
      <c r="F192" s="7" t="s">
        <v>241</v>
      </c>
      <c r="G192" s="7" t="s">
        <v>242</v>
      </c>
      <c r="H192" s="7" t="s">
        <v>243</v>
      </c>
      <c r="I192" s="8" t="n">
        <v>-392.46</v>
      </c>
    </row>
    <row r="193" customFormat="false" ht="15" hidden="false" customHeight="false" outlineLevel="0" collapsed="false">
      <c r="A193" s="7" t="s">
        <v>137</v>
      </c>
      <c r="B193" s="20" t="n">
        <v>45230</v>
      </c>
      <c r="C193" s="16" t="n">
        <v>2023</v>
      </c>
      <c r="D193" s="7" t="s">
        <v>153</v>
      </c>
      <c r="E193" s="7" t="s">
        <v>229</v>
      </c>
      <c r="F193" s="7" t="s">
        <v>233</v>
      </c>
      <c r="G193" s="7" t="s">
        <v>244</v>
      </c>
      <c r="H193" s="7" t="s">
        <v>245</v>
      </c>
      <c r="I193" s="8" t="n">
        <v>-165</v>
      </c>
    </row>
    <row r="194" customFormat="false" ht="15" hidden="false" customHeight="false" outlineLevel="0" collapsed="false">
      <c r="A194" s="7" t="s">
        <v>137</v>
      </c>
      <c r="B194" s="20" t="n">
        <v>45230</v>
      </c>
      <c r="C194" s="16" t="n">
        <v>2023</v>
      </c>
      <c r="D194" s="7" t="s">
        <v>153</v>
      </c>
      <c r="E194" s="7" t="s">
        <v>219</v>
      </c>
      <c r="F194" s="7" t="s">
        <v>187</v>
      </c>
      <c r="G194" s="7" t="s">
        <v>220</v>
      </c>
      <c r="H194" s="7" t="s">
        <v>187</v>
      </c>
      <c r="I194" s="8" t="n">
        <v>-760.07</v>
      </c>
    </row>
    <row r="195" customFormat="false" ht="15" hidden="false" customHeight="false" outlineLevel="0" collapsed="false">
      <c r="A195" s="7" t="s">
        <v>137</v>
      </c>
      <c r="B195" s="20" t="n">
        <v>45230</v>
      </c>
      <c r="C195" s="16" t="n">
        <v>2023</v>
      </c>
      <c r="D195" s="7" t="s">
        <v>153</v>
      </c>
      <c r="E195" s="7" t="s">
        <v>236</v>
      </c>
      <c r="F195" s="7" t="s">
        <v>189</v>
      </c>
      <c r="G195" s="7" t="s">
        <v>237</v>
      </c>
      <c r="H195" s="7" t="s">
        <v>238</v>
      </c>
      <c r="I195" s="8" t="n">
        <v>-85.81</v>
      </c>
    </row>
    <row r="196" customFormat="false" ht="15" hidden="false" customHeight="false" outlineLevel="0" collapsed="false">
      <c r="A196" s="7" t="s">
        <v>137</v>
      </c>
      <c r="B196" s="20" t="n">
        <v>45230</v>
      </c>
      <c r="C196" s="16" t="n">
        <v>2023</v>
      </c>
      <c r="D196" s="7" t="s">
        <v>153</v>
      </c>
      <c r="E196" s="7" t="s">
        <v>236</v>
      </c>
      <c r="F196" s="7" t="s">
        <v>189</v>
      </c>
      <c r="G196" s="7" t="s">
        <v>246</v>
      </c>
      <c r="H196" s="7" t="s">
        <v>247</v>
      </c>
      <c r="I196" s="8" t="n">
        <v>-1371.64</v>
      </c>
    </row>
    <row r="197" customFormat="false" ht="15" hidden="false" customHeight="false" outlineLevel="0" collapsed="false">
      <c r="A197" s="7" t="s">
        <v>137</v>
      </c>
      <c r="B197" s="20" t="n">
        <v>45230</v>
      </c>
      <c r="C197" s="16" t="n">
        <v>2023</v>
      </c>
      <c r="D197" s="7" t="s">
        <v>144</v>
      </c>
      <c r="E197" s="7" t="s">
        <v>219</v>
      </c>
      <c r="F197" s="7" t="s">
        <v>187</v>
      </c>
      <c r="G197" s="7" t="s">
        <v>220</v>
      </c>
      <c r="H197" s="7" t="s">
        <v>187</v>
      </c>
      <c r="I197" s="8" t="n">
        <v>-968.59</v>
      </c>
    </row>
    <row r="198" customFormat="false" ht="15" hidden="false" customHeight="false" outlineLevel="0" collapsed="false">
      <c r="A198" s="7" t="s">
        <v>137</v>
      </c>
      <c r="B198" s="20" t="n">
        <v>45230</v>
      </c>
      <c r="C198" s="16" t="n">
        <v>2023</v>
      </c>
      <c r="D198" s="7" t="s">
        <v>146</v>
      </c>
      <c r="E198" s="7" t="s">
        <v>248</v>
      </c>
      <c r="F198" s="7" t="s">
        <v>249</v>
      </c>
      <c r="G198" s="7" t="s">
        <v>250</v>
      </c>
      <c r="H198" s="7" t="s">
        <v>251</v>
      </c>
      <c r="I198" s="8" t="n">
        <v>6596.8</v>
      </c>
    </row>
    <row r="199" customFormat="false" ht="15" hidden="false" customHeight="false" outlineLevel="0" collapsed="false">
      <c r="A199" s="7" t="s">
        <v>137</v>
      </c>
      <c r="B199" s="20" t="n">
        <v>45230</v>
      </c>
      <c r="C199" s="16" t="n">
        <v>2023</v>
      </c>
      <c r="D199" s="7" t="s">
        <v>146</v>
      </c>
      <c r="E199" s="7" t="s">
        <v>221</v>
      </c>
      <c r="F199" s="7" t="s">
        <v>265</v>
      </c>
      <c r="G199" s="7" t="s">
        <v>266</v>
      </c>
      <c r="H199" s="7" t="s">
        <v>265</v>
      </c>
      <c r="I199" s="8" t="n">
        <v>-2296</v>
      </c>
    </row>
    <row r="200" customFormat="false" ht="15" hidden="false" customHeight="false" outlineLevel="0" collapsed="false">
      <c r="A200" s="7" t="s">
        <v>137</v>
      </c>
      <c r="B200" s="20" t="n">
        <v>45230</v>
      </c>
      <c r="C200" s="16" t="n">
        <v>2023</v>
      </c>
      <c r="D200" s="7" t="s">
        <v>146</v>
      </c>
      <c r="E200" s="7" t="s">
        <v>221</v>
      </c>
      <c r="F200" s="7" t="s">
        <v>254</v>
      </c>
      <c r="G200" s="7" t="s">
        <v>255</v>
      </c>
      <c r="H200" s="7" t="s">
        <v>256</v>
      </c>
      <c r="I200" s="8" t="n">
        <v>-1976</v>
      </c>
    </row>
    <row r="201" customFormat="false" ht="15" hidden="false" customHeight="false" outlineLevel="0" collapsed="false">
      <c r="A201" s="7" t="s">
        <v>137</v>
      </c>
      <c r="B201" s="20" t="n">
        <v>45230</v>
      </c>
      <c r="C201" s="16" t="n">
        <v>2023</v>
      </c>
      <c r="D201" s="7" t="s">
        <v>146</v>
      </c>
      <c r="E201" s="7" t="s">
        <v>221</v>
      </c>
      <c r="F201" s="7" t="s">
        <v>267</v>
      </c>
      <c r="G201" s="7" t="s">
        <v>268</v>
      </c>
      <c r="H201" s="7" t="s">
        <v>269</v>
      </c>
      <c r="I201" s="8" t="n">
        <v>-505.6</v>
      </c>
    </row>
    <row r="202" customFormat="false" ht="15" hidden="false" customHeight="false" outlineLevel="0" collapsed="false">
      <c r="A202" s="7" t="s">
        <v>137</v>
      </c>
      <c r="B202" s="20" t="n">
        <v>45230</v>
      </c>
      <c r="C202" s="16" t="n">
        <v>2023</v>
      </c>
      <c r="D202" s="7" t="s">
        <v>146</v>
      </c>
      <c r="E202" s="7" t="s">
        <v>219</v>
      </c>
      <c r="F202" s="7" t="s">
        <v>187</v>
      </c>
      <c r="G202" s="7" t="s">
        <v>220</v>
      </c>
      <c r="H202" s="7" t="s">
        <v>187</v>
      </c>
      <c r="I202" s="8" t="n">
        <v>-576.64</v>
      </c>
    </row>
    <row r="203" customFormat="false" ht="15" hidden="false" customHeight="false" outlineLevel="0" collapsed="false">
      <c r="A203" s="7" t="s">
        <v>137</v>
      </c>
      <c r="B203" s="20" t="n">
        <v>45230</v>
      </c>
      <c r="C203" s="16" t="n">
        <v>2023</v>
      </c>
      <c r="D203" s="7" t="s">
        <v>146</v>
      </c>
      <c r="E203" s="7" t="s">
        <v>225</v>
      </c>
      <c r="F203" s="7" t="s">
        <v>226</v>
      </c>
      <c r="G203" s="7" t="s">
        <v>227</v>
      </c>
      <c r="H203" s="7" t="s">
        <v>228</v>
      </c>
      <c r="I203" s="8" t="n">
        <v>-1987.84</v>
      </c>
    </row>
    <row r="204" customFormat="false" ht="15" hidden="false" customHeight="false" outlineLevel="0" collapsed="false">
      <c r="A204" s="7" t="s">
        <v>137</v>
      </c>
      <c r="B204" s="20" t="n">
        <v>45260</v>
      </c>
      <c r="C204" s="16" t="n">
        <v>2023</v>
      </c>
      <c r="D204" s="7" t="s">
        <v>141</v>
      </c>
      <c r="E204" s="7" t="s">
        <v>219</v>
      </c>
      <c r="F204" s="7" t="s">
        <v>187</v>
      </c>
      <c r="G204" s="7" t="s">
        <v>220</v>
      </c>
      <c r="H204" s="7" t="s">
        <v>187</v>
      </c>
      <c r="I204" s="8" t="n">
        <v>-1545.58</v>
      </c>
    </row>
    <row r="205" customFormat="false" ht="15" hidden="false" customHeight="false" outlineLevel="0" collapsed="false">
      <c r="A205" s="7" t="s">
        <v>137</v>
      </c>
      <c r="B205" s="20" t="n">
        <v>45260</v>
      </c>
      <c r="C205" s="16" t="n">
        <v>2023</v>
      </c>
      <c r="D205" s="7" t="s">
        <v>141</v>
      </c>
      <c r="E205" s="7" t="s">
        <v>225</v>
      </c>
      <c r="F205" s="7" t="s">
        <v>226</v>
      </c>
      <c r="G205" s="7" t="s">
        <v>227</v>
      </c>
      <c r="H205" s="7" t="s">
        <v>228</v>
      </c>
      <c r="I205" s="8" t="n">
        <v>-776.25</v>
      </c>
    </row>
    <row r="206" customFormat="false" ht="15" hidden="false" customHeight="false" outlineLevel="0" collapsed="false">
      <c r="A206" s="7" t="s">
        <v>137</v>
      </c>
      <c r="B206" s="20" t="n">
        <v>45260</v>
      </c>
      <c r="C206" s="16" t="n">
        <v>2023</v>
      </c>
      <c r="D206" s="7" t="s">
        <v>136</v>
      </c>
      <c r="E206" s="7" t="s">
        <v>221</v>
      </c>
      <c r="F206" s="7" t="s">
        <v>289</v>
      </c>
      <c r="G206" s="7" t="s">
        <v>290</v>
      </c>
      <c r="H206" s="7" t="s">
        <v>291</v>
      </c>
      <c r="I206" s="8" t="n">
        <v>-6720</v>
      </c>
    </row>
    <row r="207" customFormat="false" ht="15" hidden="false" customHeight="false" outlineLevel="0" collapsed="false">
      <c r="A207" s="7" t="s">
        <v>137</v>
      </c>
      <c r="B207" s="20" t="n">
        <v>45260</v>
      </c>
      <c r="C207" s="16" t="n">
        <v>2023</v>
      </c>
      <c r="D207" s="7" t="s">
        <v>136</v>
      </c>
      <c r="E207" s="7" t="s">
        <v>225</v>
      </c>
      <c r="F207" s="7" t="s">
        <v>226</v>
      </c>
      <c r="G207" s="7" t="s">
        <v>227</v>
      </c>
      <c r="H207" s="7" t="s">
        <v>228</v>
      </c>
      <c r="I207" s="8" t="n">
        <v>-26500.8</v>
      </c>
    </row>
    <row r="208" customFormat="false" ht="15" hidden="false" customHeight="false" outlineLevel="0" collapsed="false">
      <c r="A208" s="7" t="s">
        <v>137</v>
      </c>
      <c r="B208" s="20" t="n">
        <v>45260</v>
      </c>
      <c r="C208" s="16" t="n">
        <v>2023</v>
      </c>
      <c r="D208" s="7" t="s">
        <v>149</v>
      </c>
      <c r="E208" s="7" t="s">
        <v>248</v>
      </c>
      <c r="F208" s="7" t="s">
        <v>278</v>
      </c>
      <c r="G208" s="7" t="s">
        <v>279</v>
      </c>
      <c r="H208" s="7" t="s">
        <v>280</v>
      </c>
      <c r="I208" s="8" t="n">
        <v>18404</v>
      </c>
    </row>
    <row r="209" customFormat="false" ht="15" hidden="false" customHeight="false" outlineLevel="0" collapsed="false">
      <c r="A209" s="7" t="s">
        <v>137</v>
      </c>
      <c r="B209" s="20" t="n">
        <v>45260</v>
      </c>
      <c r="C209" s="16" t="n">
        <v>2023</v>
      </c>
      <c r="D209" s="7" t="s">
        <v>149</v>
      </c>
      <c r="E209" s="7" t="s">
        <v>248</v>
      </c>
      <c r="F209" s="7" t="s">
        <v>278</v>
      </c>
      <c r="G209" s="7" t="s">
        <v>281</v>
      </c>
      <c r="H209" s="7" t="s">
        <v>282</v>
      </c>
      <c r="I209" s="8" t="n">
        <v>9004.06</v>
      </c>
    </row>
    <row r="210" customFormat="false" ht="15" hidden="false" customHeight="false" outlineLevel="0" collapsed="false">
      <c r="A210" s="7" t="s">
        <v>137</v>
      </c>
      <c r="B210" s="20" t="n">
        <v>45260</v>
      </c>
      <c r="C210" s="16" t="n">
        <v>2023</v>
      </c>
      <c r="D210" s="7" t="s">
        <v>149</v>
      </c>
      <c r="E210" s="7" t="s">
        <v>221</v>
      </c>
      <c r="F210" s="7" t="s">
        <v>270</v>
      </c>
      <c r="G210" s="7" t="s">
        <v>271</v>
      </c>
      <c r="H210" s="7" t="s">
        <v>272</v>
      </c>
      <c r="I210" s="8" t="n">
        <v>-1221.81</v>
      </c>
    </row>
    <row r="211" customFormat="false" ht="15" hidden="false" customHeight="false" outlineLevel="0" collapsed="false">
      <c r="A211" s="7" t="s">
        <v>137</v>
      </c>
      <c r="B211" s="20" t="n">
        <v>45260</v>
      </c>
      <c r="C211" s="16" t="n">
        <v>2023</v>
      </c>
      <c r="D211" s="7" t="s">
        <v>149</v>
      </c>
      <c r="E211" s="7" t="s">
        <v>221</v>
      </c>
      <c r="F211" s="7" t="s">
        <v>270</v>
      </c>
      <c r="G211" s="7" t="s">
        <v>273</v>
      </c>
      <c r="H211" s="7" t="s">
        <v>274</v>
      </c>
      <c r="I211" s="8" t="n">
        <v>-179.2</v>
      </c>
    </row>
    <row r="212" customFormat="false" ht="15" hidden="false" customHeight="false" outlineLevel="0" collapsed="false">
      <c r="A212" s="7" t="s">
        <v>137</v>
      </c>
      <c r="B212" s="20" t="n">
        <v>45260</v>
      </c>
      <c r="C212" s="16" t="n">
        <v>2023</v>
      </c>
      <c r="D212" s="7" t="s">
        <v>149</v>
      </c>
      <c r="E212" s="7" t="s">
        <v>221</v>
      </c>
      <c r="F212" s="7" t="s">
        <v>267</v>
      </c>
      <c r="G212" s="7" t="s">
        <v>268</v>
      </c>
      <c r="H212" s="7" t="s">
        <v>269</v>
      </c>
      <c r="I212" s="8" t="n">
        <v>-8762.09</v>
      </c>
    </row>
    <row r="213" customFormat="false" ht="15" hidden="false" customHeight="false" outlineLevel="0" collapsed="false">
      <c r="A213" s="7" t="s">
        <v>137</v>
      </c>
      <c r="B213" s="20" t="n">
        <v>45260</v>
      </c>
      <c r="C213" s="16" t="n">
        <v>2023</v>
      </c>
      <c r="D213" s="7" t="s">
        <v>149</v>
      </c>
      <c r="E213" s="7" t="s">
        <v>219</v>
      </c>
      <c r="F213" s="7" t="s">
        <v>187</v>
      </c>
      <c r="G213" s="7" t="s">
        <v>220</v>
      </c>
      <c r="H213" s="7" t="s">
        <v>187</v>
      </c>
      <c r="I213" s="8" t="n">
        <v>-1752.94</v>
      </c>
    </row>
    <row r="214" customFormat="false" ht="15" hidden="false" customHeight="false" outlineLevel="0" collapsed="false">
      <c r="A214" s="7" t="s">
        <v>137</v>
      </c>
      <c r="B214" s="20" t="n">
        <v>45260</v>
      </c>
      <c r="C214" s="16" t="n">
        <v>2023</v>
      </c>
      <c r="D214" s="7" t="s">
        <v>153</v>
      </c>
      <c r="E214" s="7" t="s">
        <v>221</v>
      </c>
      <c r="F214" s="7" t="s">
        <v>270</v>
      </c>
      <c r="G214" s="7" t="s">
        <v>271</v>
      </c>
      <c r="H214" s="7" t="s">
        <v>272</v>
      </c>
      <c r="I214" s="8" t="n">
        <v>-814.54</v>
      </c>
    </row>
    <row r="215" customFormat="false" ht="15" hidden="false" customHeight="false" outlineLevel="0" collapsed="false">
      <c r="A215" s="7" t="s">
        <v>137</v>
      </c>
      <c r="B215" s="20" t="n">
        <v>45260</v>
      </c>
      <c r="C215" s="16" t="n">
        <v>2023</v>
      </c>
      <c r="D215" s="7" t="s">
        <v>153</v>
      </c>
      <c r="E215" s="7" t="s">
        <v>221</v>
      </c>
      <c r="F215" s="7" t="s">
        <v>260</v>
      </c>
      <c r="G215" s="7" t="s">
        <v>261</v>
      </c>
      <c r="H215" s="7" t="s">
        <v>262</v>
      </c>
      <c r="I215" s="8" t="n">
        <v>-1991.24</v>
      </c>
    </row>
    <row r="216" customFormat="false" ht="15" hidden="false" customHeight="false" outlineLevel="0" collapsed="false">
      <c r="A216" s="7" t="s">
        <v>137</v>
      </c>
      <c r="B216" s="20" t="n">
        <v>45260</v>
      </c>
      <c r="C216" s="16" t="n">
        <v>2023</v>
      </c>
      <c r="D216" s="7" t="s">
        <v>153</v>
      </c>
      <c r="E216" s="7" t="s">
        <v>229</v>
      </c>
      <c r="F216" s="7" t="s">
        <v>239</v>
      </c>
      <c r="G216" s="7" t="s">
        <v>240</v>
      </c>
      <c r="H216" s="7" t="s">
        <v>239</v>
      </c>
      <c r="I216" s="8" t="n">
        <v>-261.59</v>
      </c>
    </row>
    <row r="217" customFormat="false" ht="15" hidden="false" customHeight="false" outlineLevel="0" collapsed="false">
      <c r="A217" s="7" t="s">
        <v>137</v>
      </c>
      <c r="B217" s="20" t="n">
        <v>45260</v>
      </c>
      <c r="C217" s="16" t="n">
        <v>2023</v>
      </c>
      <c r="D217" s="7" t="s">
        <v>153</v>
      </c>
      <c r="E217" s="7" t="s">
        <v>229</v>
      </c>
      <c r="F217" s="7" t="s">
        <v>241</v>
      </c>
      <c r="G217" s="7" t="s">
        <v>242</v>
      </c>
      <c r="H217" s="7" t="s">
        <v>243</v>
      </c>
      <c r="I217" s="8" t="n">
        <v>-347.89</v>
      </c>
    </row>
    <row r="218" customFormat="false" ht="15" hidden="false" customHeight="false" outlineLevel="0" collapsed="false">
      <c r="A218" s="7" t="s">
        <v>137</v>
      </c>
      <c r="B218" s="20" t="n">
        <v>45260</v>
      </c>
      <c r="C218" s="16" t="n">
        <v>2023</v>
      </c>
      <c r="D218" s="7" t="s">
        <v>153</v>
      </c>
      <c r="E218" s="7" t="s">
        <v>229</v>
      </c>
      <c r="F218" s="7" t="s">
        <v>233</v>
      </c>
      <c r="G218" s="7" t="s">
        <v>244</v>
      </c>
      <c r="H218" s="7" t="s">
        <v>245</v>
      </c>
      <c r="I218" s="8" t="n">
        <v>-165</v>
      </c>
    </row>
    <row r="219" customFormat="false" ht="15" hidden="false" customHeight="false" outlineLevel="0" collapsed="false">
      <c r="A219" s="7" t="s">
        <v>137</v>
      </c>
      <c r="B219" s="20" t="n">
        <v>45260</v>
      </c>
      <c r="C219" s="16" t="n">
        <v>2023</v>
      </c>
      <c r="D219" s="7" t="s">
        <v>153</v>
      </c>
      <c r="E219" s="7" t="s">
        <v>219</v>
      </c>
      <c r="F219" s="7" t="s">
        <v>187</v>
      </c>
      <c r="G219" s="7" t="s">
        <v>220</v>
      </c>
      <c r="H219" s="7" t="s">
        <v>187</v>
      </c>
      <c r="I219" s="8" t="n">
        <v>-760.07</v>
      </c>
    </row>
    <row r="220" customFormat="false" ht="15" hidden="false" customHeight="false" outlineLevel="0" collapsed="false">
      <c r="A220" s="7" t="s">
        <v>137</v>
      </c>
      <c r="B220" s="20" t="n">
        <v>45260</v>
      </c>
      <c r="C220" s="16" t="n">
        <v>2023</v>
      </c>
      <c r="D220" s="7" t="s">
        <v>153</v>
      </c>
      <c r="E220" s="7" t="s">
        <v>236</v>
      </c>
      <c r="F220" s="7" t="s">
        <v>189</v>
      </c>
      <c r="G220" s="7" t="s">
        <v>237</v>
      </c>
      <c r="H220" s="7" t="s">
        <v>238</v>
      </c>
      <c r="I220" s="8" t="n">
        <v>-83.34</v>
      </c>
    </row>
    <row r="221" customFormat="false" ht="15" hidden="false" customHeight="false" outlineLevel="0" collapsed="false">
      <c r="A221" s="7" t="s">
        <v>137</v>
      </c>
      <c r="B221" s="20" t="n">
        <v>45260</v>
      </c>
      <c r="C221" s="16" t="n">
        <v>2023</v>
      </c>
      <c r="D221" s="7" t="s">
        <v>153</v>
      </c>
      <c r="E221" s="7" t="s">
        <v>236</v>
      </c>
      <c r="F221" s="7" t="s">
        <v>189</v>
      </c>
      <c r="G221" s="7" t="s">
        <v>246</v>
      </c>
      <c r="H221" s="7" t="s">
        <v>247</v>
      </c>
      <c r="I221" s="8" t="n">
        <v>-882.33</v>
      </c>
    </row>
    <row r="222" customFormat="false" ht="15" hidden="false" customHeight="false" outlineLevel="0" collapsed="false">
      <c r="A222" s="7" t="s">
        <v>137</v>
      </c>
      <c r="B222" s="20" t="n">
        <v>45260</v>
      </c>
      <c r="C222" s="16" t="n">
        <v>2023</v>
      </c>
      <c r="D222" s="7" t="s">
        <v>144</v>
      </c>
      <c r="E222" s="7" t="s">
        <v>219</v>
      </c>
      <c r="F222" s="7" t="s">
        <v>187</v>
      </c>
      <c r="G222" s="7" t="s">
        <v>220</v>
      </c>
      <c r="H222" s="7" t="s">
        <v>187</v>
      </c>
      <c r="I222" s="8" t="n">
        <v>-968.58</v>
      </c>
    </row>
    <row r="223" customFormat="false" ht="15" hidden="false" customHeight="false" outlineLevel="0" collapsed="false">
      <c r="A223" s="7" t="s">
        <v>137</v>
      </c>
      <c r="B223" s="20" t="n">
        <v>45260</v>
      </c>
      <c r="C223" s="16" t="n">
        <v>2023</v>
      </c>
      <c r="D223" s="7" t="s">
        <v>146</v>
      </c>
      <c r="E223" s="7" t="s">
        <v>219</v>
      </c>
      <c r="F223" s="7" t="s">
        <v>187</v>
      </c>
      <c r="G223" s="7" t="s">
        <v>220</v>
      </c>
      <c r="H223" s="7" t="s">
        <v>187</v>
      </c>
      <c r="I223" s="8" t="n">
        <v>-576.64</v>
      </c>
    </row>
    <row r="224" customFormat="false" ht="15" hidden="false" customHeight="false" outlineLevel="0" collapsed="false">
      <c r="A224" s="7" t="s">
        <v>137</v>
      </c>
      <c r="B224" s="20" t="n">
        <v>45291</v>
      </c>
      <c r="C224" s="16" t="n">
        <v>2023</v>
      </c>
      <c r="D224" s="7" t="s">
        <v>141</v>
      </c>
      <c r="E224" s="7" t="s">
        <v>219</v>
      </c>
      <c r="F224" s="7" t="s">
        <v>187</v>
      </c>
      <c r="G224" s="7" t="s">
        <v>220</v>
      </c>
      <c r="H224" s="7" t="s">
        <v>187</v>
      </c>
      <c r="I224" s="8" t="n">
        <v>-1545.58</v>
      </c>
    </row>
    <row r="225" customFormat="false" ht="15" hidden="false" customHeight="false" outlineLevel="0" collapsed="false">
      <c r="A225" s="7" t="s">
        <v>137</v>
      </c>
      <c r="B225" s="20" t="n">
        <v>45291</v>
      </c>
      <c r="C225" s="16" t="n">
        <v>2023</v>
      </c>
      <c r="D225" s="7" t="s">
        <v>141</v>
      </c>
      <c r="E225" s="7" t="s">
        <v>225</v>
      </c>
      <c r="F225" s="7" t="s">
        <v>226</v>
      </c>
      <c r="G225" s="7" t="s">
        <v>227</v>
      </c>
      <c r="H225" s="7" t="s">
        <v>228</v>
      </c>
      <c r="I225" s="8" t="n">
        <v>-1552.5</v>
      </c>
    </row>
    <row r="226" customFormat="false" ht="15" hidden="false" customHeight="false" outlineLevel="0" collapsed="false">
      <c r="A226" s="7" t="s">
        <v>137</v>
      </c>
      <c r="B226" s="20" t="n">
        <v>45291</v>
      </c>
      <c r="C226" s="16" t="n">
        <v>2023</v>
      </c>
      <c r="D226" s="7" t="s">
        <v>136</v>
      </c>
      <c r="E226" s="7" t="s">
        <v>248</v>
      </c>
      <c r="F226" s="7" t="s">
        <v>249</v>
      </c>
      <c r="G226" s="7" t="s">
        <v>292</v>
      </c>
      <c r="H226" s="7" t="s">
        <v>293</v>
      </c>
      <c r="I226" s="8" t="n">
        <v>19289.08</v>
      </c>
    </row>
    <row r="227" customFormat="false" ht="15" hidden="false" customHeight="false" outlineLevel="0" collapsed="false">
      <c r="A227" s="7" t="s">
        <v>137</v>
      </c>
      <c r="B227" s="20" t="n">
        <v>45291</v>
      </c>
      <c r="C227" s="16" t="n">
        <v>2023</v>
      </c>
      <c r="D227" s="7" t="s">
        <v>136</v>
      </c>
      <c r="E227" s="7" t="s">
        <v>248</v>
      </c>
      <c r="F227" s="7" t="s">
        <v>249</v>
      </c>
      <c r="G227" s="7" t="s">
        <v>294</v>
      </c>
      <c r="H227" s="7" t="s">
        <v>295</v>
      </c>
      <c r="I227" s="8" t="n">
        <v>4703.04</v>
      </c>
    </row>
    <row r="228" customFormat="false" ht="15" hidden="false" customHeight="false" outlineLevel="0" collapsed="false">
      <c r="A228" s="7" t="s">
        <v>137</v>
      </c>
      <c r="B228" s="20" t="n">
        <v>45291</v>
      </c>
      <c r="C228" s="16" t="n">
        <v>2023</v>
      </c>
      <c r="D228" s="7" t="s">
        <v>136</v>
      </c>
      <c r="E228" s="7" t="s">
        <v>221</v>
      </c>
      <c r="F228" s="7" t="s">
        <v>289</v>
      </c>
      <c r="G228" s="7" t="s">
        <v>296</v>
      </c>
      <c r="H228" s="7" t="s">
        <v>297</v>
      </c>
      <c r="I228" s="8" t="n">
        <v>-3576.96</v>
      </c>
    </row>
    <row r="229" customFormat="false" ht="15" hidden="false" customHeight="false" outlineLevel="0" collapsed="false">
      <c r="A229" s="7" t="s">
        <v>137</v>
      </c>
      <c r="B229" s="20" t="n">
        <v>45291</v>
      </c>
      <c r="C229" s="16" t="n">
        <v>2023</v>
      </c>
      <c r="D229" s="7" t="s">
        <v>136</v>
      </c>
      <c r="E229" s="7" t="s">
        <v>229</v>
      </c>
      <c r="F229" s="7" t="s">
        <v>298</v>
      </c>
      <c r="G229" s="7" t="s">
        <v>299</v>
      </c>
      <c r="H229" s="7" t="s">
        <v>298</v>
      </c>
      <c r="I229" s="8" t="n">
        <v>-431</v>
      </c>
    </row>
    <row r="230" customFormat="false" ht="15" hidden="false" customHeight="false" outlineLevel="0" collapsed="false">
      <c r="A230" s="7" t="s">
        <v>137</v>
      </c>
      <c r="B230" s="20" t="n">
        <v>45291</v>
      </c>
      <c r="C230" s="16" t="n">
        <v>2023</v>
      </c>
      <c r="D230" s="7" t="s">
        <v>149</v>
      </c>
      <c r="E230" s="7" t="s">
        <v>219</v>
      </c>
      <c r="F230" s="7" t="s">
        <v>187</v>
      </c>
      <c r="G230" s="7" t="s">
        <v>220</v>
      </c>
      <c r="H230" s="7" t="s">
        <v>187</v>
      </c>
      <c r="I230" s="8" t="n">
        <v>-1752.94</v>
      </c>
    </row>
    <row r="231" customFormat="false" ht="15" hidden="false" customHeight="false" outlineLevel="0" collapsed="false">
      <c r="A231" s="7" t="s">
        <v>137</v>
      </c>
      <c r="B231" s="20" t="n">
        <v>45291</v>
      </c>
      <c r="C231" s="16" t="n">
        <v>2023</v>
      </c>
      <c r="D231" s="7" t="s">
        <v>153</v>
      </c>
      <c r="E231" s="7" t="s">
        <v>229</v>
      </c>
      <c r="F231" s="7" t="s">
        <v>298</v>
      </c>
      <c r="G231" s="7" t="s">
        <v>299</v>
      </c>
      <c r="H231" s="7" t="s">
        <v>298</v>
      </c>
      <c r="I231" s="8" t="n">
        <v>-6780</v>
      </c>
    </row>
    <row r="232" customFormat="false" ht="15" hidden="false" customHeight="false" outlineLevel="0" collapsed="false">
      <c r="A232" s="7" t="s">
        <v>137</v>
      </c>
      <c r="B232" s="20" t="n">
        <v>45291</v>
      </c>
      <c r="C232" s="16" t="n">
        <v>2023</v>
      </c>
      <c r="D232" s="7" t="s">
        <v>153</v>
      </c>
      <c r="E232" s="7" t="s">
        <v>229</v>
      </c>
      <c r="F232" s="7" t="s">
        <v>239</v>
      </c>
      <c r="G232" s="7" t="s">
        <v>240</v>
      </c>
      <c r="H232" s="7" t="s">
        <v>239</v>
      </c>
      <c r="I232" s="8" t="n">
        <v>-460.91</v>
      </c>
    </row>
    <row r="233" customFormat="false" ht="15" hidden="false" customHeight="false" outlineLevel="0" collapsed="false">
      <c r="A233" s="7" t="s">
        <v>137</v>
      </c>
      <c r="B233" s="20" t="n">
        <v>45291</v>
      </c>
      <c r="C233" s="16" t="n">
        <v>2023</v>
      </c>
      <c r="D233" s="7" t="s">
        <v>153</v>
      </c>
      <c r="E233" s="7" t="s">
        <v>229</v>
      </c>
      <c r="F233" s="7" t="s">
        <v>241</v>
      </c>
      <c r="G233" s="7" t="s">
        <v>242</v>
      </c>
      <c r="H233" s="7" t="s">
        <v>243</v>
      </c>
      <c r="I233" s="8" t="n">
        <v>-285.11</v>
      </c>
    </row>
    <row r="234" customFormat="false" ht="15" hidden="false" customHeight="false" outlineLevel="0" collapsed="false">
      <c r="A234" s="7" t="s">
        <v>137</v>
      </c>
      <c r="B234" s="20" t="n">
        <v>45291</v>
      </c>
      <c r="C234" s="16" t="n">
        <v>2023</v>
      </c>
      <c r="D234" s="7" t="s">
        <v>153</v>
      </c>
      <c r="E234" s="7" t="s">
        <v>229</v>
      </c>
      <c r="F234" s="7" t="s">
        <v>233</v>
      </c>
      <c r="G234" s="7" t="s">
        <v>244</v>
      </c>
      <c r="H234" s="7" t="s">
        <v>245</v>
      </c>
      <c r="I234" s="8" t="n">
        <v>-165</v>
      </c>
    </row>
    <row r="235" customFormat="false" ht="15" hidden="false" customHeight="false" outlineLevel="0" collapsed="false">
      <c r="A235" s="7" t="s">
        <v>137</v>
      </c>
      <c r="B235" s="20" t="n">
        <v>45291</v>
      </c>
      <c r="C235" s="16" t="n">
        <v>2023</v>
      </c>
      <c r="D235" s="7" t="s">
        <v>153</v>
      </c>
      <c r="E235" s="7" t="s">
        <v>219</v>
      </c>
      <c r="F235" s="7" t="s">
        <v>187</v>
      </c>
      <c r="G235" s="7" t="s">
        <v>220</v>
      </c>
      <c r="H235" s="7" t="s">
        <v>187</v>
      </c>
      <c r="I235" s="8" t="n">
        <v>-760.07</v>
      </c>
    </row>
    <row r="236" customFormat="false" ht="15" hidden="false" customHeight="false" outlineLevel="0" collapsed="false">
      <c r="A236" s="7" t="s">
        <v>137</v>
      </c>
      <c r="B236" s="20" t="n">
        <v>45291</v>
      </c>
      <c r="C236" s="16" t="n">
        <v>2023</v>
      </c>
      <c r="D236" s="7" t="s">
        <v>153</v>
      </c>
      <c r="E236" s="7" t="s">
        <v>236</v>
      </c>
      <c r="F236" s="7" t="s">
        <v>189</v>
      </c>
      <c r="G236" s="7" t="s">
        <v>237</v>
      </c>
      <c r="H236" s="7" t="s">
        <v>238</v>
      </c>
      <c r="I236" s="8" t="n">
        <v>-15825.59</v>
      </c>
    </row>
    <row r="237" customFormat="false" ht="15" hidden="false" customHeight="false" outlineLevel="0" collapsed="false">
      <c r="A237" s="7" t="s">
        <v>137</v>
      </c>
      <c r="B237" s="20" t="n">
        <v>45291</v>
      </c>
      <c r="C237" s="16" t="n">
        <v>2023</v>
      </c>
      <c r="D237" s="7" t="s">
        <v>153</v>
      </c>
      <c r="E237" s="7" t="s">
        <v>236</v>
      </c>
      <c r="F237" s="7" t="s">
        <v>189</v>
      </c>
      <c r="G237" s="7" t="s">
        <v>246</v>
      </c>
      <c r="H237" s="7" t="s">
        <v>247</v>
      </c>
      <c r="I237" s="8" t="n">
        <v>-1089.25</v>
      </c>
    </row>
    <row r="238" customFormat="false" ht="15" hidden="false" customHeight="false" outlineLevel="0" collapsed="false">
      <c r="A238" s="7" t="s">
        <v>137</v>
      </c>
      <c r="B238" s="20" t="n">
        <v>45291</v>
      </c>
      <c r="C238" s="16" t="n">
        <v>2023</v>
      </c>
      <c r="D238" s="7" t="s">
        <v>144</v>
      </c>
      <c r="E238" s="7" t="s">
        <v>219</v>
      </c>
      <c r="F238" s="7" t="s">
        <v>187</v>
      </c>
      <c r="G238" s="7" t="s">
        <v>220</v>
      </c>
      <c r="H238" s="7" t="s">
        <v>187</v>
      </c>
      <c r="I238" s="8" t="n">
        <v>-968.59</v>
      </c>
    </row>
    <row r="239" customFormat="false" ht="15" hidden="false" customHeight="false" outlineLevel="0" collapsed="false">
      <c r="A239" s="7" t="s">
        <v>137</v>
      </c>
      <c r="B239" s="20" t="n">
        <v>45291</v>
      </c>
      <c r="C239" s="16" t="n">
        <v>2023</v>
      </c>
      <c r="D239" s="7" t="s">
        <v>146</v>
      </c>
      <c r="E239" s="7" t="s">
        <v>219</v>
      </c>
      <c r="F239" s="7" t="s">
        <v>187</v>
      </c>
      <c r="G239" s="7" t="s">
        <v>220</v>
      </c>
      <c r="H239" s="7" t="s">
        <v>187</v>
      </c>
      <c r="I239" s="8" t="n">
        <v>-576.65</v>
      </c>
    </row>
    <row r="240" customFormat="false" ht="15" hidden="false" customHeight="false" outlineLevel="0" collapsed="false">
      <c r="A240" s="7" t="s">
        <v>137</v>
      </c>
      <c r="B240" s="20" t="n">
        <v>45322</v>
      </c>
      <c r="C240" s="16" t="n">
        <v>2024</v>
      </c>
      <c r="D240" s="7" t="s">
        <v>141</v>
      </c>
      <c r="E240" s="7" t="s">
        <v>248</v>
      </c>
      <c r="F240" s="7" t="s">
        <v>286</v>
      </c>
      <c r="G240" s="7" t="s">
        <v>287</v>
      </c>
      <c r="H240" s="7" t="s">
        <v>288</v>
      </c>
      <c r="I240" s="8" t="n">
        <v>8312.4</v>
      </c>
    </row>
    <row r="241" customFormat="false" ht="15" hidden="false" customHeight="false" outlineLevel="0" collapsed="false">
      <c r="A241" s="7" t="s">
        <v>137</v>
      </c>
      <c r="B241" s="20" t="n">
        <v>45322</v>
      </c>
      <c r="C241" s="16" t="n">
        <v>2024</v>
      </c>
      <c r="D241" s="7" t="s">
        <v>141</v>
      </c>
      <c r="E241" s="7" t="s">
        <v>219</v>
      </c>
      <c r="F241" s="7" t="s">
        <v>187</v>
      </c>
      <c r="G241" s="7" t="s">
        <v>220</v>
      </c>
      <c r="H241" s="7" t="s">
        <v>187</v>
      </c>
      <c r="I241" s="8" t="n">
        <v>-1545.58</v>
      </c>
    </row>
    <row r="242" customFormat="false" ht="15" hidden="false" customHeight="false" outlineLevel="0" collapsed="false">
      <c r="A242" s="7" t="s">
        <v>137</v>
      </c>
      <c r="B242" s="20" t="n">
        <v>45322</v>
      </c>
      <c r="C242" s="16" t="n">
        <v>2024</v>
      </c>
      <c r="D242" s="7" t="s">
        <v>141</v>
      </c>
      <c r="E242" s="7" t="s">
        <v>225</v>
      </c>
      <c r="F242" s="7" t="s">
        <v>226</v>
      </c>
      <c r="G242" s="7" t="s">
        <v>227</v>
      </c>
      <c r="H242" s="7" t="s">
        <v>228</v>
      </c>
      <c r="I242" s="8" t="n">
        <v>-1552.5</v>
      </c>
    </row>
    <row r="243" customFormat="false" ht="15" hidden="false" customHeight="false" outlineLevel="0" collapsed="false">
      <c r="A243" s="7" t="s">
        <v>137</v>
      </c>
      <c r="B243" s="20" t="n">
        <v>45322</v>
      </c>
      <c r="C243" s="16" t="n">
        <v>2024</v>
      </c>
      <c r="D243" s="7" t="s">
        <v>136</v>
      </c>
      <c r="E243" s="7" t="s">
        <v>221</v>
      </c>
      <c r="F243" s="7" t="s">
        <v>222</v>
      </c>
      <c r="G243" s="7" t="s">
        <v>223</v>
      </c>
      <c r="H243" s="7" t="s">
        <v>224</v>
      </c>
      <c r="I243" s="8" t="n">
        <v>-1384.32</v>
      </c>
    </row>
    <row r="244" customFormat="false" ht="15" hidden="false" customHeight="false" outlineLevel="0" collapsed="false">
      <c r="A244" s="7" t="s">
        <v>137</v>
      </c>
      <c r="B244" s="20" t="n">
        <v>45322</v>
      </c>
      <c r="C244" s="16" t="n">
        <v>2024</v>
      </c>
      <c r="D244" s="7" t="s">
        <v>136</v>
      </c>
      <c r="E244" s="7" t="s">
        <v>225</v>
      </c>
      <c r="F244" s="7" t="s">
        <v>226</v>
      </c>
      <c r="G244" s="7" t="s">
        <v>227</v>
      </c>
      <c r="H244" s="7" t="s">
        <v>228</v>
      </c>
      <c r="I244" s="8" t="n">
        <v>1384.32</v>
      </c>
    </row>
    <row r="245" customFormat="false" ht="15" hidden="false" customHeight="false" outlineLevel="0" collapsed="false">
      <c r="A245" s="7" t="s">
        <v>137</v>
      </c>
      <c r="B245" s="20" t="n">
        <v>45322</v>
      </c>
      <c r="C245" s="16" t="n">
        <v>2024</v>
      </c>
      <c r="D245" s="7" t="s">
        <v>149</v>
      </c>
      <c r="E245" s="7" t="s">
        <v>229</v>
      </c>
      <c r="F245" s="7" t="s">
        <v>230</v>
      </c>
      <c r="G245" s="7" t="s">
        <v>231</v>
      </c>
      <c r="H245" s="7" t="s">
        <v>232</v>
      </c>
      <c r="I245" s="8" t="n">
        <v>-4150</v>
      </c>
    </row>
    <row r="246" customFormat="false" ht="15" hidden="false" customHeight="false" outlineLevel="0" collapsed="false">
      <c r="A246" s="7" t="s">
        <v>137</v>
      </c>
      <c r="B246" s="20" t="n">
        <v>45322</v>
      </c>
      <c r="C246" s="16" t="n">
        <v>2024</v>
      </c>
      <c r="D246" s="7" t="s">
        <v>149</v>
      </c>
      <c r="E246" s="7" t="s">
        <v>229</v>
      </c>
      <c r="F246" s="7" t="s">
        <v>233</v>
      </c>
      <c r="G246" s="7" t="s">
        <v>234</v>
      </c>
      <c r="H246" s="7" t="s">
        <v>235</v>
      </c>
      <c r="I246" s="8" t="n">
        <v>-640</v>
      </c>
    </row>
    <row r="247" customFormat="false" ht="15" hidden="false" customHeight="false" outlineLevel="0" collapsed="false">
      <c r="A247" s="7" t="s">
        <v>137</v>
      </c>
      <c r="B247" s="20" t="n">
        <v>45322</v>
      </c>
      <c r="C247" s="16" t="n">
        <v>2024</v>
      </c>
      <c r="D247" s="7" t="s">
        <v>149</v>
      </c>
      <c r="E247" s="7" t="s">
        <v>219</v>
      </c>
      <c r="F247" s="7" t="s">
        <v>187</v>
      </c>
      <c r="G247" s="7" t="s">
        <v>220</v>
      </c>
      <c r="H247" s="7" t="s">
        <v>187</v>
      </c>
      <c r="I247" s="8" t="n">
        <v>-1752.93</v>
      </c>
    </row>
    <row r="248" customFormat="false" ht="15" hidden="false" customHeight="false" outlineLevel="0" collapsed="false">
      <c r="A248" s="7" t="s">
        <v>137</v>
      </c>
      <c r="B248" s="20" t="n">
        <v>45322</v>
      </c>
      <c r="C248" s="16" t="n">
        <v>2024</v>
      </c>
      <c r="D248" s="7" t="s">
        <v>149</v>
      </c>
      <c r="E248" s="7" t="s">
        <v>236</v>
      </c>
      <c r="F248" s="7" t="s">
        <v>189</v>
      </c>
      <c r="G248" s="7" t="s">
        <v>237</v>
      </c>
      <c r="H248" s="7" t="s">
        <v>238</v>
      </c>
      <c r="I248" s="8" t="n">
        <v>-11256.43</v>
      </c>
    </row>
    <row r="249" customFormat="false" ht="15" hidden="false" customHeight="false" outlineLevel="0" collapsed="false">
      <c r="A249" s="7" t="s">
        <v>137</v>
      </c>
      <c r="B249" s="20" t="n">
        <v>45322</v>
      </c>
      <c r="C249" s="16" t="n">
        <v>2024</v>
      </c>
      <c r="D249" s="7" t="s">
        <v>153</v>
      </c>
      <c r="E249" s="7" t="s">
        <v>229</v>
      </c>
      <c r="F249" s="7" t="s">
        <v>230</v>
      </c>
      <c r="G249" s="7" t="s">
        <v>231</v>
      </c>
      <c r="H249" s="7" t="s">
        <v>232</v>
      </c>
      <c r="I249" s="8" t="n">
        <v>-8540</v>
      </c>
    </row>
    <row r="250" customFormat="false" ht="15" hidden="false" customHeight="false" outlineLevel="0" collapsed="false">
      <c r="A250" s="7" t="s">
        <v>137</v>
      </c>
      <c r="B250" s="20" t="n">
        <v>45322</v>
      </c>
      <c r="C250" s="16" t="n">
        <v>2024</v>
      </c>
      <c r="D250" s="7" t="s">
        <v>153</v>
      </c>
      <c r="E250" s="7" t="s">
        <v>229</v>
      </c>
      <c r="F250" s="7" t="s">
        <v>239</v>
      </c>
      <c r="G250" s="7" t="s">
        <v>240</v>
      </c>
      <c r="H250" s="7" t="s">
        <v>239</v>
      </c>
      <c r="I250" s="8" t="n">
        <v>-397.05</v>
      </c>
    </row>
    <row r="251" customFormat="false" ht="15" hidden="false" customHeight="false" outlineLevel="0" collapsed="false">
      <c r="A251" s="7" t="s">
        <v>137</v>
      </c>
      <c r="B251" s="20" t="n">
        <v>45322</v>
      </c>
      <c r="C251" s="16" t="n">
        <v>2024</v>
      </c>
      <c r="D251" s="7" t="s">
        <v>153</v>
      </c>
      <c r="E251" s="7" t="s">
        <v>229</v>
      </c>
      <c r="F251" s="7" t="s">
        <v>241</v>
      </c>
      <c r="G251" s="7" t="s">
        <v>242</v>
      </c>
      <c r="H251" s="7" t="s">
        <v>243</v>
      </c>
      <c r="I251" s="8" t="n">
        <v>-299.67</v>
      </c>
    </row>
    <row r="252" customFormat="false" ht="15" hidden="false" customHeight="false" outlineLevel="0" collapsed="false">
      <c r="A252" s="7" t="s">
        <v>137</v>
      </c>
      <c r="B252" s="20" t="n">
        <v>45322</v>
      </c>
      <c r="C252" s="16" t="n">
        <v>2024</v>
      </c>
      <c r="D252" s="7" t="s">
        <v>153</v>
      </c>
      <c r="E252" s="7" t="s">
        <v>229</v>
      </c>
      <c r="F252" s="7" t="s">
        <v>233</v>
      </c>
      <c r="G252" s="7" t="s">
        <v>244</v>
      </c>
      <c r="H252" s="7" t="s">
        <v>245</v>
      </c>
      <c r="I252" s="8" t="n">
        <v>-165</v>
      </c>
    </row>
    <row r="253" customFormat="false" ht="15" hidden="false" customHeight="false" outlineLevel="0" collapsed="false">
      <c r="A253" s="7" t="s">
        <v>137</v>
      </c>
      <c r="B253" s="20" t="n">
        <v>45322</v>
      </c>
      <c r="C253" s="16" t="n">
        <v>2024</v>
      </c>
      <c r="D253" s="7" t="s">
        <v>153</v>
      </c>
      <c r="E253" s="7" t="s">
        <v>219</v>
      </c>
      <c r="F253" s="7" t="s">
        <v>187</v>
      </c>
      <c r="G253" s="7" t="s">
        <v>220</v>
      </c>
      <c r="H253" s="7" t="s">
        <v>187</v>
      </c>
      <c r="I253" s="8" t="n">
        <v>-760.07</v>
      </c>
    </row>
    <row r="254" customFormat="false" ht="15" hidden="false" customHeight="false" outlineLevel="0" collapsed="false">
      <c r="A254" s="7" t="s">
        <v>137</v>
      </c>
      <c r="B254" s="20" t="n">
        <v>45322</v>
      </c>
      <c r="C254" s="16" t="n">
        <v>2024</v>
      </c>
      <c r="D254" s="7" t="s">
        <v>153</v>
      </c>
      <c r="E254" s="7" t="s">
        <v>236</v>
      </c>
      <c r="F254" s="7" t="s">
        <v>189</v>
      </c>
      <c r="G254" s="7" t="s">
        <v>237</v>
      </c>
      <c r="H254" s="7" t="s">
        <v>238</v>
      </c>
      <c r="I254" s="8" t="n">
        <v>-78.38</v>
      </c>
    </row>
    <row r="255" customFormat="false" ht="15" hidden="false" customHeight="false" outlineLevel="0" collapsed="false">
      <c r="A255" s="7" t="s">
        <v>137</v>
      </c>
      <c r="B255" s="20" t="n">
        <v>45322</v>
      </c>
      <c r="C255" s="16" t="n">
        <v>2024</v>
      </c>
      <c r="D255" s="7" t="s">
        <v>153</v>
      </c>
      <c r="E255" s="7" t="s">
        <v>236</v>
      </c>
      <c r="F255" s="7" t="s">
        <v>189</v>
      </c>
      <c r="G255" s="7" t="s">
        <v>246</v>
      </c>
      <c r="H255" s="7" t="s">
        <v>247</v>
      </c>
      <c r="I255" s="8" t="n">
        <v>-932.04</v>
      </c>
    </row>
    <row r="256" customFormat="false" ht="15" hidden="false" customHeight="false" outlineLevel="0" collapsed="false">
      <c r="A256" s="7" t="s">
        <v>137</v>
      </c>
      <c r="B256" s="20" t="n">
        <v>45322</v>
      </c>
      <c r="C256" s="16" t="n">
        <v>2024</v>
      </c>
      <c r="D256" s="7" t="s">
        <v>144</v>
      </c>
      <c r="E256" s="7" t="s">
        <v>219</v>
      </c>
      <c r="F256" s="7" t="s">
        <v>187</v>
      </c>
      <c r="G256" s="7" t="s">
        <v>220</v>
      </c>
      <c r="H256" s="7" t="s">
        <v>187</v>
      </c>
      <c r="I256" s="8" t="n">
        <v>-968.59</v>
      </c>
    </row>
    <row r="257" customFormat="false" ht="15" hidden="false" customHeight="false" outlineLevel="0" collapsed="false">
      <c r="A257" s="7" t="s">
        <v>137</v>
      </c>
      <c r="B257" s="20" t="n">
        <v>45322</v>
      </c>
      <c r="C257" s="16" t="n">
        <v>2024</v>
      </c>
      <c r="D257" s="7" t="s">
        <v>146</v>
      </c>
      <c r="E257" s="7" t="s">
        <v>219</v>
      </c>
      <c r="F257" s="7" t="s">
        <v>187</v>
      </c>
      <c r="G257" s="7" t="s">
        <v>220</v>
      </c>
      <c r="H257" s="7" t="s">
        <v>187</v>
      </c>
      <c r="I257" s="8" t="n">
        <v>-576.64</v>
      </c>
    </row>
    <row r="258" customFormat="false" ht="15" hidden="false" customHeight="false" outlineLevel="0" collapsed="false">
      <c r="A258" s="7" t="s">
        <v>137</v>
      </c>
      <c r="B258" s="20" t="n">
        <v>45351</v>
      </c>
      <c r="C258" s="16" t="n">
        <v>2024</v>
      </c>
      <c r="D258" s="7" t="s">
        <v>141</v>
      </c>
      <c r="E258" s="7" t="s">
        <v>219</v>
      </c>
      <c r="F258" s="7" t="s">
        <v>187</v>
      </c>
      <c r="G258" s="7" t="s">
        <v>220</v>
      </c>
      <c r="H258" s="7" t="s">
        <v>187</v>
      </c>
      <c r="I258" s="8" t="n">
        <v>-1545.59</v>
      </c>
    </row>
    <row r="259" customFormat="false" ht="15" hidden="false" customHeight="false" outlineLevel="0" collapsed="false">
      <c r="A259" s="7" t="s">
        <v>137</v>
      </c>
      <c r="B259" s="20" t="n">
        <v>45351</v>
      </c>
      <c r="C259" s="16" t="n">
        <v>2024</v>
      </c>
      <c r="D259" s="7" t="s">
        <v>141</v>
      </c>
      <c r="E259" s="7" t="s">
        <v>225</v>
      </c>
      <c r="F259" s="7" t="s">
        <v>226</v>
      </c>
      <c r="G259" s="7" t="s">
        <v>227</v>
      </c>
      <c r="H259" s="7" t="s">
        <v>228</v>
      </c>
      <c r="I259" s="8" t="n">
        <v>-1397.25</v>
      </c>
    </row>
    <row r="260" customFormat="false" ht="15" hidden="false" customHeight="false" outlineLevel="0" collapsed="false">
      <c r="A260" s="7" t="s">
        <v>137</v>
      </c>
      <c r="B260" s="20" t="n">
        <v>45351</v>
      </c>
      <c r="C260" s="16" t="n">
        <v>2024</v>
      </c>
      <c r="D260" s="7" t="s">
        <v>136</v>
      </c>
      <c r="E260" s="7" t="s">
        <v>248</v>
      </c>
      <c r="F260" s="7" t="s">
        <v>286</v>
      </c>
      <c r="G260" s="7" t="s">
        <v>287</v>
      </c>
      <c r="H260" s="7" t="s">
        <v>288</v>
      </c>
      <c r="I260" s="8" t="n">
        <v>3609.6</v>
      </c>
    </row>
    <row r="261" customFormat="false" ht="15" hidden="false" customHeight="false" outlineLevel="0" collapsed="false">
      <c r="A261" s="7" t="s">
        <v>137</v>
      </c>
      <c r="B261" s="20" t="n">
        <v>45351</v>
      </c>
      <c r="C261" s="16" t="n">
        <v>2024</v>
      </c>
      <c r="D261" s="7" t="s">
        <v>149</v>
      </c>
      <c r="E261" s="7" t="s">
        <v>219</v>
      </c>
      <c r="F261" s="7" t="s">
        <v>187</v>
      </c>
      <c r="G261" s="7" t="s">
        <v>220</v>
      </c>
      <c r="H261" s="7" t="s">
        <v>187</v>
      </c>
      <c r="I261" s="8" t="n">
        <v>-1752.94</v>
      </c>
    </row>
    <row r="262" customFormat="false" ht="15" hidden="false" customHeight="false" outlineLevel="0" collapsed="false">
      <c r="A262" s="7" t="s">
        <v>137</v>
      </c>
      <c r="B262" s="20" t="n">
        <v>45351</v>
      </c>
      <c r="C262" s="16" t="n">
        <v>2024</v>
      </c>
      <c r="D262" s="7" t="s">
        <v>153</v>
      </c>
      <c r="E262" s="7" t="s">
        <v>229</v>
      </c>
      <c r="F262" s="7" t="s">
        <v>239</v>
      </c>
      <c r="G262" s="7" t="s">
        <v>240</v>
      </c>
      <c r="H262" s="7" t="s">
        <v>239</v>
      </c>
      <c r="I262" s="8" t="n">
        <v>-469.5</v>
      </c>
    </row>
    <row r="263" customFormat="false" ht="15" hidden="false" customHeight="false" outlineLevel="0" collapsed="false">
      <c r="A263" s="7" t="s">
        <v>137</v>
      </c>
      <c r="B263" s="20" t="n">
        <v>45351</v>
      </c>
      <c r="C263" s="16" t="n">
        <v>2024</v>
      </c>
      <c r="D263" s="7" t="s">
        <v>153</v>
      </c>
      <c r="E263" s="7" t="s">
        <v>229</v>
      </c>
      <c r="F263" s="7" t="s">
        <v>241</v>
      </c>
      <c r="G263" s="7" t="s">
        <v>242</v>
      </c>
      <c r="H263" s="7" t="s">
        <v>243</v>
      </c>
      <c r="I263" s="8" t="n">
        <v>-342.66</v>
      </c>
    </row>
    <row r="264" customFormat="false" ht="15" hidden="false" customHeight="false" outlineLevel="0" collapsed="false">
      <c r="A264" s="7" t="s">
        <v>137</v>
      </c>
      <c r="B264" s="20" t="n">
        <v>45351</v>
      </c>
      <c r="C264" s="16" t="n">
        <v>2024</v>
      </c>
      <c r="D264" s="7" t="s">
        <v>153</v>
      </c>
      <c r="E264" s="7" t="s">
        <v>229</v>
      </c>
      <c r="F264" s="7" t="s">
        <v>233</v>
      </c>
      <c r="G264" s="7" t="s">
        <v>252</v>
      </c>
      <c r="H264" s="7" t="s">
        <v>253</v>
      </c>
      <c r="I264" s="8" t="n">
        <v>-3550</v>
      </c>
    </row>
    <row r="265" customFormat="false" ht="15" hidden="false" customHeight="false" outlineLevel="0" collapsed="false">
      <c r="A265" s="7" t="s">
        <v>137</v>
      </c>
      <c r="B265" s="20" t="n">
        <v>45351</v>
      </c>
      <c r="C265" s="16" t="n">
        <v>2024</v>
      </c>
      <c r="D265" s="7" t="s">
        <v>153</v>
      </c>
      <c r="E265" s="7" t="s">
        <v>229</v>
      </c>
      <c r="F265" s="7" t="s">
        <v>233</v>
      </c>
      <c r="G265" s="7" t="s">
        <v>244</v>
      </c>
      <c r="H265" s="7" t="s">
        <v>245</v>
      </c>
      <c r="I265" s="8" t="n">
        <v>-165</v>
      </c>
    </row>
    <row r="266" customFormat="false" ht="15" hidden="false" customHeight="false" outlineLevel="0" collapsed="false">
      <c r="A266" s="7" t="s">
        <v>137</v>
      </c>
      <c r="B266" s="20" t="n">
        <v>45351</v>
      </c>
      <c r="C266" s="16" t="n">
        <v>2024</v>
      </c>
      <c r="D266" s="7" t="s">
        <v>153</v>
      </c>
      <c r="E266" s="7" t="s">
        <v>219</v>
      </c>
      <c r="F266" s="7" t="s">
        <v>187</v>
      </c>
      <c r="G266" s="7" t="s">
        <v>220</v>
      </c>
      <c r="H266" s="7" t="s">
        <v>187</v>
      </c>
      <c r="I266" s="8" t="n">
        <v>-760.06</v>
      </c>
    </row>
    <row r="267" customFormat="false" ht="15" hidden="false" customHeight="false" outlineLevel="0" collapsed="false">
      <c r="A267" s="7" t="s">
        <v>137</v>
      </c>
      <c r="B267" s="20" t="n">
        <v>45351</v>
      </c>
      <c r="C267" s="16" t="n">
        <v>2024</v>
      </c>
      <c r="D267" s="7" t="s">
        <v>153</v>
      </c>
      <c r="E267" s="7" t="s">
        <v>236</v>
      </c>
      <c r="F267" s="7" t="s">
        <v>189</v>
      </c>
      <c r="G267" s="7" t="s">
        <v>237</v>
      </c>
      <c r="H267" s="7" t="s">
        <v>238</v>
      </c>
      <c r="I267" s="8" t="n">
        <v>-75.89</v>
      </c>
    </row>
    <row r="268" customFormat="false" ht="15" hidden="false" customHeight="false" outlineLevel="0" collapsed="false">
      <c r="A268" s="7" t="s">
        <v>137</v>
      </c>
      <c r="B268" s="20" t="n">
        <v>45351</v>
      </c>
      <c r="C268" s="16" t="n">
        <v>2024</v>
      </c>
      <c r="D268" s="7" t="s">
        <v>153</v>
      </c>
      <c r="E268" s="7" t="s">
        <v>236</v>
      </c>
      <c r="F268" s="7" t="s">
        <v>189</v>
      </c>
      <c r="G268" s="7" t="s">
        <v>246</v>
      </c>
      <c r="H268" s="7" t="s">
        <v>247</v>
      </c>
      <c r="I268" s="8" t="n">
        <v>-1049.16</v>
      </c>
    </row>
    <row r="269" customFormat="false" ht="15" hidden="false" customHeight="false" outlineLevel="0" collapsed="false">
      <c r="A269" s="7" t="s">
        <v>137</v>
      </c>
      <c r="B269" s="20" t="n">
        <v>45351</v>
      </c>
      <c r="C269" s="16" t="n">
        <v>2024</v>
      </c>
      <c r="D269" s="7" t="s">
        <v>144</v>
      </c>
      <c r="E269" s="7" t="s">
        <v>219</v>
      </c>
      <c r="F269" s="7" t="s">
        <v>187</v>
      </c>
      <c r="G269" s="7" t="s">
        <v>220</v>
      </c>
      <c r="H269" s="7" t="s">
        <v>187</v>
      </c>
      <c r="I269" s="8" t="n">
        <v>-968.59</v>
      </c>
    </row>
    <row r="270" customFormat="false" ht="15" hidden="false" customHeight="false" outlineLevel="0" collapsed="false">
      <c r="A270" s="7" t="s">
        <v>137</v>
      </c>
      <c r="B270" s="20" t="n">
        <v>45351</v>
      </c>
      <c r="C270" s="16" t="n">
        <v>2024</v>
      </c>
      <c r="D270" s="7" t="s">
        <v>146</v>
      </c>
      <c r="E270" s="7" t="s">
        <v>219</v>
      </c>
      <c r="F270" s="7" t="s">
        <v>187</v>
      </c>
      <c r="G270" s="7" t="s">
        <v>220</v>
      </c>
      <c r="H270" s="7" t="s">
        <v>187</v>
      </c>
      <c r="I270" s="8" t="n">
        <v>-576.64</v>
      </c>
    </row>
    <row r="271" customFormat="false" ht="15" hidden="false" customHeight="false" outlineLevel="0" collapsed="false">
      <c r="A271" s="7" t="s">
        <v>137</v>
      </c>
      <c r="B271" s="20" t="n">
        <v>45382</v>
      </c>
      <c r="C271" s="16" t="n">
        <v>2024</v>
      </c>
      <c r="D271" s="7" t="s">
        <v>141</v>
      </c>
      <c r="E271" s="7" t="s">
        <v>248</v>
      </c>
      <c r="F271" s="7" t="s">
        <v>249</v>
      </c>
      <c r="G271" s="7" t="s">
        <v>250</v>
      </c>
      <c r="H271" s="7" t="s">
        <v>251</v>
      </c>
      <c r="I271" s="8" t="n">
        <v>38578.56</v>
      </c>
    </row>
    <row r="272" customFormat="false" ht="15" hidden="false" customHeight="false" outlineLevel="0" collapsed="false">
      <c r="A272" s="7" t="s">
        <v>137</v>
      </c>
      <c r="B272" s="20" t="n">
        <v>45382</v>
      </c>
      <c r="C272" s="16" t="n">
        <v>2024</v>
      </c>
      <c r="D272" s="7" t="s">
        <v>141</v>
      </c>
      <c r="E272" s="7" t="s">
        <v>219</v>
      </c>
      <c r="F272" s="7" t="s">
        <v>187</v>
      </c>
      <c r="G272" s="7" t="s">
        <v>220</v>
      </c>
      <c r="H272" s="7" t="s">
        <v>187</v>
      </c>
      <c r="I272" s="8" t="n">
        <v>-1545.58</v>
      </c>
    </row>
    <row r="273" customFormat="false" ht="15" hidden="false" customHeight="false" outlineLevel="0" collapsed="false">
      <c r="A273" s="7" t="s">
        <v>137</v>
      </c>
      <c r="B273" s="20" t="n">
        <v>45382</v>
      </c>
      <c r="C273" s="16" t="n">
        <v>2024</v>
      </c>
      <c r="D273" s="7" t="s">
        <v>141</v>
      </c>
      <c r="E273" s="7" t="s">
        <v>225</v>
      </c>
      <c r="F273" s="7" t="s">
        <v>226</v>
      </c>
      <c r="G273" s="7" t="s">
        <v>227</v>
      </c>
      <c r="H273" s="7" t="s">
        <v>228</v>
      </c>
      <c r="I273" s="8" t="n">
        <v>-38513.87</v>
      </c>
    </row>
    <row r="274" customFormat="false" ht="15" hidden="false" customHeight="false" outlineLevel="0" collapsed="false">
      <c r="A274" s="7" t="s">
        <v>137</v>
      </c>
      <c r="B274" s="20" t="n">
        <v>45382</v>
      </c>
      <c r="C274" s="16" t="n">
        <v>2024</v>
      </c>
      <c r="D274" s="7" t="s">
        <v>136</v>
      </c>
      <c r="E274" s="7" t="s">
        <v>221</v>
      </c>
      <c r="F274" s="7" t="s">
        <v>222</v>
      </c>
      <c r="G274" s="7" t="s">
        <v>223</v>
      </c>
      <c r="H274" s="7" t="s">
        <v>224</v>
      </c>
      <c r="I274" s="8" t="n">
        <v>-2373.12</v>
      </c>
    </row>
    <row r="275" customFormat="false" ht="15" hidden="false" customHeight="false" outlineLevel="0" collapsed="false">
      <c r="A275" s="7" t="s">
        <v>137</v>
      </c>
      <c r="B275" s="20" t="n">
        <v>45382</v>
      </c>
      <c r="C275" s="16" t="n">
        <v>2024</v>
      </c>
      <c r="D275" s="7" t="s">
        <v>136</v>
      </c>
      <c r="E275" s="7" t="s">
        <v>225</v>
      </c>
      <c r="F275" s="7" t="s">
        <v>226</v>
      </c>
      <c r="G275" s="7" t="s">
        <v>227</v>
      </c>
      <c r="H275" s="7" t="s">
        <v>228</v>
      </c>
      <c r="I275" s="8" t="n">
        <v>2373.12</v>
      </c>
    </row>
    <row r="276" customFormat="false" ht="15" hidden="false" customHeight="false" outlineLevel="0" collapsed="false">
      <c r="A276" s="7" t="s">
        <v>137</v>
      </c>
      <c r="B276" s="20" t="n">
        <v>45382</v>
      </c>
      <c r="C276" s="16" t="n">
        <v>2024</v>
      </c>
      <c r="D276" s="7" t="s">
        <v>149</v>
      </c>
      <c r="E276" s="7" t="s">
        <v>219</v>
      </c>
      <c r="F276" s="7" t="s">
        <v>187</v>
      </c>
      <c r="G276" s="7" t="s">
        <v>220</v>
      </c>
      <c r="H276" s="7" t="s">
        <v>187</v>
      </c>
      <c r="I276" s="8" t="n">
        <v>-1752.94</v>
      </c>
    </row>
    <row r="277" customFormat="false" ht="15" hidden="false" customHeight="false" outlineLevel="0" collapsed="false">
      <c r="A277" s="7" t="s">
        <v>137</v>
      </c>
      <c r="B277" s="20" t="n">
        <v>45382</v>
      </c>
      <c r="C277" s="16" t="n">
        <v>2024</v>
      </c>
      <c r="D277" s="7" t="s">
        <v>153</v>
      </c>
      <c r="E277" s="7" t="s">
        <v>221</v>
      </c>
      <c r="F277" s="7" t="s">
        <v>260</v>
      </c>
      <c r="G277" s="7" t="s">
        <v>261</v>
      </c>
      <c r="H277" s="7" t="s">
        <v>262</v>
      </c>
      <c r="I277" s="8" t="n">
        <v>-1755.35</v>
      </c>
    </row>
    <row r="278" customFormat="false" ht="15" hidden="false" customHeight="false" outlineLevel="0" collapsed="false">
      <c r="A278" s="7" t="s">
        <v>137</v>
      </c>
      <c r="B278" s="20" t="n">
        <v>45382</v>
      </c>
      <c r="C278" s="16" t="n">
        <v>2024</v>
      </c>
      <c r="D278" s="7" t="s">
        <v>153</v>
      </c>
      <c r="E278" s="7" t="s">
        <v>229</v>
      </c>
      <c r="F278" s="7" t="s">
        <v>239</v>
      </c>
      <c r="G278" s="7" t="s">
        <v>240</v>
      </c>
      <c r="H278" s="7" t="s">
        <v>239</v>
      </c>
      <c r="I278" s="8" t="n">
        <v>-271.53</v>
      </c>
    </row>
    <row r="279" customFormat="false" ht="15" hidden="false" customHeight="false" outlineLevel="0" collapsed="false">
      <c r="A279" s="7" t="s">
        <v>137</v>
      </c>
      <c r="B279" s="20" t="n">
        <v>45382</v>
      </c>
      <c r="C279" s="16" t="n">
        <v>2024</v>
      </c>
      <c r="D279" s="7" t="s">
        <v>153</v>
      </c>
      <c r="E279" s="7" t="s">
        <v>229</v>
      </c>
      <c r="F279" s="7" t="s">
        <v>241</v>
      </c>
      <c r="G279" s="7" t="s">
        <v>242</v>
      </c>
      <c r="H279" s="7" t="s">
        <v>243</v>
      </c>
      <c r="I279" s="8" t="n">
        <v>-384.84</v>
      </c>
    </row>
    <row r="280" customFormat="false" ht="15" hidden="false" customHeight="false" outlineLevel="0" collapsed="false">
      <c r="A280" s="7" t="s">
        <v>137</v>
      </c>
      <c r="B280" s="20" t="n">
        <v>45382</v>
      </c>
      <c r="C280" s="16" t="n">
        <v>2024</v>
      </c>
      <c r="D280" s="7" t="s">
        <v>153</v>
      </c>
      <c r="E280" s="7" t="s">
        <v>229</v>
      </c>
      <c r="F280" s="7" t="s">
        <v>233</v>
      </c>
      <c r="G280" s="7" t="s">
        <v>244</v>
      </c>
      <c r="H280" s="7" t="s">
        <v>245</v>
      </c>
      <c r="I280" s="8" t="n">
        <v>-165</v>
      </c>
    </row>
    <row r="281" customFormat="false" ht="15" hidden="false" customHeight="false" outlineLevel="0" collapsed="false">
      <c r="A281" s="7" t="s">
        <v>137</v>
      </c>
      <c r="B281" s="20" t="n">
        <v>45382</v>
      </c>
      <c r="C281" s="16" t="n">
        <v>2024</v>
      </c>
      <c r="D281" s="7" t="s">
        <v>153</v>
      </c>
      <c r="E281" s="7" t="s">
        <v>219</v>
      </c>
      <c r="F281" s="7" t="s">
        <v>187</v>
      </c>
      <c r="G281" s="7" t="s">
        <v>220</v>
      </c>
      <c r="H281" s="7" t="s">
        <v>187</v>
      </c>
      <c r="I281" s="8" t="n">
        <v>-760.08</v>
      </c>
    </row>
    <row r="282" customFormat="false" ht="15" hidden="false" customHeight="false" outlineLevel="0" collapsed="false">
      <c r="A282" s="7" t="s">
        <v>137</v>
      </c>
      <c r="B282" s="20" t="n">
        <v>45382</v>
      </c>
      <c r="C282" s="16" t="n">
        <v>2024</v>
      </c>
      <c r="D282" s="7" t="s">
        <v>153</v>
      </c>
      <c r="E282" s="7" t="s">
        <v>236</v>
      </c>
      <c r="F282" s="7" t="s">
        <v>189</v>
      </c>
      <c r="G282" s="7" t="s">
        <v>237</v>
      </c>
      <c r="H282" s="7" t="s">
        <v>238</v>
      </c>
      <c r="I282" s="8" t="n">
        <v>-73.39</v>
      </c>
    </row>
    <row r="283" customFormat="false" ht="15" hidden="false" customHeight="false" outlineLevel="0" collapsed="false">
      <c r="A283" s="7" t="s">
        <v>137</v>
      </c>
      <c r="B283" s="20" t="n">
        <v>45382</v>
      </c>
      <c r="C283" s="16" t="n">
        <v>2024</v>
      </c>
      <c r="D283" s="7" t="s">
        <v>153</v>
      </c>
      <c r="E283" s="7" t="s">
        <v>236</v>
      </c>
      <c r="F283" s="7" t="s">
        <v>189</v>
      </c>
      <c r="G283" s="7" t="s">
        <v>246</v>
      </c>
      <c r="H283" s="7" t="s">
        <v>247</v>
      </c>
      <c r="I283" s="8" t="n">
        <v>-1121.52</v>
      </c>
    </row>
    <row r="284" customFormat="false" ht="15" hidden="false" customHeight="false" outlineLevel="0" collapsed="false">
      <c r="A284" s="7" t="s">
        <v>137</v>
      </c>
      <c r="B284" s="20" t="n">
        <v>45382</v>
      </c>
      <c r="C284" s="16" t="n">
        <v>2024</v>
      </c>
      <c r="D284" s="7" t="s">
        <v>144</v>
      </c>
      <c r="E284" s="7" t="s">
        <v>221</v>
      </c>
      <c r="F284" s="7" t="s">
        <v>257</v>
      </c>
      <c r="G284" s="7" t="s">
        <v>258</v>
      </c>
      <c r="H284" s="7" t="s">
        <v>259</v>
      </c>
      <c r="I284" s="8" t="n">
        <v>-2710</v>
      </c>
    </row>
    <row r="285" customFormat="false" ht="15" hidden="false" customHeight="false" outlineLevel="0" collapsed="false">
      <c r="A285" s="7" t="s">
        <v>137</v>
      </c>
      <c r="B285" s="20" t="n">
        <v>45382</v>
      </c>
      <c r="C285" s="16" t="n">
        <v>2024</v>
      </c>
      <c r="D285" s="7" t="s">
        <v>144</v>
      </c>
      <c r="E285" s="7" t="s">
        <v>219</v>
      </c>
      <c r="F285" s="7" t="s">
        <v>187</v>
      </c>
      <c r="G285" s="7" t="s">
        <v>220</v>
      </c>
      <c r="H285" s="7" t="s">
        <v>187</v>
      </c>
      <c r="I285" s="8" t="n">
        <v>-968.57</v>
      </c>
    </row>
    <row r="286" customFormat="false" ht="15" hidden="false" customHeight="false" outlineLevel="0" collapsed="false">
      <c r="A286" s="7" t="s">
        <v>137</v>
      </c>
      <c r="B286" s="20" t="n">
        <v>45382</v>
      </c>
      <c r="C286" s="16" t="n">
        <v>2024</v>
      </c>
      <c r="D286" s="7" t="s">
        <v>146</v>
      </c>
      <c r="E286" s="7" t="s">
        <v>221</v>
      </c>
      <c r="F286" s="7" t="s">
        <v>254</v>
      </c>
      <c r="G286" s="7" t="s">
        <v>255</v>
      </c>
      <c r="H286" s="7" t="s">
        <v>256</v>
      </c>
      <c r="I286" s="8" t="n">
        <v>-3200</v>
      </c>
    </row>
    <row r="287" customFormat="false" ht="15" hidden="false" customHeight="false" outlineLevel="0" collapsed="false">
      <c r="A287" s="7" t="s">
        <v>137</v>
      </c>
      <c r="B287" s="20" t="n">
        <v>45382</v>
      </c>
      <c r="C287" s="16" t="n">
        <v>2024</v>
      </c>
      <c r="D287" s="7" t="s">
        <v>146</v>
      </c>
      <c r="E287" s="7" t="s">
        <v>221</v>
      </c>
      <c r="F287" s="7" t="s">
        <v>263</v>
      </c>
      <c r="G287" s="7" t="s">
        <v>264</v>
      </c>
      <c r="H287" s="7" t="s">
        <v>263</v>
      </c>
      <c r="I287" s="8" t="n">
        <v>-1148</v>
      </c>
    </row>
    <row r="288" customFormat="false" ht="15" hidden="false" customHeight="false" outlineLevel="0" collapsed="false">
      <c r="A288" s="7" t="s">
        <v>137</v>
      </c>
      <c r="B288" s="20" t="n">
        <v>45382</v>
      </c>
      <c r="C288" s="16" t="n">
        <v>2024</v>
      </c>
      <c r="D288" s="7" t="s">
        <v>146</v>
      </c>
      <c r="E288" s="7" t="s">
        <v>221</v>
      </c>
      <c r="F288" s="7" t="s">
        <v>257</v>
      </c>
      <c r="G288" s="7" t="s">
        <v>258</v>
      </c>
      <c r="H288" s="7" t="s">
        <v>259</v>
      </c>
      <c r="I288" s="8" t="n">
        <v>-1440</v>
      </c>
    </row>
    <row r="289" customFormat="false" ht="15" hidden="false" customHeight="false" outlineLevel="0" collapsed="false">
      <c r="A289" s="7" t="s">
        <v>137</v>
      </c>
      <c r="B289" s="20" t="n">
        <v>45382</v>
      </c>
      <c r="C289" s="16" t="n">
        <v>2024</v>
      </c>
      <c r="D289" s="7" t="s">
        <v>146</v>
      </c>
      <c r="E289" s="7" t="s">
        <v>219</v>
      </c>
      <c r="F289" s="7" t="s">
        <v>187</v>
      </c>
      <c r="G289" s="7" t="s">
        <v>220</v>
      </c>
      <c r="H289" s="7" t="s">
        <v>187</v>
      </c>
      <c r="I289" s="8" t="n">
        <v>-576.64</v>
      </c>
    </row>
    <row r="290" customFormat="false" ht="15" hidden="false" customHeight="false" outlineLevel="0" collapsed="false">
      <c r="A290" s="7" t="s">
        <v>137</v>
      </c>
      <c r="B290" s="20" t="n">
        <v>45382</v>
      </c>
      <c r="C290" s="16" t="n">
        <v>2024</v>
      </c>
      <c r="D290" s="7" t="s">
        <v>146</v>
      </c>
      <c r="E290" s="7" t="s">
        <v>225</v>
      </c>
      <c r="F290" s="7" t="s">
        <v>226</v>
      </c>
      <c r="G290" s="7" t="s">
        <v>227</v>
      </c>
      <c r="H290" s="7" t="s">
        <v>228</v>
      </c>
      <c r="I290" s="8" t="n">
        <v>5788</v>
      </c>
    </row>
    <row r="291" customFormat="false" ht="15" hidden="false" customHeight="false" outlineLevel="0" collapsed="false">
      <c r="A291" s="7" t="s">
        <v>137</v>
      </c>
      <c r="B291" s="20" t="n">
        <v>45412</v>
      </c>
      <c r="C291" s="16" t="n">
        <v>2024</v>
      </c>
      <c r="D291" s="7" t="s">
        <v>141</v>
      </c>
      <c r="E291" s="7" t="s">
        <v>219</v>
      </c>
      <c r="F291" s="7" t="s">
        <v>187</v>
      </c>
      <c r="G291" s="7" t="s">
        <v>220</v>
      </c>
      <c r="H291" s="7" t="s">
        <v>187</v>
      </c>
      <c r="I291" s="8" t="n">
        <v>-1545.58</v>
      </c>
    </row>
    <row r="292" customFormat="false" ht="15" hidden="false" customHeight="false" outlineLevel="0" collapsed="false">
      <c r="A292" s="7" t="s">
        <v>137</v>
      </c>
      <c r="B292" s="20" t="n">
        <v>45412</v>
      </c>
      <c r="C292" s="16" t="n">
        <v>2024</v>
      </c>
      <c r="D292" s="7" t="s">
        <v>141</v>
      </c>
      <c r="E292" s="7" t="s">
        <v>225</v>
      </c>
      <c r="F292" s="7" t="s">
        <v>226</v>
      </c>
      <c r="G292" s="7" t="s">
        <v>227</v>
      </c>
      <c r="H292" s="7" t="s">
        <v>228</v>
      </c>
      <c r="I292" s="8" t="n">
        <v>194.07</v>
      </c>
    </row>
    <row r="293" customFormat="false" ht="15" hidden="false" customHeight="false" outlineLevel="0" collapsed="false">
      <c r="A293" s="7" t="s">
        <v>137</v>
      </c>
      <c r="B293" s="20" t="n">
        <v>45412</v>
      </c>
      <c r="C293" s="16" t="n">
        <v>2024</v>
      </c>
      <c r="D293" s="7" t="s">
        <v>136</v>
      </c>
      <c r="E293" s="7" t="s">
        <v>221</v>
      </c>
      <c r="F293" s="7" t="s">
        <v>254</v>
      </c>
      <c r="G293" s="7" t="s">
        <v>255</v>
      </c>
      <c r="H293" s="7" t="s">
        <v>256</v>
      </c>
      <c r="I293" s="8" t="n">
        <v>-3470.4</v>
      </c>
    </row>
    <row r="294" customFormat="false" ht="15" hidden="false" customHeight="false" outlineLevel="0" collapsed="false">
      <c r="A294" s="7" t="s">
        <v>137</v>
      </c>
      <c r="B294" s="20" t="n">
        <v>45412</v>
      </c>
      <c r="C294" s="16" t="n">
        <v>2024</v>
      </c>
      <c r="D294" s="7" t="s">
        <v>136</v>
      </c>
      <c r="E294" s="7" t="s">
        <v>221</v>
      </c>
      <c r="F294" s="7" t="s">
        <v>263</v>
      </c>
      <c r="G294" s="7" t="s">
        <v>264</v>
      </c>
      <c r="H294" s="7" t="s">
        <v>263</v>
      </c>
      <c r="I294" s="8" t="n">
        <v>-2175.36</v>
      </c>
    </row>
    <row r="295" customFormat="false" ht="15" hidden="false" customHeight="false" outlineLevel="0" collapsed="false">
      <c r="A295" s="7" t="s">
        <v>137</v>
      </c>
      <c r="B295" s="20" t="n">
        <v>45412</v>
      </c>
      <c r="C295" s="16" t="n">
        <v>2024</v>
      </c>
      <c r="D295" s="7" t="s">
        <v>136</v>
      </c>
      <c r="E295" s="7" t="s">
        <v>221</v>
      </c>
      <c r="F295" s="7" t="s">
        <v>222</v>
      </c>
      <c r="G295" s="7" t="s">
        <v>223</v>
      </c>
      <c r="H295" s="7" t="s">
        <v>224</v>
      </c>
      <c r="I295" s="8" t="n">
        <v>-889.92</v>
      </c>
    </row>
    <row r="296" customFormat="false" ht="15" hidden="false" customHeight="false" outlineLevel="0" collapsed="false">
      <c r="A296" s="7" t="s">
        <v>137</v>
      </c>
      <c r="B296" s="20" t="n">
        <v>45412</v>
      </c>
      <c r="C296" s="16" t="n">
        <v>2024</v>
      </c>
      <c r="D296" s="7" t="s">
        <v>136</v>
      </c>
      <c r="E296" s="7" t="s">
        <v>225</v>
      </c>
      <c r="F296" s="7" t="s">
        <v>226</v>
      </c>
      <c r="G296" s="7" t="s">
        <v>227</v>
      </c>
      <c r="H296" s="7" t="s">
        <v>228</v>
      </c>
      <c r="I296" s="8" t="n">
        <v>6535.68</v>
      </c>
    </row>
    <row r="297" customFormat="false" ht="15" hidden="false" customHeight="false" outlineLevel="0" collapsed="false">
      <c r="A297" s="7" t="s">
        <v>137</v>
      </c>
      <c r="B297" s="20" t="n">
        <v>45412</v>
      </c>
      <c r="C297" s="16" t="n">
        <v>2024</v>
      </c>
      <c r="D297" s="7" t="s">
        <v>149</v>
      </c>
      <c r="E297" s="7" t="s">
        <v>219</v>
      </c>
      <c r="F297" s="7" t="s">
        <v>187</v>
      </c>
      <c r="G297" s="7" t="s">
        <v>220</v>
      </c>
      <c r="H297" s="7" t="s">
        <v>187</v>
      </c>
      <c r="I297" s="8" t="n">
        <v>-1752.94</v>
      </c>
    </row>
    <row r="298" customFormat="false" ht="15" hidden="false" customHeight="false" outlineLevel="0" collapsed="false">
      <c r="A298" s="7" t="s">
        <v>137</v>
      </c>
      <c r="B298" s="20" t="n">
        <v>45412</v>
      </c>
      <c r="C298" s="16" t="n">
        <v>2024</v>
      </c>
      <c r="D298" s="7" t="s">
        <v>153</v>
      </c>
      <c r="E298" s="7" t="s">
        <v>229</v>
      </c>
      <c r="F298" s="7" t="s">
        <v>239</v>
      </c>
      <c r="G298" s="7" t="s">
        <v>240</v>
      </c>
      <c r="H298" s="7" t="s">
        <v>239</v>
      </c>
      <c r="I298" s="8" t="n">
        <v>-241.92</v>
      </c>
    </row>
    <row r="299" customFormat="false" ht="15" hidden="false" customHeight="false" outlineLevel="0" collapsed="false">
      <c r="A299" s="7" t="s">
        <v>137</v>
      </c>
      <c r="B299" s="20" t="n">
        <v>45412</v>
      </c>
      <c r="C299" s="16" t="n">
        <v>2024</v>
      </c>
      <c r="D299" s="7" t="s">
        <v>153</v>
      </c>
      <c r="E299" s="7" t="s">
        <v>229</v>
      </c>
      <c r="F299" s="7" t="s">
        <v>241</v>
      </c>
      <c r="G299" s="7" t="s">
        <v>242</v>
      </c>
      <c r="H299" s="7" t="s">
        <v>243</v>
      </c>
      <c r="I299" s="8" t="n">
        <v>-277.27</v>
      </c>
    </row>
    <row r="300" customFormat="false" ht="15" hidden="false" customHeight="false" outlineLevel="0" collapsed="false">
      <c r="A300" s="7" t="s">
        <v>137</v>
      </c>
      <c r="B300" s="20" t="n">
        <v>45412</v>
      </c>
      <c r="C300" s="16" t="n">
        <v>2024</v>
      </c>
      <c r="D300" s="7" t="s">
        <v>153</v>
      </c>
      <c r="E300" s="7" t="s">
        <v>229</v>
      </c>
      <c r="F300" s="7" t="s">
        <v>233</v>
      </c>
      <c r="G300" s="7" t="s">
        <v>234</v>
      </c>
      <c r="H300" s="7" t="s">
        <v>235</v>
      </c>
      <c r="I300" s="8" t="n">
        <v>-480</v>
      </c>
    </row>
    <row r="301" customFormat="false" ht="15" hidden="false" customHeight="false" outlineLevel="0" collapsed="false">
      <c r="A301" s="7" t="s">
        <v>137</v>
      </c>
      <c r="B301" s="20" t="n">
        <v>45412</v>
      </c>
      <c r="C301" s="16" t="n">
        <v>2024</v>
      </c>
      <c r="D301" s="7" t="s">
        <v>153</v>
      </c>
      <c r="E301" s="7" t="s">
        <v>229</v>
      </c>
      <c r="F301" s="7" t="s">
        <v>233</v>
      </c>
      <c r="G301" s="7" t="s">
        <v>244</v>
      </c>
      <c r="H301" s="7" t="s">
        <v>245</v>
      </c>
      <c r="I301" s="8" t="n">
        <v>-165</v>
      </c>
    </row>
    <row r="302" customFormat="false" ht="15" hidden="false" customHeight="false" outlineLevel="0" collapsed="false">
      <c r="A302" s="7" t="s">
        <v>137</v>
      </c>
      <c r="B302" s="20" t="n">
        <v>45412</v>
      </c>
      <c r="C302" s="16" t="n">
        <v>2024</v>
      </c>
      <c r="D302" s="7" t="s">
        <v>153</v>
      </c>
      <c r="E302" s="7" t="s">
        <v>219</v>
      </c>
      <c r="F302" s="7" t="s">
        <v>187</v>
      </c>
      <c r="G302" s="7" t="s">
        <v>220</v>
      </c>
      <c r="H302" s="7" t="s">
        <v>187</v>
      </c>
      <c r="I302" s="8" t="n">
        <v>-760.07</v>
      </c>
    </row>
    <row r="303" customFormat="false" ht="15" hidden="false" customHeight="false" outlineLevel="0" collapsed="false">
      <c r="A303" s="7" t="s">
        <v>137</v>
      </c>
      <c r="B303" s="20" t="n">
        <v>45412</v>
      </c>
      <c r="C303" s="16" t="n">
        <v>2024</v>
      </c>
      <c r="D303" s="7" t="s">
        <v>153</v>
      </c>
      <c r="E303" s="7" t="s">
        <v>236</v>
      </c>
      <c r="F303" s="7" t="s">
        <v>189</v>
      </c>
      <c r="G303" s="7" t="s">
        <v>237</v>
      </c>
      <c r="H303" s="7" t="s">
        <v>238</v>
      </c>
      <c r="I303" s="8" t="n">
        <v>-70.89</v>
      </c>
    </row>
    <row r="304" customFormat="false" ht="15" hidden="false" customHeight="false" outlineLevel="0" collapsed="false">
      <c r="A304" s="7" t="s">
        <v>137</v>
      </c>
      <c r="B304" s="20" t="n">
        <v>45412</v>
      </c>
      <c r="C304" s="16" t="n">
        <v>2024</v>
      </c>
      <c r="D304" s="7" t="s">
        <v>153</v>
      </c>
      <c r="E304" s="7" t="s">
        <v>236</v>
      </c>
      <c r="F304" s="7" t="s">
        <v>189</v>
      </c>
      <c r="G304" s="7" t="s">
        <v>246</v>
      </c>
      <c r="H304" s="7" t="s">
        <v>247</v>
      </c>
      <c r="I304" s="8" t="n">
        <v>-851.1</v>
      </c>
    </row>
    <row r="305" customFormat="false" ht="15" hidden="false" customHeight="false" outlineLevel="0" collapsed="false">
      <c r="A305" s="7" t="s">
        <v>137</v>
      </c>
      <c r="B305" s="20" t="n">
        <v>45412</v>
      </c>
      <c r="C305" s="16" t="n">
        <v>2024</v>
      </c>
      <c r="D305" s="7" t="s">
        <v>144</v>
      </c>
      <c r="E305" s="7" t="s">
        <v>221</v>
      </c>
      <c r="F305" s="7" t="s">
        <v>254</v>
      </c>
      <c r="G305" s="7" t="s">
        <v>255</v>
      </c>
      <c r="H305" s="7" t="s">
        <v>256</v>
      </c>
      <c r="I305" s="8" t="n">
        <v>-3562.5</v>
      </c>
    </row>
    <row r="306" customFormat="false" ht="15" hidden="false" customHeight="false" outlineLevel="0" collapsed="false">
      <c r="A306" s="7" t="s">
        <v>137</v>
      </c>
      <c r="B306" s="20" t="n">
        <v>45412</v>
      </c>
      <c r="C306" s="16" t="n">
        <v>2024</v>
      </c>
      <c r="D306" s="7" t="s">
        <v>144</v>
      </c>
      <c r="E306" s="7" t="s">
        <v>219</v>
      </c>
      <c r="F306" s="7" t="s">
        <v>187</v>
      </c>
      <c r="G306" s="7" t="s">
        <v>220</v>
      </c>
      <c r="H306" s="7" t="s">
        <v>187</v>
      </c>
      <c r="I306" s="8" t="n">
        <v>-968.59</v>
      </c>
    </row>
    <row r="307" customFormat="false" ht="15" hidden="false" customHeight="false" outlineLevel="0" collapsed="false">
      <c r="A307" s="7" t="s">
        <v>137</v>
      </c>
      <c r="B307" s="20" t="n">
        <v>45412</v>
      </c>
      <c r="C307" s="16" t="n">
        <v>2024</v>
      </c>
      <c r="D307" s="7" t="s">
        <v>146</v>
      </c>
      <c r="E307" s="7" t="s">
        <v>219</v>
      </c>
      <c r="F307" s="7" t="s">
        <v>187</v>
      </c>
      <c r="G307" s="7" t="s">
        <v>220</v>
      </c>
      <c r="H307" s="7" t="s">
        <v>187</v>
      </c>
      <c r="I307" s="8" t="n">
        <v>-576.65</v>
      </c>
    </row>
    <row r="308" customFormat="false" ht="15" hidden="false" customHeight="false" outlineLevel="0" collapsed="false">
      <c r="A308" s="7" t="s">
        <v>137</v>
      </c>
      <c r="B308" s="20" t="n">
        <v>45443</v>
      </c>
      <c r="C308" s="16" t="n">
        <v>2024</v>
      </c>
      <c r="D308" s="7" t="s">
        <v>141</v>
      </c>
      <c r="E308" s="7" t="s">
        <v>248</v>
      </c>
      <c r="F308" s="7" t="s">
        <v>249</v>
      </c>
      <c r="G308" s="7" t="s">
        <v>250</v>
      </c>
      <c r="H308" s="7" t="s">
        <v>251</v>
      </c>
      <c r="I308" s="8" t="n">
        <v>27493.25</v>
      </c>
    </row>
    <row r="309" customFormat="false" ht="15" hidden="false" customHeight="false" outlineLevel="0" collapsed="false">
      <c r="A309" s="7" t="s">
        <v>137</v>
      </c>
      <c r="B309" s="20" t="n">
        <v>45443</v>
      </c>
      <c r="C309" s="16" t="n">
        <v>2024</v>
      </c>
      <c r="D309" s="7" t="s">
        <v>141</v>
      </c>
      <c r="E309" s="7" t="s">
        <v>221</v>
      </c>
      <c r="F309" s="7" t="s">
        <v>260</v>
      </c>
      <c r="G309" s="7" t="s">
        <v>261</v>
      </c>
      <c r="H309" s="7" t="s">
        <v>262</v>
      </c>
      <c r="I309" s="8" t="n">
        <v>-825.6</v>
      </c>
    </row>
    <row r="310" customFormat="false" ht="15" hidden="false" customHeight="false" outlineLevel="0" collapsed="false">
      <c r="A310" s="7" t="s">
        <v>137</v>
      </c>
      <c r="B310" s="20" t="n">
        <v>45443</v>
      </c>
      <c r="C310" s="16" t="n">
        <v>2024</v>
      </c>
      <c r="D310" s="7" t="s">
        <v>141</v>
      </c>
      <c r="E310" s="7" t="s">
        <v>219</v>
      </c>
      <c r="F310" s="7" t="s">
        <v>187</v>
      </c>
      <c r="G310" s="7" t="s">
        <v>220</v>
      </c>
      <c r="H310" s="7" t="s">
        <v>187</v>
      </c>
      <c r="I310" s="8" t="n">
        <v>-1545.58</v>
      </c>
    </row>
    <row r="311" customFormat="false" ht="15" hidden="false" customHeight="false" outlineLevel="0" collapsed="false">
      <c r="A311" s="7" t="s">
        <v>137</v>
      </c>
      <c r="B311" s="20" t="n">
        <v>45443</v>
      </c>
      <c r="C311" s="16" t="n">
        <v>2024</v>
      </c>
      <c r="D311" s="7" t="s">
        <v>141</v>
      </c>
      <c r="E311" s="7" t="s">
        <v>225</v>
      </c>
      <c r="F311" s="7" t="s">
        <v>226</v>
      </c>
      <c r="G311" s="7" t="s">
        <v>227</v>
      </c>
      <c r="H311" s="7" t="s">
        <v>228</v>
      </c>
      <c r="I311" s="8" t="n">
        <v>-27816.7</v>
      </c>
    </row>
    <row r="312" customFormat="false" ht="15" hidden="false" customHeight="false" outlineLevel="0" collapsed="false">
      <c r="A312" s="7" t="s">
        <v>137</v>
      </c>
      <c r="B312" s="20" t="n">
        <v>45443</v>
      </c>
      <c r="C312" s="16" t="n">
        <v>2024</v>
      </c>
      <c r="D312" s="7" t="s">
        <v>136</v>
      </c>
      <c r="E312" s="7" t="s">
        <v>221</v>
      </c>
      <c r="F312" s="7" t="s">
        <v>265</v>
      </c>
      <c r="G312" s="7" t="s">
        <v>266</v>
      </c>
      <c r="H312" s="7" t="s">
        <v>265</v>
      </c>
      <c r="I312" s="8" t="n">
        <v>-8108.16</v>
      </c>
    </row>
    <row r="313" customFormat="false" ht="15" hidden="false" customHeight="false" outlineLevel="0" collapsed="false">
      <c r="A313" s="7" t="s">
        <v>137</v>
      </c>
      <c r="B313" s="20" t="n">
        <v>45443</v>
      </c>
      <c r="C313" s="16" t="n">
        <v>2024</v>
      </c>
      <c r="D313" s="7" t="s">
        <v>136</v>
      </c>
      <c r="E313" s="7" t="s">
        <v>221</v>
      </c>
      <c r="F313" s="7" t="s">
        <v>263</v>
      </c>
      <c r="G313" s="7" t="s">
        <v>264</v>
      </c>
      <c r="H313" s="7" t="s">
        <v>263</v>
      </c>
      <c r="I313" s="8" t="n">
        <v>-1779.84</v>
      </c>
    </row>
    <row r="314" customFormat="false" ht="15" hidden="false" customHeight="false" outlineLevel="0" collapsed="false">
      <c r="A314" s="7" t="s">
        <v>137</v>
      </c>
      <c r="B314" s="20" t="n">
        <v>45443</v>
      </c>
      <c r="C314" s="16" t="n">
        <v>2024</v>
      </c>
      <c r="D314" s="7" t="s">
        <v>136</v>
      </c>
      <c r="E314" s="7" t="s">
        <v>221</v>
      </c>
      <c r="F314" s="7" t="s">
        <v>222</v>
      </c>
      <c r="G314" s="7" t="s">
        <v>223</v>
      </c>
      <c r="H314" s="7" t="s">
        <v>224</v>
      </c>
      <c r="I314" s="8" t="n">
        <v>-2373.12</v>
      </c>
    </row>
    <row r="315" customFormat="false" ht="15" hidden="false" customHeight="false" outlineLevel="0" collapsed="false">
      <c r="A315" s="7" t="s">
        <v>137</v>
      </c>
      <c r="B315" s="20" t="n">
        <v>45443</v>
      </c>
      <c r="C315" s="16" t="n">
        <v>2024</v>
      </c>
      <c r="D315" s="7" t="s">
        <v>136</v>
      </c>
      <c r="E315" s="7" t="s">
        <v>225</v>
      </c>
      <c r="F315" s="7" t="s">
        <v>226</v>
      </c>
      <c r="G315" s="7" t="s">
        <v>227</v>
      </c>
      <c r="H315" s="7" t="s">
        <v>228</v>
      </c>
      <c r="I315" s="8" t="n">
        <v>12261.12</v>
      </c>
    </row>
    <row r="316" customFormat="false" ht="15" hidden="false" customHeight="false" outlineLevel="0" collapsed="false">
      <c r="A316" s="7" t="s">
        <v>137</v>
      </c>
      <c r="B316" s="20" t="n">
        <v>45443</v>
      </c>
      <c r="C316" s="16" t="n">
        <v>2024</v>
      </c>
      <c r="D316" s="7" t="s">
        <v>149</v>
      </c>
      <c r="E316" s="7" t="s">
        <v>221</v>
      </c>
      <c r="F316" s="7" t="s">
        <v>270</v>
      </c>
      <c r="G316" s="7" t="s">
        <v>271</v>
      </c>
      <c r="H316" s="7" t="s">
        <v>272</v>
      </c>
      <c r="I316" s="8" t="n">
        <v>-1467.75</v>
      </c>
    </row>
    <row r="317" customFormat="false" ht="15" hidden="false" customHeight="false" outlineLevel="0" collapsed="false">
      <c r="A317" s="7" t="s">
        <v>137</v>
      </c>
      <c r="B317" s="20" t="n">
        <v>45443</v>
      </c>
      <c r="C317" s="16" t="n">
        <v>2024</v>
      </c>
      <c r="D317" s="7" t="s">
        <v>149</v>
      </c>
      <c r="E317" s="7" t="s">
        <v>221</v>
      </c>
      <c r="F317" s="7" t="s">
        <v>270</v>
      </c>
      <c r="G317" s="7" t="s">
        <v>273</v>
      </c>
      <c r="H317" s="7" t="s">
        <v>274</v>
      </c>
      <c r="I317" s="8" t="n">
        <v>-215.27</v>
      </c>
    </row>
    <row r="318" customFormat="false" ht="15" hidden="false" customHeight="false" outlineLevel="0" collapsed="false">
      <c r="A318" s="7" t="s">
        <v>137</v>
      </c>
      <c r="B318" s="20" t="n">
        <v>45443</v>
      </c>
      <c r="C318" s="16" t="n">
        <v>2024</v>
      </c>
      <c r="D318" s="7" t="s">
        <v>149</v>
      </c>
      <c r="E318" s="7" t="s">
        <v>221</v>
      </c>
      <c r="F318" s="7" t="s">
        <v>260</v>
      </c>
      <c r="G318" s="7" t="s">
        <v>261</v>
      </c>
      <c r="H318" s="7" t="s">
        <v>262</v>
      </c>
      <c r="I318" s="8" t="n">
        <v>-6054.4</v>
      </c>
    </row>
    <row r="319" customFormat="false" ht="15" hidden="false" customHeight="false" outlineLevel="0" collapsed="false">
      <c r="A319" s="7" t="s">
        <v>137</v>
      </c>
      <c r="B319" s="20" t="n">
        <v>45443</v>
      </c>
      <c r="C319" s="16" t="n">
        <v>2024</v>
      </c>
      <c r="D319" s="7" t="s">
        <v>149</v>
      </c>
      <c r="E319" s="7" t="s">
        <v>219</v>
      </c>
      <c r="F319" s="7" t="s">
        <v>187</v>
      </c>
      <c r="G319" s="7" t="s">
        <v>220</v>
      </c>
      <c r="H319" s="7" t="s">
        <v>187</v>
      </c>
      <c r="I319" s="8" t="n">
        <v>-1752.94</v>
      </c>
    </row>
    <row r="320" customFormat="false" ht="15" hidden="false" customHeight="false" outlineLevel="0" collapsed="false">
      <c r="A320" s="7" t="s">
        <v>137</v>
      </c>
      <c r="B320" s="20" t="n">
        <v>45443</v>
      </c>
      <c r="C320" s="16" t="n">
        <v>2024</v>
      </c>
      <c r="D320" s="7" t="s">
        <v>153</v>
      </c>
      <c r="E320" s="7" t="s">
        <v>221</v>
      </c>
      <c r="F320" s="7" t="s">
        <v>270</v>
      </c>
      <c r="G320" s="7" t="s">
        <v>271</v>
      </c>
      <c r="H320" s="7" t="s">
        <v>272</v>
      </c>
      <c r="I320" s="8" t="n">
        <v>-978.5</v>
      </c>
    </row>
    <row r="321" customFormat="false" ht="15" hidden="false" customHeight="false" outlineLevel="0" collapsed="false">
      <c r="A321" s="7" t="s">
        <v>137</v>
      </c>
      <c r="B321" s="20" t="n">
        <v>45443</v>
      </c>
      <c r="C321" s="16" t="n">
        <v>2024</v>
      </c>
      <c r="D321" s="7" t="s">
        <v>153</v>
      </c>
      <c r="E321" s="7" t="s">
        <v>229</v>
      </c>
      <c r="F321" s="7" t="s">
        <v>239</v>
      </c>
      <c r="G321" s="7" t="s">
        <v>240</v>
      </c>
      <c r="H321" s="7" t="s">
        <v>239</v>
      </c>
      <c r="I321" s="8" t="n">
        <v>-281.55</v>
      </c>
    </row>
    <row r="322" customFormat="false" ht="15" hidden="false" customHeight="false" outlineLevel="0" collapsed="false">
      <c r="A322" s="7" t="s">
        <v>137</v>
      </c>
      <c r="B322" s="20" t="n">
        <v>45443</v>
      </c>
      <c r="C322" s="16" t="n">
        <v>2024</v>
      </c>
      <c r="D322" s="7" t="s">
        <v>153</v>
      </c>
      <c r="E322" s="7" t="s">
        <v>229</v>
      </c>
      <c r="F322" s="7" t="s">
        <v>241</v>
      </c>
      <c r="G322" s="7" t="s">
        <v>242</v>
      </c>
      <c r="H322" s="7" t="s">
        <v>243</v>
      </c>
      <c r="I322" s="8" t="n">
        <v>-319.23</v>
      </c>
    </row>
    <row r="323" customFormat="false" ht="15" hidden="false" customHeight="false" outlineLevel="0" collapsed="false">
      <c r="A323" s="7" t="s">
        <v>137</v>
      </c>
      <c r="B323" s="20" t="n">
        <v>45443</v>
      </c>
      <c r="C323" s="16" t="n">
        <v>2024</v>
      </c>
      <c r="D323" s="7" t="s">
        <v>153</v>
      </c>
      <c r="E323" s="7" t="s">
        <v>229</v>
      </c>
      <c r="F323" s="7" t="s">
        <v>233</v>
      </c>
      <c r="G323" s="7" t="s">
        <v>244</v>
      </c>
      <c r="H323" s="7" t="s">
        <v>245</v>
      </c>
      <c r="I323" s="8" t="n">
        <v>-165</v>
      </c>
    </row>
    <row r="324" customFormat="false" ht="15" hidden="false" customHeight="false" outlineLevel="0" collapsed="false">
      <c r="A324" s="7" t="s">
        <v>137</v>
      </c>
      <c r="B324" s="20" t="n">
        <v>45443</v>
      </c>
      <c r="C324" s="16" t="n">
        <v>2024</v>
      </c>
      <c r="D324" s="7" t="s">
        <v>153</v>
      </c>
      <c r="E324" s="7" t="s">
        <v>219</v>
      </c>
      <c r="F324" s="7" t="s">
        <v>187</v>
      </c>
      <c r="G324" s="7" t="s">
        <v>220</v>
      </c>
      <c r="H324" s="7" t="s">
        <v>187</v>
      </c>
      <c r="I324" s="8" t="n">
        <v>-760.07</v>
      </c>
    </row>
    <row r="325" customFormat="false" ht="15" hidden="false" customHeight="false" outlineLevel="0" collapsed="false">
      <c r="A325" s="7" t="s">
        <v>137</v>
      </c>
      <c r="B325" s="20" t="n">
        <v>45443</v>
      </c>
      <c r="C325" s="16" t="n">
        <v>2024</v>
      </c>
      <c r="D325" s="7" t="s">
        <v>153</v>
      </c>
      <c r="E325" s="7" t="s">
        <v>236</v>
      </c>
      <c r="F325" s="7" t="s">
        <v>189</v>
      </c>
      <c r="G325" s="7" t="s">
        <v>237</v>
      </c>
      <c r="H325" s="7" t="s">
        <v>238</v>
      </c>
      <c r="I325" s="8" t="n">
        <v>-68.37</v>
      </c>
    </row>
    <row r="326" customFormat="false" ht="15" hidden="false" customHeight="false" outlineLevel="0" collapsed="false">
      <c r="A326" s="7" t="s">
        <v>137</v>
      </c>
      <c r="B326" s="20" t="n">
        <v>45443</v>
      </c>
      <c r="C326" s="16" t="n">
        <v>2024</v>
      </c>
      <c r="D326" s="7" t="s">
        <v>153</v>
      </c>
      <c r="E326" s="7" t="s">
        <v>236</v>
      </c>
      <c r="F326" s="7" t="s">
        <v>189</v>
      </c>
      <c r="G326" s="7" t="s">
        <v>246</v>
      </c>
      <c r="H326" s="7" t="s">
        <v>247</v>
      </c>
      <c r="I326" s="8" t="n">
        <v>-971.08</v>
      </c>
    </row>
    <row r="327" customFormat="false" ht="15" hidden="false" customHeight="false" outlineLevel="0" collapsed="false">
      <c r="A327" s="7" t="s">
        <v>137</v>
      </c>
      <c r="B327" s="20" t="n">
        <v>45443</v>
      </c>
      <c r="C327" s="16" t="n">
        <v>2024</v>
      </c>
      <c r="D327" s="7" t="s">
        <v>144</v>
      </c>
      <c r="E327" s="7" t="s">
        <v>221</v>
      </c>
      <c r="F327" s="7" t="s">
        <v>265</v>
      </c>
      <c r="G327" s="7" t="s">
        <v>266</v>
      </c>
      <c r="H327" s="7" t="s">
        <v>265</v>
      </c>
      <c r="I327" s="8" t="n">
        <v>-13724.75</v>
      </c>
    </row>
    <row r="328" customFormat="false" ht="15" hidden="false" customHeight="false" outlineLevel="0" collapsed="false">
      <c r="A328" s="7" t="s">
        <v>137</v>
      </c>
      <c r="B328" s="20" t="n">
        <v>45443</v>
      </c>
      <c r="C328" s="16" t="n">
        <v>2024</v>
      </c>
      <c r="D328" s="7" t="s">
        <v>144</v>
      </c>
      <c r="E328" s="7" t="s">
        <v>221</v>
      </c>
      <c r="F328" s="7" t="s">
        <v>263</v>
      </c>
      <c r="G328" s="7" t="s">
        <v>264</v>
      </c>
      <c r="H328" s="7" t="s">
        <v>263</v>
      </c>
      <c r="I328" s="8" t="n">
        <v>-5412</v>
      </c>
    </row>
    <row r="329" customFormat="false" ht="15" hidden="false" customHeight="false" outlineLevel="0" collapsed="false">
      <c r="A329" s="7" t="s">
        <v>137</v>
      </c>
      <c r="B329" s="20" t="n">
        <v>45443</v>
      </c>
      <c r="C329" s="16" t="n">
        <v>2024</v>
      </c>
      <c r="D329" s="7" t="s">
        <v>144</v>
      </c>
      <c r="E329" s="7" t="s">
        <v>221</v>
      </c>
      <c r="F329" s="7" t="s">
        <v>267</v>
      </c>
      <c r="G329" s="7" t="s">
        <v>268</v>
      </c>
      <c r="H329" s="7" t="s">
        <v>269</v>
      </c>
      <c r="I329" s="8" t="n">
        <v>-1375.45</v>
      </c>
    </row>
    <row r="330" customFormat="false" ht="15" hidden="false" customHeight="false" outlineLevel="0" collapsed="false">
      <c r="A330" s="7" t="s">
        <v>137</v>
      </c>
      <c r="B330" s="20" t="n">
        <v>45443</v>
      </c>
      <c r="C330" s="16" t="n">
        <v>2024</v>
      </c>
      <c r="D330" s="7" t="s">
        <v>144</v>
      </c>
      <c r="E330" s="7" t="s">
        <v>219</v>
      </c>
      <c r="F330" s="7" t="s">
        <v>187</v>
      </c>
      <c r="G330" s="7" t="s">
        <v>220</v>
      </c>
      <c r="H330" s="7" t="s">
        <v>187</v>
      </c>
      <c r="I330" s="8" t="n">
        <v>-968.59</v>
      </c>
    </row>
    <row r="331" customFormat="false" ht="15" hidden="false" customHeight="false" outlineLevel="0" collapsed="false">
      <c r="A331" s="7" t="s">
        <v>137</v>
      </c>
      <c r="B331" s="20" t="n">
        <v>45443</v>
      </c>
      <c r="C331" s="16" t="n">
        <v>2024</v>
      </c>
      <c r="D331" s="7" t="s">
        <v>144</v>
      </c>
      <c r="E331" s="7" t="s">
        <v>225</v>
      </c>
      <c r="F331" s="7" t="s">
        <v>226</v>
      </c>
      <c r="G331" s="7" t="s">
        <v>227</v>
      </c>
      <c r="H331" s="7" t="s">
        <v>228</v>
      </c>
      <c r="I331" s="8" t="n">
        <v>26784.7</v>
      </c>
    </row>
    <row r="332" customFormat="false" ht="15" hidden="false" customHeight="false" outlineLevel="0" collapsed="false">
      <c r="A332" s="7" t="s">
        <v>137</v>
      </c>
      <c r="B332" s="20" t="n">
        <v>45443</v>
      </c>
      <c r="C332" s="16" t="n">
        <v>2024</v>
      </c>
      <c r="D332" s="7" t="s">
        <v>146</v>
      </c>
      <c r="E332" s="7" t="s">
        <v>219</v>
      </c>
      <c r="F332" s="7" t="s">
        <v>187</v>
      </c>
      <c r="G332" s="7" t="s">
        <v>220</v>
      </c>
      <c r="H332" s="7" t="s">
        <v>187</v>
      </c>
      <c r="I332" s="8" t="n">
        <v>-576.64</v>
      </c>
    </row>
    <row r="333" customFormat="false" ht="15" hidden="false" customHeight="false" outlineLevel="0" collapsed="false">
      <c r="A333" s="7" t="s">
        <v>137</v>
      </c>
      <c r="B333" s="20" t="n">
        <v>45473</v>
      </c>
      <c r="C333" s="16" t="n">
        <v>2024</v>
      </c>
      <c r="D333" s="7" t="s">
        <v>141</v>
      </c>
      <c r="E333" s="7" t="s">
        <v>219</v>
      </c>
      <c r="F333" s="7" t="s">
        <v>187</v>
      </c>
      <c r="G333" s="7" t="s">
        <v>220</v>
      </c>
      <c r="H333" s="7" t="s">
        <v>187</v>
      </c>
      <c r="I333" s="8" t="n">
        <v>-1545.58</v>
      </c>
    </row>
    <row r="334" customFormat="false" ht="15" hidden="false" customHeight="false" outlineLevel="0" collapsed="false">
      <c r="A334" s="7" t="s">
        <v>137</v>
      </c>
      <c r="B334" s="20" t="n">
        <v>45473</v>
      </c>
      <c r="C334" s="16" t="n">
        <v>2024</v>
      </c>
      <c r="D334" s="7" t="s">
        <v>136</v>
      </c>
      <c r="E334" s="7" t="s">
        <v>221</v>
      </c>
      <c r="F334" s="7" t="s">
        <v>263</v>
      </c>
      <c r="G334" s="7" t="s">
        <v>264</v>
      </c>
      <c r="H334" s="7" t="s">
        <v>263</v>
      </c>
      <c r="I334" s="8" t="n">
        <v>-1384.32</v>
      </c>
    </row>
    <row r="335" customFormat="false" ht="15" hidden="false" customHeight="false" outlineLevel="0" collapsed="false">
      <c r="A335" s="7" t="s">
        <v>137</v>
      </c>
      <c r="B335" s="20" t="n">
        <v>45473</v>
      </c>
      <c r="C335" s="16" t="n">
        <v>2024</v>
      </c>
      <c r="D335" s="7" t="s">
        <v>136</v>
      </c>
      <c r="E335" s="7" t="s">
        <v>221</v>
      </c>
      <c r="F335" s="7" t="s">
        <v>222</v>
      </c>
      <c r="G335" s="7" t="s">
        <v>223</v>
      </c>
      <c r="H335" s="7" t="s">
        <v>224</v>
      </c>
      <c r="I335" s="8" t="n">
        <v>-889.92</v>
      </c>
    </row>
    <row r="336" customFormat="false" ht="15" hidden="false" customHeight="false" outlineLevel="0" collapsed="false">
      <c r="A336" s="7" t="s">
        <v>137</v>
      </c>
      <c r="B336" s="20" t="n">
        <v>45473</v>
      </c>
      <c r="C336" s="16" t="n">
        <v>2024</v>
      </c>
      <c r="D336" s="7" t="s">
        <v>136</v>
      </c>
      <c r="E336" s="7" t="s">
        <v>225</v>
      </c>
      <c r="F336" s="7" t="s">
        <v>226</v>
      </c>
      <c r="G336" s="7" t="s">
        <v>227</v>
      </c>
      <c r="H336" s="7" t="s">
        <v>228</v>
      </c>
      <c r="I336" s="8" t="n">
        <v>2274.24</v>
      </c>
    </row>
    <row r="337" customFormat="false" ht="15" hidden="false" customHeight="false" outlineLevel="0" collapsed="false">
      <c r="A337" s="7" t="s">
        <v>137</v>
      </c>
      <c r="B337" s="20" t="n">
        <v>45473</v>
      </c>
      <c r="C337" s="16" t="n">
        <v>2024</v>
      </c>
      <c r="D337" s="7" t="s">
        <v>149</v>
      </c>
      <c r="E337" s="7" t="s">
        <v>248</v>
      </c>
      <c r="F337" s="7" t="s">
        <v>278</v>
      </c>
      <c r="G337" s="7" t="s">
        <v>279</v>
      </c>
      <c r="H337" s="7" t="s">
        <v>280</v>
      </c>
      <c r="I337" s="8" t="n">
        <v>29600</v>
      </c>
    </row>
    <row r="338" customFormat="false" ht="15" hidden="false" customHeight="false" outlineLevel="0" collapsed="false">
      <c r="A338" s="7" t="s">
        <v>137</v>
      </c>
      <c r="B338" s="20" t="n">
        <v>45473</v>
      </c>
      <c r="C338" s="16" t="n">
        <v>2024</v>
      </c>
      <c r="D338" s="7" t="s">
        <v>149</v>
      </c>
      <c r="E338" s="7" t="s">
        <v>248</v>
      </c>
      <c r="F338" s="7" t="s">
        <v>278</v>
      </c>
      <c r="G338" s="7" t="s">
        <v>281</v>
      </c>
      <c r="H338" s="7" t="s">
        <v>282</v>
      </c>
      <c r="I338" s="8" t="n">
        <v>2474.56</v>
      </c>
    </row>
    <row r="339" customFormat="false" ht="15" hidden="false" customHeight="false" outlineLevel="0" collapsed="false">
      <c r="A339" s="7" t="s">
        <v>137</v>
      </c>
      <c r="B339" s="20" t="n">
        <v>45473</v>
      </c>
      <c r="C339" s="16" t="n">
        <v>2024</v>
      </c>
      <c r="D339" s="7" t="s">
        <v>149</v>
      </c>
      <c r="E339" s="7" t="s">
        <v>221</v>
      </c>
      <c r="F339" s="7" t="s">
        <v>270</v>
      </c>
      <c r="G339" s="7" t="s">
        <v>271</v>
      </c>
      <c r="H339" s="7" t="s">
        <v>272</v>
      </c>
      <c r="I339" s="8" t="n">
        <v>-3003.25</v>
      </c>
    </row>
    <row r="340" customFormat="false" ht="15" hidden="false" customHeight="false" outlineLevel="0" collapsed="false">
      <c r="A340" s="7" t="s">
        <v>137</v>
      </c>
      <c r="B340" s="20" t="n">
        <v>45473</v>
      </c>
      <c r="C340" s="16" t="n">
        <v>2024</v>
      </c>
      <c r="D340" s="7" t="s">
        <v>149</v>
      </c>
      <c r="E340" s="7" t="s">
        <v>221</v>
      </c>
      <c r="F340" s="7" t="s">
        <v>270</v>
      </c>
      <c r="G340" s="7" t="s">
        <v>273</v>
      </c>
      <c r="H340" s="7" t="s">
        <v>274</v>
      </c>
      <c r="I340" s="8" t="n">
        <v>-440.48</v>
      </c>
    </row>
    <row r="341" customFormat="false" ht="15" hidden="false" customHeight="false" outlineLevel="0" collapsed="false">
      <c r="A341" s="7" t="s">
        <v>137</v>
      </c>
      <c r="B341" s="20" t="n">
        <v>45473</v>
      </c>
      <c r="C341" s="16" t="n">
        <v>2024</v>
      </c>
      <c r="D341" s="7" t="s">
        <v>149</v>
      </c>
      <c r="E341" s="7" t="s">
        <v>221</v>
      </c>
      <c r="F341" s="7" t="s">
        <v>260</v>
      </c>
      <c r="G341" s="7" t="s">
        <v>261</v>
      </c>
      <c r="H341" s="7" t="s">
        <v>262</v>
      </c>
      <c r="I341" s="8" t="n">
        <v>-6753.76</v>
      </c>
    </row>
    <row r="342" customFormat="false" ht="15" hidden="false" customHeight="false" outlineLevel="0" collapsed="false">
      <c r="A342" s="7" t="s">
        <v>137</v>
      </c>
      <c r="B342" s="20" t="n">
        <v>45473</v>
      </c>
      <c r="C342" s="16" t="n">
        <v>2024</v>
      </c>
      <c r="D342" s="7" t="s">
        <v>149</v>
      </c>
      <c r="E342" s="7" t="s">
        <v>221</v>
      </c>
      <c r="F342" s="7" t="s">
        <v>283</v>
      </c>
      <c r="G342" s="7" t="s">
        <v>284</v>
      </c>
      <c r="H342" s="7" t="s">
        <v>285</v>
      </c>
      <c r="I342" s="8" t="n">
        <v>-2000</v>
      </c>
    </row>
    <row r="343" customFormat="false" ht="15" hidden="false" customHeight="false" outlineLevel="0" collapsed="false">
      <c r="A343" s="7" t="s">
        <v>137</v>
      </c>
      <c r="B343" s="20" t="n">
        <v>45473</v>
      </c>
      <c r="C343" s="16" t="n">
        <v>2024</v>
      </c>
      <c r="D343" s="7" t="s">
        <v>149</v>
      </c>
      <c r="E343" s="7" t="s">
        <v>219</v>
      </c>
      <c r="F343" s="7" t="s">
        <v>187</v>
      </c>
      <c r="G343" s="7" t="s">
        <v>220</v>
      </c>
      <c r="H343" s="7" t="s">
        <v>187</v>
      </c>
      <c r="I343" s="8" t="n">
        <v>-1752.93</v>
      </c>
    </row>
    <row r="344" customFormat="false" ht="15" hidden="false" customHeight="false" outlineLevel="0" collapsed="false">
      <c r="A344" s="7" t="s">
        <v>137</v>
      </c>
      <c r="B344" s="20" t="n">
        <v>45473</v>
      </c>
      <c r="C344" s="16" t="n">
        <v>2024</v>
      </c>
      <c r="D344" s="7" t="s">
        <v>153</v>
      </c>
      <c r="E344" s="7" t="s">
        <v>221</v>
      </c>
      <c r="F344" s="7" t="s">
        <v>270</v>
      </c>
      <c r="G344" s="7" t="s">
        <v>271</v>
      </c>
      <c r="H344" s="7" t="s">
        <v>272</v>
      </c>
      <c r="I344" s="8" t="n">
        <v>-2002.16</v>
      </c>
    </row>
    <row r="345" customFormat="false" ht="15" hidden="false" customHeight="false" outlineLevel="0" collapsed="false">
      <c r="A345" s="7" t="s">
        <v>137</v>
      </c>
      <c r="B345" s="20" t="n">
        <v>45473</v>
      </c>
      <c r="C345" s="16" t="n">
        <v>2024</v>
      </c>
      <c r="D345" s="7" t="s">
        <v>153</v>
      </c>
      <c r="E345" s="7" t="s">
        <v>229</v>
      </c>
      <c r="F345" s="7" t="s">
        <v>239</v>
      </c>
      <c r="G345" s="7" t="s">
        <v>240</v>
      </c>
      <c r="H345" s="7" t="s">
        <v>239</v>
      </c>
      <c r="I345" s="8" t="n">
        <v>-256.22</v>
      </c>
    </row>
    <row r="346" customFormat="false" ht="15" hidden="false" customHeight="false" outlineLevel="0" collapsed="false">
      <c r="A346" s="7" t="s">
        <v>137</v>
      </c>
      <c r="B346" s="20" t="n">
        <v>45473</v>
      </c>
      <c r="C346" s="16" t="n">
        <v>2024</v>
      </c>
      <c r="D346" s="7" t="s">
        <v>153</v>
      </c>
      <c r="E346" s="7" t="s">
        <v>229</v>
      </c>
      <c r="F346" s="7" t="s">
        <v>241</v>
      </c>
      <c r="G346" s="7" t="s">
        <v>242</v>
      </c>
      <c r="H346" s="7" t="s">
        <v>243</v>
      </c>
      <c r="I346" s="8" t="n">
        <v>-286.19</v>
      </c>
    </row>
    <row r="347" customFormat="false" ht="15" hidden="false" customHeight="false" outlineLevel="0" collapsed="false">
      <c r="A347" s="7" t="s">
        <v>137</v>
      </c>
      <c r="B347" s="20" t="n">
        <v>45473</v>
      </c>
      <c r="C347" s="16" t="n">
        <v>2024</v>
      </c>
      <c r="D347" s="7" t="s">
        <v>153</v>
      </c>
      <c r="E347" s="7" t="s">
        <v>229</v>
      </c>
      <c r="F347" s="7" t="s">
        <v>233</v>
      </c>
      <c r="G347" s="7" t="s">
        <v>244</v>
      </c>
      <c r="H347" s="7" t="s">
        <v>245</v>
      </c>
      <c r="I347" s="8" t="n">
        <v>-165</v>
      </c>
    </row>
    <row r="348" customFormat="false" ht="15" hidden="false" customHeight="false" outlineLevel="0" collapsed="false">
      <c r="A348" s="7" t="s">
        <v>137</v>
      </c>
      <c r="B348" s="20" t="n">
        <v>45473</v>
      </c>
      <c r="C348" s="16" t="n">
        <v>2024</v>
      </c>
      <c r="D348" s="7" t="s">
        <v>153</v>
      </c>
      <c r="E348" s="7" t="s">
        <v>219</v>
      </c>
      <c r="F348" s="7" t="s">
        <v>187</v>
      </c>
      <c r="G348" s="7" t="s">
        <v>220</v>
      </c>
      <c r="H348" s="7" t="s">
        <v>187</v>
      </c>
      <c r="I348" s="8" t="n">
        <v>-760.06</v>
      </c>
    </row>
    <row r="349" customFormat="false" ht="15" hidden="false" customHeight="false" outlineLevel="0" collapsed="false">
      <c r="A349" s="7" t="s">
        <v>137</v>
      </c>
      <c r="B349" s="20" t="n">
        <v>45473</v>
      </c>
      <c r="C349" s="16" t="n">
        <v>2024</v>
      </c>
      <c r="D349" s="7" t="s">
        <v>153</v>
      </c>
      <c r="E349" s="7" t="s">
        <v>236</v>
      </c>
      <c r="F349" s="7" t="s">
        <v>189</v>
      </c>
      <c r="G349" s="7" t="s">
        <v>237</v>
      </c>
      <c r="H349" s="7" t="s">
        <v>238</v>
      </c>
      <c r="I349" s="8" t="n">
        <v>-65.84</v>
      </c>
    </row>
    <row r="350" customFormat="false" ht="15" hidden="false" customHeight="false" outlineLevel="0" collapsed="false">
      <c r="A350" s="7" t="s">
        <v>137</v>
      </c>
      <c r="B350" s="20" t="n">
        <v>45473</v>
      </c>
      <c r="C350" s="16" t="n">
        <v>2024</v>
      </c>
      <c r="D350" s="7" t="s">
        <v>153</v>
      </c>
      <c r="E350" s="7" t="s">
        <v>236</v>
      </c>
      <c r="F350" s="7" t="s">
        <v>189</v>
      </c>
      <c r="G350" s="7" t="s">
        <v>246</v>
      </c>
      <c r="H350" s="7" t="s">
        <v>247</v>
      </c>
      <c r="I350" s="8" t="n">
        <v>-1017.67</v>
      </c>
    </row>
    <row r="351" customFormat="false" ht="15" hidden="false" customHeight="false" outlineLevel="0" collapsed="false">
      <c r="A351" s="7" t="s">
        <v>137</v>
      </c>
      <c r="B351" s="20" t="n">
        <v>45473</v>
      </c>
      <c r="C351" s="16" t="n">
        <v>2024</v>
      </c>
      <c r="D351" s="7" t="s">
        <v>144</v>
      </c>
      <c r="E351" s="7" t="s">
        <v>221</v>
      </c>
      <c r="F351" s="7" t="s">
        <v>263</v>
      </c>
      <c r="G351" s="7" t="s">
        <v>264</v>
      </c>
      <c r="H351" s="7" t="s">
        <v>263</v>
      </c>
      <c r="I351" s="8" t="n">
        <v>-4428</v>
      </c>
    </row>
    <row r="352" customFormat="false" ht="15" hidden="false" customHeight="false" outlineLevel="0" collapsed="false">
      <c r="A352" s="7" t="s">
        <v>137</v>
      </c>
      <c r="B352" s="20" t="n">
        <v>45473</v>
      </c>
      <c r="C352" s="16" t="n">
        <v>2024</v>
      </c>
      <c r="D352" s="7" t="s">
        <v>144</v>
      </c>
      <c r="E352" s="7" t="s">
        <v>219</v>
      </c>
      <c r="F352" s="7" t="s">
        <v>187</v>
      </c>
      <c r="G352" s="7" t="s">
        <v>220</v>
      </c>
      <c r="H352" s="7" t="s">
        <v>187</v>
      </c>
      <c r="I352" s="8" t="n">
        <v>-968.59</v>
      </c>
    </row>
    <row r="353" customFormat="false" ht="15" hidden="false" customHeight="false" outlineLevel="0" collapsed="false">
      <c r="A353" s="7" t="s">
        <v>137</v>
      </c>
      <c r="B353" s="20" t="n">
        <v>45473</v>
      </c>
      <c r="C353" s="16" t="n">
        <v>2024</v>
      </c>
      <c r="D353" s="7" t="s">
        <v>144</v>
      </c>
      <c r="E353" s="7" t="s">
        <v>225</v>
      </c>
      <c r="F353" s="7" t="s">
        <v>226</v>
      </c>
      <c r="G353" s="7" t="s">
        <v>227</v>
      </c>
      <c r="H353" s="7" t="s">
        <v>228</v>
      </c>
      <c r="I353" s="8" t="n">
        <v>4428</v>
      </c>
    </row>
    <row r="354" customFormat="false" ht="15" hidden="false" customHeight="false" outlineLevel="0" collapsed="false">
      <c r="A354" s="7" t="s">
        <v>137</v>
      </c>
      <c r="B354" s="20" t="n">
        <v>45473</v>
      </c>
      <c r="C354" s="16" t="n">
        <v>2024</v>
      </c>
      <c r="D354" s="7" t="s">
        <v>146</v>
      </c>
      <c r="E354" s="7" t="s">
        <v>248</v>
      </c>
      <c r="F354" s="7" t="s">
        <v>249</v>
      </c>
      <c r="G354" s="7" t="s">
        <v>250</v>
      </c>
      <c r="H354" s="7" t="s">
        <v>251</v>
      </c>
      <c r="I354" s="8" t="n">
        <v>12210.24</v>
      </c>
    </row>
    <row r="355" customFormat="false" ht="15" hidden="false" customHeight="false" outlineLevel="0" collapsed="false">
      <c r="A355" s="7" t="s">
        <v>137</v>
      </c>
      <c r="B355" s="20" t="n">
        <v>45473</v>
      </c>
      <c r="C355" s="16" t="n">
        <v>2024</v>
      </c>
      <c r="D355" s="7" t="s">
        <v>146</v>
      </c>
      <c r="E355" s="7" t="s">
        <v>221</v>
      </c>
      <c r="F355" s="7" t="s">
        <v>267</v>
      </c>
      <c r="G355" s="7" t="s">
        <v>268</v>
      </c>
      <c r="H355" s="7" t="s">
        <v>269</v>
      </c>
      <c r="I355" s="8" t="n">
        <v>-593.56</v>
      </c>
    </row>
    <row r="356" customFormat="false" ht="15" hidden="false" customHeight="false" outlineLevel="0" collapsed="false">
      <c r="A356" s="7" t="s">
        <v>137</v>
      </c>
      <c r="B356" s="20" t="n">
        <v>45473</v>
      </c>
      <c r="C356" s="16" t="n">
        <v>2024</v>
      </c>
      <c r="D356" s="7" t="s">
        <v>146</v>
      </c>
      <c r="E356" s="7" t="s">
        <v>221</v>
      </c>
      <c r="F356" s="7" t="s">
        <v>260</v>
      </c>
      <c r="G356" s="7" t="s">
        <v>261</v>
      </c>
      <c r="H356" s="7" t="s">
        <v>262</v>
      </c>
      <c r="I356" s="8" t="n">
        <v>-1318.4</v>
      </c>
    </row>
    <row r="357" customFormat="false" ht="15" hidden="false" customHeight="false" outlineLevel="0" collapsed="false">
      <c r="A357" s="7" t="s">
        <v>137</v>
      </c>
      <c r="B357" s="20" t="n">
        <v>45473</v>
      </c>
      <c r="C357" s="16" t="n">
        <v>2024</v>
      </c>
      <c r="D357" s="7" t="s">
        <v>146</v>
      </c>
      <c r="E357" s="7" t="s">
        <v>219</v>
      </c>
      <c r="F357" s="7" t="s">
        <v>187</v>
      </c>
      <c r="G357" s="7" t="s">
        <v>220</v>
      </c>
      <c r="H357" s="7" t="s">
        <v>187</v>
      </c>
      <c r="I357" s="8" t="n">
        <v>-576.65</v>
      </c>
    </row>
    <row r="358" customFormat="false" ht="15" hidden="false" customHeight="false" outlineLevel="0" collapsed="false">
      <c r="A358" s="7" t="s">
        <v>137</v>
      </c>
      <c r="B358" s="20" t="n">
        <v>45473</v>
      </c>
      <c r="C358" s="16" t="n">
        <v>2024</v>
      </c>
      <c r="D358" s="7" t="s">
        <v>146</v>
      </c>
      <c r="E358" s="7" t="s">
        <v>225</v>
      </c>
      <c r="F358" s="7" t="s">
        <v>226</v>
      </c>
      <c r="G358" s="7" t="s">
        <v>227</v>
      </c>
      <c r="H358" s="7" t="s">
        <v>228</v>
      </c>
      <c r="I358" s="8" t="n">
        <v>-2499.04</v>
      </c>
    </row>
    <row r="359" customFormat="false" ht="15" hidden="false" customHeight="false" outlineLevel="0" collapsed="false">
      <c r="A359" s="7" t="s">
        <v>137</v>
      </c>
      <c r="B359" s="20" t="n">
        <v>45504</v>
      </c>
      <c r="C359" s="16" t="n">
        <v>2024</v>
      </c>
      <c r="D359" s="7" t="s">
        <v>141</v>
      </c>
      <c r="E359" s="7" t="s">
        <v>219</v>
      </c>
      <c r="F359" s="7" t="s">
        <v>187</v>
      </c>
      <c r="G359" s="7" t="s">
        <v>220</v>
      </c>
      <c r="H359" s="7" t="s">
        <v>187</v>
      </c>
      <c r="I359" s="8" t="n">
        <v>-1545.59</v>
      </c>
    </row>
    <row r="360" customFormat="false" ht="15" hidden="false" customHeight="false" outlineLevel="0" collapsed="false">
      <c r="A360" s="7" t="s">
        <v>137</v>
      </c>
      <c r="B360" s="20" t="n">
        <v>45504</v>
      </c>
      <c r="C360" s="16" t="n">
        <v>2024</v>
      </c>
      <c r="D360" s="7" t="s">
        <v>136</v>
      </c>
      <c r="E360" s="7" t="s">
        <v>221</v>
      </c>
      <c r="F360" s="7" t="s">
        <v>263</v>
      </c>
      <c r="G360" s="7" t="s">
        <v>264</v>
      </c>
      <c r="H360" s="7" t="s">
        <v>263</v>
      </c>
      <c r="I360" s="8" t="n">
        <v>-1384.32</v>
      </c>
    </row>
    <row r="361" customFormat="false" ht="15" hidden="false" customHeight="false" outlineLevel="0" collapsed="false">
      <c r="A361" s="7" t="s">
        <v>137</v>
      </c>
      <c r="B361" s="20" t="n">
        <v>45504</v>
      </c>
      <c r="C361" s="16" t="n">
        <v>2024</v>
      </c>
      <c r="D361" s="7" t="s">
        <v>136</v>
      </c>
      <c r="E361" s="7" t="s">
        <v>221</v>
      </c>
      <c r="F361" s="7" t="s">
        <v>222</v>
      </c>
      <c r="G361" s="7" t="s">
        <v>223</v>
      </c>
      <c r="H361" s="7" t="s">
        <v>224</v>
      </c>
      <c r="I361" s="8" t="n">
        <v>-889.92</v>
      </c>
    </row>
    <row r="362" customFormat="false" ht="15" hidden="false" customHeight="false" outlineLevel="0" collapsed="false">
      <c r="A362" s="7" t="s">
        <v>137</v>
      </c>
      <c r="B362" s="20" t="n">
        <v>45504</v>
      </c>
      <c r="C362" s="16" t="n">
        <v>2024</v>
      </c>
      <c r="D362" s="7" t="s">
        <v>136</v>
      </c>
      <c r="E362" s="7" t="s">
        <v>225</v>
      </c>
      <c r="F362" s="7" t="s">
        <v>226</v>
      </c>
      <c r="G362" s="7" t="s">
        <v>227</v>
      </c>
      <c r="H362" s="7" t="s">
        <v>228</v>
      </c>
      <c r="I362" s="8" t="n">
        <v>2274.24</v>
      </c>
    </row>
    <row r="363" customFormat="false" ht="15" hidden="false" customHeight="false" outlineLevel="0" collapsed="false">
      <c r="A363" s="7" t="s">
        <v>137</v>
      </c>
      <c r="B363" s="20" t="n">
        <v>45504</v>
      </c>
      <c r="C363" s="16" t="n">
        <v>2024</v>
      </c>
      <c r="D363" s="7" t="s">
        <v>149</v>
      </c>
      <c r="E363" s="7" t="s">
        <v>248</v>
      </c>
      <c r="F363" s="7" t="s">
        <v>278</v>
      </c>
      <c r="G363" s="7" t="s">
        <v>279</v>
      </c>
      <c r="H363" s="7" t="s">
        <v>280</v>
      </c>
      <c r="I363" s="8" t="n">
        <v>48240</v>
      </c>
    </row>
    <row r="364" customFormat="false" ht="15" hidden="false" customHeight="false" outlineLevel="0" collapsed="false">
      <c r="A364" s="7" t="s">
        <v>137</v>
      </c>
      <c r="B364" s="20" t="n">
        <v>45504</v>
      </c>
      <c r="C364" s="16" t="n">
        <v>2024</v>
      </c>
      <c r="D364" s="7" t="s">
        <v>149</v>
      </c>
      <c r="E364" s="7" t="s">
        <v>248</v>
      </c>
      <c r="F364" s="7" t="s">
        <v>278</v>
      </c>
      <c r="G364" s="7" t="s">
        <v>281</v>
      </c>
      <c r="H364" s="7" t="s">
        <v>282</v>
      </c>
      <c r="I364" s="8" t="n">
        <v>4032.86</v>
      </c>
    </row>
    <row r="365" customFormat="false" ht="15" hidden="false" customHeight="false" outlineLevel="0" collapsed="false">
      <c r="A365" s="7" t="s">
        <v>137</v>
      </c>
      <c r="B365" s="20" t="n">
        <v>45504</v>
      </c>
      <c r="C365" s="16" t="n">
        <v>2024</v>
      </c>
      <c r="D365" s="7" t="s">
        <v>149</v>
      </c>
      <c r="E365" s="7" t="s">
        <v>221</v>
      </c>
      <c r="F365" s="7" t="s">
        <v>270</v>
      </c>
      <c r="G365" s="7" t="s">
        <v>271</v>
      </c>
      <c r="H365" s="7" t="s">
        <v>272</v>
      </c>
      <c r="I365" s="8" t="n">
        <v>-2033.98</v>
      </c>
    </row>
    <row r="366" customFormat="false" ht="15" hidden="false" customHeight="false" outlineLevel="0" collapsed="false">
      <c r="A366" s="7" t="s">
        <v>137</v>
      </c>
      <c r="B366" s="20" t="n">
        <v>45504</v>
      </c>
      <c r="C366" s="16" t="n">
        <v>2024</v>
      </c>
      <c r="D366" s="7" t="s">
        <v>149</v>
      </c>
      <c r="E366" s="7" t="s">
        <v>221</v>
      </c>
      <c r="F366" s="7" t="s">
        <v>270</v>
      </c>
      <c r="G366" s="7" t="s">
        <v>273</v>
      </c>
      <c r="H366" s="7" t="s">
        <v>274</v>
      </c>
      <c r="I366" s="8" t="n">
        <v>-298.31</v>
      </c>
    </row>
    <row r="367" customFormat="false" ht="15" hidden="false" customHeight="false" outlineLevel="0" collapsed="false">
      <c r="A367" s="7" t="s">
        <v>137</v>
      </c>
      <c r="B367" s="20" t="n">
        <v>45504</v>
      </c>
      <c r="C367" s="16" t="n">
        <v>2024</v>
      </c>
      <c r="D367" s="7" t="s">
        <v>149</v>
      </c>
      <c r="E367" s="7" t="s">
        <v>221</v>
      </c>
      <c r="F367" s="7" t="s">
        <v>267</v>
      </c>
      <c r="G367" s="7" t="s">
        <v>268</v>
      </c>
      <c r="H367" s="7" t="s">
        <v>269</v>
      </c>
      <c r="I367" s="8" t="n">
        <v>-9728.25</v>
      </c>
    </row>
    <row r="368" customFormat="false" ht="15" hidden="false" customHeight="false" outlineLevel="0" collapsed="false">
      <c r="A368" s="7" t="s">
        <v>137</v>
      </c>
      <c r="B368" s="20" t="n">
        <v>45504</v>
      </c>
      <c r="C368" s="16" t="n">
        <v>2024</v>
      </c>
      <c r="D368" s="7" t="s">
        <v>149</v>
      </c>
      <c r="E368" s="7" t="s">
        <v>219</v>
      </c>
      <c r="F368" s="7" t="s">
        <v>187</v>
      </c>
      <c r="G368" s="7" t="s">
        <v>220</v>
      </c>
      <c r="H368" s="7" t="s">
        <v>187</v>
      </c>
      <c r="I368" s="8" t="n">
        <v>-1752.94</v>
      </c>
    </row>
    <row r="369" customFormat="false" ht="15" hidden="false" customHeight="false" outlineLevel="0" collapsed="false">
      <c r="A369" s="7" t="s">
        <v>137</v>
      </c>
      <c r="B369" s="20" t="n">
        <v>45504</v>
      </c>
      <c r="C369" s="16" t="n">
        <v>2024</v>
      </c>
      <c r="D369" s="7" t="s">
        <v>153</v>
      </c>
      <c r="E369" s="7" t="s">
        <v>221</v>
      </c>
      <c r="F369" s="7" t="s">
        <v>270</v>
      </c>
      <c r="G369" s="7" t="s">
        <v>271</v>
      </c>
      <c r="H369" s="7" t="s">
        <v>272</v>
      </c>
      <c r="I369" s="8" t="n">
        <v>-1355.98</v>
      </c>
    </row>
    <row r="370" customFormat="false" ht="15" hidden="false" customHeight="false" outlineLevel="0" collapsed="false">
      <c r="A370" s="7" t="s">
        <v>137</v>
      </c>
      <c r="B370" s="20" t="n">
        <v>45504</v>
      </c>
      <c r="C370" s="16" t="n">
        <v>2024</v>
      </c>
      <c r="D370" s="7" t="s">
        <v>153</v>
      </c>
      <c r="E370" s="7" t="s">
        <v>229</v>
      </c>
      <c r="F370" s="7" t="s">
        <v>239</v>
      </c>
      <c r="G370" s="7" t="s">
        <v>240</v>
      </c>
      <c r="H370" s="7" t="s">
        <v>239</v>
      </c>
      <c r="I370" s="8" t="n">
        <v>-235.28</v>
      </c>
    </row>
    <row r="371" customFormat="false" ht="15" hidden="false" customHeight="false" outlineLevel="0" collapsed="false">
      <c r="A371" s="7" t="s">
        <v>137</v>
      </c>
      <c r="B371" s="20" t="n">
        <v>45504</v>
      </c>
      <c r="C371" s="16" t="n">
        <v>2024</v>
      </c>
      <c r="D371" s="7" t="s">
        <v>153</v>
      </c>
      <c r="E371" s="7" t="s">
        <v>229</v>
      </c>
      <c r="F371" s="7" t="s">
        <v>241</v>
      </c>
      <c r="G371" s="7" t="s">
        <v>242</v>
      </c>
      <c r="H371" s="7" t="s">
        <v>243</v>
      </c>
      <c r="I371" s="8" t="n">
        <v>-419.32</v>
      </c>
    </row>
    <row r="372" customFormat="false" ht="15" hidden="false" customHeight="false" outlineLevel="0" collapsed="false">
      <c r="A372" s="7" t="s">
        <v>137</v>
      </c>
      <c r="B372" s="20" t="n">
        <v>45504</v>
      </c>
      <c r="C372" s="16" t="n">
        <v>2024</v>
      </c>
      <c r="D372" s="7" t="s">
        <v>153</v>
      </c>
      <c r="E372" s="7" t="s">
        <v>229</v>
      </c>
      <c r="F372" s="7" t="s">
        <v>233</v>
      </c>
      <c r="G372" s="7" t="s">
        <v>244</v>
      </c>
      <c r="H372" s="7" t="s">
        <v>245</v>
      </c>
      <c r="I372" s="8" t="n">
        <v>-165</v>
      </c>
    </row>
    <row r="373" customFormat="false" ht="15" hidden="false" customHeight="false" outlineLevel="0" collapsed="false">
      <c r="A373" s="7" t="s">
        <v>137</v>
      </c>
      <c r="B373" s="20" t="n">
        <v>45504</v>
      </c>
      <c r="C373" s="16" t="n">
        <v>2024</v>
      </c>
      <c r="D373" s="7" t="s">
        <v>153</v>
      </c>
      <c r="E373" s="7" t="s">
        <v>219</v>
      </c>
      <c r="F373" s="7" t="s">
        <v>187</v>
      </c>
      <c r="G373" s="7" t="s">
        <v>220</v>
      </c>
      <c r="H373" s="7" t="s">
        <v>187</v>
      </c>
      <c r="I373" s="8" t="n">
        <v>-760.07</v>
      </c>
    </row>
    <row r="374" customFormat="false" ht="15" hidden="false" customHeight="false" outlineLevel="0" collapsed="false">
      <c r="A374" s="7" t="s">
        <v>137</v>
      </c>
      <c r="B374" s="20" t="n">
        <v>45504</v>
      </c>
      <c r="C374" s="16" t="n">
        <v>2024</v>
      </c>
      <c r="D374" s="7" t="s">
        <v>153</v>
      </c>
      <c r="E374" s="7" t="s">
        <v>236</v>
      </c>
      <c r="F374" s="7" t="s">
        <v>189</v>
      </c>
      <c r="G374" s="7" t="s">
        <v>237</v>
      </c>
      <c r="H374" s="7" t="s">
        <v>238</v>
      </c>
      <c r="I374" s="8" t="n">
        <v>-63.31</v>
      </c>
    </row>
    <row r="375" customFormat="false" ht="15" hidden="false" customHeight="false" outlineLevel="0" collapsed="false">
      <c r="A375" s="7" t="s">
        <v>137</v>
      </c>
      <c r="B375" s="20" t="n">
        <v>45504</v>
      </c>
      <c r="C375" s="16" t="n">
        <v>2024</v>
      </c>
      <c r="D375" s="7" t="s">
        <v>153</v>
      </c>
      <c r="E375" s="7" t="s">
        <v>236</v>
      </c>
      <c r="F375" s="7" t="s">
        <v>189</v>
      </c>
      <c r="G375" s="7" t="s">
        <v>246</v>
      </c>
      <c r="H375" s="7" t="s">
        <v>247</v>
      </c>
      <c r="I375" s="8" t="n">
        <v>-1262.33</v>
      </c>
    </row>
    <row r="376" customFormat="false" ht="15" hidden="false" customHeight="false" outlineLevel="0" collapsed="false">
      <c r="A376" s="7" t="s">
        <v>137</v>
      </c>
      <c r="B376" s="20" t="n">
        <v>45504</v>
      </c>
      <c r="C376" s="16" t="n">
        <v>2024</v>
      </c>
      <c r="D376" s="7" t="s">
        <v>144</v>
      </c>
      <c r="E376" s="7" t="s">
        <v>221</v>
      </c>
      <c r="F376" s="7" t="s">
        <v>263</v>
      </c>
      <c r="G376" s="7" t="s">
        <v>264</v>
      </c>
      <c r="H376" s="7" t="s">
        <v>263</v>
      </c>
      <c r="I376" s="8" t="n">
        <v>-2818.75</v>
      </c>
    </row>
    <row r="377" customFormat="false" ht="15" hidden="false" customHeight="false" outlineLevel="0" collapsed="false">
      <c r="A377" s="7" t="s">
        <v>137</v>
      </c>
      <c r="B377" s="20" t="n">
        <v>45504</v>
      </c>
      <c r="C377" s="16" t="n">
        <v>2024</v>
      </c>
      <c r="D377" s="7" t="s">
        <v>144</v>
      </c>
      <c r="E377" s="7" t="s">
        <v>221</v>
      </c>
      <c r="F377" s="7" t="s">
        <v>275</v>
      </c>
      <c r="G377" s="7" t="s">
        <v>276</v>
      </c>
      <c r="H377" s="7" t="s">
        <v>277</v>
      </c>
      <c r="I377" s="8" t="n">
        <v>-3995</v>
      </c>
    </row>
    <row r="378" customFormat="false" ht="15" hidden="false" customHeight="false" outlineLevel="0" collapsed="false">
      <c r="A378" s="7" t="s">
        <v>137</v>
      </c>
      <c r="B378" s="20" t="n">
        <v>45504</v>
      </c>
      <c r="C378" s="16" t="n">
        <v>2024</v>
      </c>
      <c r="D378" s="7" t="s">
        <v>144</v>
      </c>
      <c r="E378" s="7" t="s">
        <v>219</v>
      </c>
      <c r="F378" s="7" t="s">
        <v>187</v>
      </c>
      <c r="G378" s="7" t="s">
        <v>220</v>
      </c>
      <c r="H378" s="7" t="s">
        <v>187</v>
      </c>
      <c r="I378" s="8" t="n">
        <v>-968.59</v>
      </c>
    </row>
    <row r="379" customFormat="false" ht="15" hidden="false" customHeight="false" outlineLevel="0" collapsed="false">
      <c r="A379" s="7" t="s">
        <v>137</v>
      </c>
      <c r="B379" s="20" t="n">
        <v>45504</v>
      </c>
      <c r="C379" s="16" t="n">
        <v>2024</v>
      </c>
      <c r="D379" s="7" t="s">
        <v>144</v>
      </c>
      <c r="E379" s="7" t="s">
        <v>225</v>
      </c>
      <c r="F379" s="7" t="s">
        <v>226</v>
      </c>
      <c r="G379" s="7" t="s">
        <v>227</v>
      </c>
      <c r="H379" s="7" t="s">
        <v>228</v>
      </c>
      <c r="I379" s="8" t="n">
        <v>6813.75</v>
      </c>
    </row>
    <row r="380" customFormat="false" ht="15" hidden="false" customHeight="false" outlineLevel="0" collapsed="false">
      <c r="A380" s="7" t="s">
        <v>137</v>
      </c>
      <c r="B380" s="20" t="n">
        <v>45504</v>
      </c>
      <c r="C380" s="16" t="n">
        <v>2024</v>
      </c>
      <c r="D380" s="7" t="s">
        <v>146</v>
      </c>
      <c r="E380" s="7" t="s">
        <v>219</v>
      </c>
      <c r="F380" s="7" t="s">
        <v>187</v>
      </c>
      <c r="G380" s="7" t="s">
        <v>220</v>
      </c>
      <c r="H380" s="7" t="s">
        <v>187</v>
      </c>
      <c r="I380" s="8" t="n">
        <v>-576.64</v>
      </c>
    </row>
    <row r="381" customFormat="false" ht="15" hidden="false" customHeight="false" outlineLevel="0" collapsed="false">
      <c r="A381" s="7" t="s">
        <v>137</v>
      </c>
      <c r="B381" s="20" t="n">
        <v>45504</v>
      </c>
      <c r="C381" s="16" t="n">
        <v>2024</v>
      </c>
      <c r="D381" s="7" t="s">
        <v>146</v>
      </c>
      <c r="E381" s="7" t="s">
        <v>225</v>
      </c>
      <c r="F381" s="7" t="s">
        <v>226</v>
      </c>
      <c r="G381" s="7" t="s">
        <v>227</v>
      </c>
      <c r="H381" s="7" t="s">
        <v>228</v>
      </c>
      <c r="I381" s="8" t="n">
        <v>-14.72</v>
      </c>
    </row>
    <row r="382" customFormat="false" ht="15" hidden="false" customHeight="false" outlineLevel="0" collapsed="false">
      <c r="A382" s="7" t="s">
        <v>137</v>
      </c>
      <c r="B382" s="20" t="n">
        <v>45535</v>
      </c>
      <c r="C382" s="16" t="n">
        <v>2024</v>
      </c>
      <c r="D382" s="7" t="s">
        <v>141</v>
      </c>
      <c r="E382" s="7" t="s">
        <v>219</v>
      </c>
      <c r="F382" s="7" t="s">
        <v>187</v>
      </c>
      <c r="G382" s="7" t="s">
        <v>220</v>
      </c>
      <c r="H382" s="7" t="s">
        <v>187</v>
      </c>
      <c r="I382" s="8" t="n">
        <v>-1624.96</v>
      </c>
    </row>
    <row r="383" customFormat="false" ht="15" hidden="false" customHeight="false" outlineLevel="0" collapsed="false">
      <c r="A383" s="7" t="s">
        <v>137</v>
      </c>
      <c r="B383" s="20" t="n">
        <v>45535</v>
      </c>
      <c r="C383" s="16" t="n">
        <v>2024</v>
      </c>
      <c r="D383" s="7" t="s">
        <v>136</v>
      </c>
      <c r="E383" s="7" t="s">
        <v>221</v>
      </c>
      <c r="F383" s="7" t="s">
        <v>257</v>
      </c>
      <c r="G383" s="7" t="s">
        <v>258</v>
      </c>
      <c r="H383" s="7" t="s">
        <v>259</v>
      </c>
      <c r="I383" s="8" t="n">
        <v>-1433.76</v>
      </c>
    </row>
    <row r="384" customFormat="false" ht="15" hidden="false" customHeight="false" outlineLevel="0" collapsed="false">
      <c r="A384" s="7" t="s">
        <v>137</v>
      </c>
      <c r="B384" s="20" t="n">
        <v>45535</v>
      </c>
      <c r="C384" s="16" t="n">
        <v>2024</v>
      </c>
      <c r="D384" s="7" t="s">
        <v>136</v>
      </c>
      <c r="E384" s="7" t="s">
        <v>225</v>
      </c>
      <c r="F384" s="7" t="s">
        <v>226</v>
      </c>
      <c r="G384" s="7" t="s">
        <v>227</v>
      </c>
      <c r="H384" s="7" t="s">
        <v>228</v>
      </c>
      <c r="I384" s="8" t="n">
        <v>1433.76</v>
      </c>
    </row>
    <row r="385" customFormat="false" ht="15" hidden="false" customHeight="false" outlineLevel="0" collapsed="false">
      <c r="A385" s="7" t="s">
        <v>137</v>
      </c>
      <c r="B385" s="20" t="n">
        <v>45535</v>
      </c>
      <c r="C385" s="16" t="n">
        <v>2024</v>
      </c>
      <c r="D385" s="7" t="s">
        <v>149</v>
      </c>
      <c r="E385" s="7" t="s">
        <v>221</v>
      </c>
      <c r="F385" s="7" t="s">
        <v>270</v>
      </c>
      <c r="G385" s="7" t="s">
        <v>271</v>
      </c>
      <c r="H385" s="7" t="s">
        <v>272</v>
      </c>
      <c r="I385" s="8" t="n">
        <v>-1450.71</v>
      </c>
    </row>
    <row r="386" customFormat="false" ht="15" hidden="false" customHeight="false" outlineLevel="0" collapsed="false">
      <c r="A386" s="7" t="s">
        <v>137</v>
      </c>
      <c r="B386" s="20" t="n">
        <v>45535</v>
      </c>
      <c r="C386" s="16" t="n">
        <v>2024</v>
      </c>
      <c r="D386" s="7" t="s">
        <v>149</v>
      </c>
      <c r="E386" s="7" t="s">
        <v>221</v>
      </c>
      <c r="F386" s="7" t="s">
        <v>270</v>
      </c>
      <c r="G386" s="7" t="s">
        <v>273</v>
      </c>
      <c r="H386" s="7" t="s">
        <v>274</v>
      </c>
      <c r="I386" s="8" t="n">
        <v>-212.77</v>
      </c>
    </row>
    <row r="387" customFormat="false" ht="15" hidden="false" customHeight="false" outlineLevel="0" collapsed="false">
      <c r="A387" s="7" t="s">
        <v>137</v>
      </c>
      <c r="B387" s="20" t="n">
        <v>45535</v>
      </c>
      <c r="C387" s="16" t="n">
        <v>2024</v>
      </c>
      <c r="D387" s="7" t="s">
        <v>149</v>
      </c>
      <c r="E387" s="7" t="s">
        <v>219</v>
      </c>
      <c r="F387" s="7" t="s">
        <v>187</v>
      </c>
      <c r="G387" s="7" t="s">
        <v>220</v>
      </c>
      <c r="H387" s="7" t="s">
        <v>187</v>
      </c>
      <c r="I387" s="8" t="n">
        <v>-2149.82</v>
      </c>
    </row>
    <row r="388" customFormat="false" ht="15" hidden="false" customHeight="false" outlineLevel="0" collapsed="false">
      <c r="A388" s="7" t="s">
        <v>137</v>
      </c>
      <c r="B388" s="20" t="n">
        <v>45535</v>
      </c>
      <c r="C388" s="16" t="n">
        <v>2024</v>
      </c>
      <c r="D388" s="7" t="s">
        <v>153</v>
      </c>
      <c r="E388" s="7" t="s">
        <v>221</v>
      </c>
      <c r="F388" s="7" t="s">
        <v>270</v>
      </c>
      <c r="G388" s="7" t="s">
        <v>271</v>
      </c>
      <c r="H388" s="7" t="s">
        <v>272</v>
      </c>
      <c r="I388" s="8" t="n">
        <v>-967.13</v>
      </c>
    </row>
    <row r="389" customFormat="false" ht="15" hidden="false" customHeight="false" outlineLevel="0" collapsed="false">
      <c r="A389" s="7" t="s">
        <v>137</v>
      </c>
      <c r="B389" s="20" t="n">
        <v>45535</v>
      </c>
      <c r="C389" s="16" t="n">
        <v>2024</v>
      </c>
      <c r="D389" s="7" t="s">
        <v>153</v>
      </c>
      <c r="E389" s="7" t="s">
        <v>229</v>
      </c>
      <c r="F389" s="7" t="s">
        <v>239</v>
      </c>
      <c r="G389" s="7" t="s">
        <v>240</v>
      </c>
      <c r="H389" s="7" t="s">
        <v>239</v>
      </c>
      <c r="I389" s="8" t="n">
        <v>-252.33</v>
      </c>
    </row>
    <row r="390" customFormat="false" ht="15" hidden="false" customHeight="false" outlineLevel="0" collapsed="false">
      <c r="A390" s="7" t="s">
        <v>137</v>
      </c>
      <c r="B390" s="20" t="n">
        <v>45535</v>
      </c>
      <c r="C390" s="16" t="n">
        <v>2024</v>
      </c>
      <c r="D390" s="7" t="s">
        <v>153</v>
      </c>
      <c r="E390" s="7" t="s">
        <v>229</v>
      </c>
      <c r="F390" s="7" t="s">
        <v>241</v>
      </c>
      <c r="G390" s="7" t="s">
        <v>242</v>
      </c>
      <c r="H390" s="7" t="s">
        <v>243</v>
      </c>
      <c r="I390" s="8" t="n">
        <v>-270.56</v>
      </c>
    </row>
    <row r="391" customFormat="false" ht="15" hidden="false" customHeight="false" outlineLevel="0" collapsed="false">
      <c r="A391" s="7" t="s">
        <v>137</v>
      </c>
      <c r="B391" s="20" t="n">
        <v>45535</v>
      </c>
      <c r="C391" s="16" t="n">
        <v>2024</v>
      </c>
      <c r="D391" s="7" t="s">
        <v>153</v>
      </c>
      <c r="E391" s="7" t="s">
        <v>229</v>
      </c>
      <c r="F391" s="7" t="s">
        <v>233</v>
      </c>
      <c r="G391" s="7" t="s">
        <v>244</v>
      </c>
      <c r="H391" s="7" t="s">
        <v>245</v>
      </c>
      <c r="I391" s="8" t="n">
        <v>-165</v>
      </c>
    </row>
    <row r="392" customFormat="false" ht="15" hidden="false" customHeight="false" outlineLevel="0" collapsed="false">
      <c r="A392" s="7" t="s">
        <v>137</v>
      </c>
      <c r="B392" s="20" t="n">
        <v>45535</v>
      </c>
      <c r="C392" s="16" t="n">
        <v>2024</v>
      </c>
      <c r="D392" s="7" t="s">
        <v>153</v>
      </c>
      <c r="E392" s="7" t="s">
        <v>219</v>
      </c>
      <c r="F392" s="7" t="s">
        <v>187</v>
      </c>
      <c r="G392" s="7" t="s">
        <v>220</v>
      </c>
      <c r="H392" s="7" t="s">
        <v>187</v>
      </c>
      <c r="I392" s="8" t="n">
        <v>-760.08</v>
      </c>
    </row>
    <row r="393" customFormat="false" ht="15" hidden="false" customHeight="false" outlineLevel="0" collapsed="false">
      <c r="A393" s="7" t="s">
        <v>137</v>
      </c>
      <c r="B393" s="20" t="n">
        <v>45535</v>
      </c>
      <c r="C393" s="16" t="n">
        <v>2024</v>
      </c>
      <c r="D393" s="7" t="s">
        <v>153</v>
      </c>
      <c r="E393" s="7" t="s">
        <v>236</v>
      </c>
      <c r="F393" s="7" t="s">
        <v>189</v>
      </c>
      <c r="G393" s="7" t="s">
        <v>237</v>
      </c>
      <c r="H393" s="7" t="s">
        <v>238</v>
      </c>
      <c r="I393" s="8" t="n">
        <v>-60.77</v>
      </c>
    </row>
    <row r="394" customFormat="false" ht="15" hidden="false" customHeight="false" outlineLevel="0" collapsed="false">
      <c r="A394" s="7" t="s">
        <v>137</v>
      </c>
      <c r="B394" s="20" t="n">
        <v>45535</v>
      </c>
      <c r="C394" s="16" t="n">
        <v>2024</v>
      </c>
      <c r="D394" s="7" t="s">
        <v>153</v>
      </c>
      <c r="E394" s="7" t="s">
        <v>236</v>
      </c>
      <c r="F394" s="7" t="s">
        <v>189</v>
      </c>
      <c r="G394" s="7" t="s">
        <v>246</v>
      </c>
      <c r="H394" s="7" t="s">
        <v>247</v>
      </c>
      <c r="I394" s="8" t="n">
        <v>-1567.63</v>
      </c>
    </row>
    <row r="395" customFormat="false" ht="15" hidden="false" customHeight="false" outlineLevel="0" collapsed="false">
      <c r="A395" s="7" t="s">
        <v>137</v>
      </c>
      <c r="B395" s="20" t="n">
        <v>45535</v>
      </c>
      <c r="C395" s="16" t="n">
        <v>2024</v>
      </c>
      <c r="D395" s="7" t="s">
        <v>144</v>
      </c>
      <c r="E395" s="7" t="s">
        <v>221</v>
      </c>
      <c r="F395" s="7" t="s">
        <v>275</v>
      </c>
      <c r="G395" s="7" t="s">
        <v>276</v>
      </c>
      <c r="H395" s="7" t="s">
        <v>277</v>
      </c>
      <c r="I395" s="8" t="n">
        <v>-3995</v>
      </c>
    </row>
    <row r="396" customFormat="false" ht="15" hidden="false" customHeight="false" outlineLevel="0" collapsed="false">
      <c r="A396" s="7" t="s">
        <v>137</v>
      </c>
      <c r="B396" s="20" t="n">
        <v>45535</v>
      </c>
      <c r="C396" s="16" t="n">
        <v>2024</v>
      </c>
      <c r="D396" s="7" t="s">
        <v>144</v>
      </c>
      <c r="E396" s="7" t="s">
        <v>219</v>
      </c>
      <c r="F396" s="7" t="s">
        <v>187</v>
      </c>
      <c r="G396" s="7" t="s">
        <v>220</v>
      </c>
      <c r="H396" s="7" t="s">
        <v>187</v>
      </c>
      <c r="I396" s="8" t="n">
        <v>-995.04</v>
      </c>
    </row>
    <row r="397" customFormat="false" ht="15" hidden="false" customHeight="false" outlineLevel="0" collapsed="false">
      <c r="A397" s="7" t="s">
        <v>137</v>
      </c>
      <c r="B397" s="20" t="n">
        <v>45535</v>
      </c>
      <c r="C397" s="16" t="n">
        <v>2024</v>
      </c>
      <c r="D397" s="7" t="s">
        <v>144</v>
      </c>
      <c r="E397" s="7" t="s">
        <v>225</v>
      </c>
      <c r="F397" s="7" t="s">
        <v>226</v>
      </c>
      <c r="G397" s="7" t="s">
        <v>227</v>
      </c>
      <c r="H397" s="7" t="s">
        <v>228</v>
      </c>
      <c r="I397" s="8" t="n">
        <v>3995</v>
      </c>
    </row>
    <row r="398" customFormat="false" ht="15" hidden="false" customHeight="false" outlineLevel="0" collapsed="false">
      <c r="A398" s="7" t="s">
        <v>137</v>
      </c>
      <c r="B398" s="20" t="n">
        <v>45535</v>
      </c>
      <c r="C398" s="16" t="n">
        <v>2024</v>
      </c>
      <c r="D398" s="7" t="s">
        <v>146</v>
      </c>
      <c r="E398" s="7" t="s">
        <v>219</v>
      </c>
      <c r="F398" s="7" t="s">
        <v>187</v>
      </c>
      <c r="G398" s="7" t="s">
        <v>220</v>
      </c>
      <c r="H398" s="7" t="s">
        <v>187</v>
      </c>
      <c r="I398" s="8" t="n">
        <v>-603.09</v>
      </c>
    </row>
    <row r="399" customFormat="false" ht="15" hidden="false" customHeight="false" outlineLevel="0" collapsed="false">
      <c r="A399" s="7" t="s">
        <v>137</v>
      </c>
      <c r="B399" s="20" t="n">
        <v>45535</v>
      </c>
      <c r="C399" s="16" t="n">
        <v>2024</v>
      </c>
      <c r="D399" s="7" t="s">
        <v>146</v>
      </c>
      <c r="E399" s="7" t="s">
        <v>225</v>
      </c>
      <c r="F399" s="7" t="s">
        <v>226</v>
      </c>
      <c r="G399" s="7" t="s">
        <v>227</v>
      </c>
      <c r="H399" s="7" t="s">
        <v>228</v>
      </c>
      <c r="I399" s="8" t="n">
        <v>14.72</v>
      </c>
    </row>
    <row r="400" customFormat="false" ht="15" hidden="false" customHeight="false" outlineLevel="0" collapsed="false">
      <c r="A400" s="7" t="s">
        <v>137</v>
      </c>
      <c r="B400" s="20" t="n">
        <v>45565</v>
      </c>
      <c r="C400" s="16" t="n">
        <v>2024</v>
      </c>
      <c r="D400" s="7" t="s">
        <v>141</v>
      </c>
      <c r="E400" s="7" t="s">
        <v>219</v>
      </c>
      <c r="F400" s="7" t="s">
        <v>187</v>
      </c>
      <c r="G400" s="7" t="s">
        <v>220</v>
      </c>
      <c r="H400" s="7" t="s">
        <v>187</v>
      </c>
      <c r="I400" s="8" t="n">
        <v>-1624.95</v>
      </c>
    </row>
    <row r="401" customFormat="false" ht="15" hidden="false" customHeight="false" outlineLevel="0" collapsed="false">
      <c r="A401" s="7" t="s">
        <v>137</v>
      </c>
      <c r="B401" s="20" t="n">
        <v>45565</v>
      </c>
      <c r="C401" s="16" t="n">
        <v>2024</v>
      </c>
      <c r="D401" s="7" t="s">
        <v>141</v>
      </c>
      <c r="E401" s="7" t="s">
        <v>300</v>
      </c>
      <c r="F401" s="7" t="s">
        <v>190</v>
      </c>
      <c r="G401" s="7" t="s">
        <v>301</v>
      </c>
      <c r="H401" s="7" t="s">
        <v>302</v>
      </c>
      <c r="I401" s="8" t="n">
        <v>1900</v>
      </c>
    </row>
    <row r="402" customFormat="false" ht="15" hidden="false" customHeight="false" outlineLevel="0" collapsed="false">
      <c r="A402" s="7" t="s">
        <v>137</v>
      </c>
      <c r="B402" s="20" t="n">
        <v>45565</v>
      </c>
      <c r="C402" s="16" t="n">
        <v>2024</v>
      </c>
      <c r="D402" s="7" t="s">
        <v>136</v>
      </c>
      <c r="E402" s="7" t="s">
        <v>221</v>
      </c>
      <c r="F402" s="7" t="s">
        <v>222</v>
      </c>
      <c r="G402" s="7" t="s">
        <v>223</v>
      </c>
      <c r="H402" s="7" t="s">
        <v>224</v>
      </c>
      <c r="I402" s="8" t="n">
        <v>-123.6</v>
      </c>
    </row>
    <row r="403" customFormat="false" ht="15" hidden="false" customHeight="false" outlineLevel="0" collapsed="false">
      <c r="A403" s="7" t="s">
        <v>137</v>
      </c>
      <c r="B403" s="20" t="n">
        <v>45565</v>
      </c>
      <c r="C403" s="16" t="n">
        <v>2024</v>
      </c>
      <c r="D403" s="7" t="s">
        <v>136</v>
      </c>
      <c r="E403" s="7" t="s">
        <v>225</v>
      </c>
      <c r="F403" s="7" t="s">
        <v>226</v>
      </c>
      <c r="G403" s="7" t="s">
        <v>227</v>
      </c>
      <c r="H403" s="7" t="s">
        <v>228</v>
      </c>
      <c r="I403" s="8" t="n">
        <v>123.6</v>
      </c>
    </row>
    <row r="404" customFormat="false" ht="15" hidden="false" customHeight="false" outlineLevel="0" collapsed="false">
      <c r="A404" s="7" t="s">
        <v>137</v>
      </c>
      <c r="B404" s="20" t="n">
        <v>45565</v>
      </c>
      <c r="C404" s="16" t="n">
        <v>2024</v>
      </c>
      <c r="D404" s="7" t="s">
        <v>149</v>
      </c>
      <c r="E404" s="7" t="s">
        <v>221</v>
      </c>
      <c r="F404" s="7" t="s">
        <v>270</v>
      </c>
      <c r="G404" s="7" t="s">
        <v>271</v>
      </c>
      <c r="H404" s="7" t="s">
        <v>272</v>
      </c>
      <c r="I404" s="8" t="n">
        <v>-2024.07</v>
      </c>
    </row>
    <row r="405" customFormat="false" ht="15" hidden="false" customHeight="false" outlineLevel="0" collapsed="false">
      <c r="A405" s="7" t="s">
        <v>137</v>
      </c>
      <c r="B405" s="20" t="n">
        <v>45565</v>
      </c>
      <c r="C405" s="16" t="n">
        <v>2024</v>
      </c>
      <c r="D405" s="7" t="s">
        <v>149</v>
      </c>
      <c r="E405" s="7" t="s">
        <v>221</v>
      </c>
      <c r="F405" s="7" t="s">
        <v>270</v>
      </c>
      <c r="G405" s="7" t="s">
        <v>273</v>
      </c>
      <c r="H405" s="7" t="s">
        <v>274</v>
      </c>
      <c r="I405" s="8" t="n">
        <v>-296.86</v>
      </c>
    </row>
    <row r="406" customFormat="false" ht="15" hidden="false" customHeight="false" outlineLevel="0" collapsed="false">
      <c r="A406" s="7" t="s">
        <v>137</v>
      </c>
      <c r="B406" s="20" t="n">
        <v>45565</v>
      </c>
      <c r="C406" s="16" t="n">
        <v>2024</v>
      </c>
      <c r="D406" s="7" t="s">
        <v>149</v>
      </c>
      <c r="E406" s="7" t="s">
        <v>221</v>
      </c>
      <c r="F406" s="7" t="s">
        <v>260</v>
      </c>
      <c r="G406" s="7" t="s">
        <v>261</v>
      </c>
      <c r="H406" s="7" t="s">
        <v>262</v>
      </c>
      <c r="I406" s="8" t="n">
        <v>-11746.8</v>
      </c>
    </row>
    <row r="407" customFormat="false" ht="15" hidden="false" customHeight="false" outlineLevel="0" collapsed="false">
      <c r="A407" s="7" t="s">
        <v>137</v>
      </c>
      <c r="B407" s="20" t="n">
        <v>45565</v>
      </c>
      <c r="C407" s="16" t="n">
        <v>2024</v>
      </c>
      <c r="D407" s="7" t="s">
        <v>149</v>
      </c>
      <c r="E407" s="7" t="s">
        <v>221</v>
      </c>
      <c r="F407" s="7" t="s">
        <v>283</v>
      </c>
      <c r="G407" s="7" t="s">
        <v>284</v>
      </c>
      <c r="H407" s="7" t="s">
        <v>285</v>
      </c>
      <c r="I407" s="8" t="n">
        <v>-4000</v>
      </c>
    </row>
    <row r="408" customFormat="false" ht="15" hidden="false" customHeight="false" outlineLevel="0" collapsed="false">
      <c r="A408" s="7" t="s">
        <v>137</v>
      </c>
      <c r="B408" s="20" t="n">
        <v>45565</v>
      </c>
      <c r="C408" s="16" t="n">
        <v>2024</v>
      </c>
      <c r="D408" s="7" t="s">
        <v>149</v>
      </c>
      <c r="E408" s="7" t="s">
        <v>219</v>
      </c>
      <c r="F408" s="7" t="s">
        <v>187</v>
      </c>
      <c r="G408" s="7" t="s">
        <v>220</v>
      </c>
      <c r="H408" s="7" t="s">
        <v>187</v>
      </c>
      <c r="I408" s="8" t="n">
        <v>-2149.81</v>
      </c>
    </row>
    <row r="409" customFormat="false" ht="15" hidden="false" customHeight="false" outlineLevel="0" collapsed="false">
      <c r="A409" s="7" t="s">
        <v>137</v>
      </c>
      <c r="B409" s="20" t="n">
        <v>45565</v>
      </c>
      <c r="C409" s="16" t="n">
        <v>2024</v>
      </c>
      <c r="D409" s="7" t="s">
        <v>149</v>
      </c>
      <c r="E409" s="7" t="s">
        <v>236</v>
      </c>
      <c r="F409" s="7" t="s">
        <v>189</v>
      </c>
      <c r="G409" s="7" t="s">
        <v>237</v>
      </c>
      <c r="H409" s="7" t="s">
        <v>238</v>
      </c>
      <c r="I409" s="8" t="n">
        <v>-435</v>
      </c>
    </row>
    <row r="410" customFormat="false" ht="15" hidden="false" customHeight="false" outlineLevel="0" collapsed="false">
      <c r="A410" s="7" t="s">
        <v>137</v>
      </c>
      <c r="B410" s="20" t="n">
        <v>45565</v>
      </c>
      <c r="C410" s="16" t="n">
        <v>2024</v>
      </c>
      <c r="D410" s="7" t="s">
        <v>149</v>
      </c>
      <c r="E410" s="7" t="s">
        <v>300</v>
      </c>
      <c r="F410" s="7" t="s">
        <v>190</v>
      </c>
      <c r="G410" s="7" t="s">
        <v>301</v>
      </c>
      <c r="H410" s="7" t="s">
        <v>302</v>
      </c>
      <c r="I410" s="8" t="n">
        <v>5700</v>
      </c>
    </row>
    <row r="411" customFormat="false" ht="15" hidden="false" customHeight="false" outlineLevel="0" collapsed="false">
      <c r="A411" s="7" t="s">
        <v>137</v>
      </c>
      <c r="B411" s="20" t="n">
        <v>45565</v>
      </c>
      <c r="C411" s="16" t="n">
        <v>2024</v>
      </c>
      <c r="D411" s="7" t="s">
        <v>153</v>
      </c>
      <c r="E411" s="7" t="s">
        <v>221</v>
      </c>
      <c r="F411" s="7" t="s">
        <v>270</v>
      </c>
      <c r="G411" s="7" t="s">
        <v>271</v>
      </c>
      <c r="H411" s="7" t="s">
        <v>272</v>
      </c>
      <c r="I411" s="8" t="n">
        <v>-1349.37</v>
      </c>
    </row>
    <row r="412" customFormat="false" ht="15" hidden="false" customHeight="false" outlineLevel="0" collapsed="false">
      <c r="A412" s="7" t="s">
        <v>137</v>
      </c>
      <c r="B412" s="20" t="n">
        <v>45565</v>
      </c>
      <c r="C412" s="16" t="n">
        <v>2024</v>
      </c>
      <c r="D412" s="7" t="s">
        <v>153</v>
      </c>
      <c r="E412" s="7" t="s">
        <v>229</v>
      </c>
      <c r="F412" s="7" t="s">
        <v>239</v>
      </c>
      <c r="G412" s="7" t="s">
        <v>240</v>
      </c>
      <c r="H412" s="7" t="s">
        <v>239</v>
      </c>
      <c r="I412" s="8" t="n">
        <v>-266.75</v>
      </c>
    </row>
    <row r="413" customFormat="false" ht="15" hidden="false" customHeight="false" outlineLevel="0" collapsed="false">
      <c r="A413" s="7" t="s">
        <v>137</v>
      </c>
      <c r="B413" s="20" t="n">
        <v>45565</v>
      </c>
      <c r="C413" s="16" t="n">
        <v>2024</v>
      </c>
      <c r="D413" s="7" t="s">
        <v>153</v>
      </c>
      <c r="E413" s="7" t="s">
        <v>229</v>
      </c>
      <c r="F413" s="7" t="s">
        <v>241</v>
      </c>
      <c r="G413" s="7" t="s">
        <v>242</v>
      </c>
      <c r="H413" s="7" t="s">
        <v>243</v>
      </c>
      <c r="I413" s="8" t="n">
        <v>-280.64</v>
      </c>
    </row>
    <row r="414" customFormat="false" ht="15" hidden="false" customHeight="false" outlineLevel="0" collapsed="false">
      <c r="A414" s="7" t="s">
        <v>137</v>
      </c>
      <c r="B414" s="20" t="n">
        <v>45565</v>
      </c>
      <c r="C414" s="16" t="n">
        <v>2024</v>
      </c>
      <c r="D414" s="7" t="s">
        <v>153</v>
      </c>
      <c r="E414" s="7" t="s">
        <v>229</v>
      </c>
      <c r="F414" s="7" t="s">
        <v>233</v>
      </c>
      <c r="G414" s="7" t="s">
        <v>244</v>
      </c>
      <c r="H414" s="7" t="s">
        <v>245</v>
      </c>
      <c r="I414" s="8" t="n">
        <v>-165</v>
      </c>
    </row>
    <row r="415" customFormat="false" ht="15" hidden="false" customHeight="false" outlineLevel="0" collapsed="false">
      <c r="A415" s="7" t="s">
        <v>137</v>
      </c>
      <c r="B415" s="20" t="n">
        <v>45565</v>
      </c>
      <c r="C415" s="16" t="n">
        <v>2024</v>
      </c>
      <c r="D415" s="7" t="s">
        <v>153</v>
      </c>
      <c r="E415" s="7" t="s">
        <v>219</v>
      </c>
      <c r="F415" s="7" t="s">
        <v>187</v>
      </c>
      <c r="G415" s="7" t="s">
        <v>220</v>
      </c>
      <c r="H415" s="7" t="s">
        <v>187</v>
      </c>
      <c r="I415" s="8" t="n">
        <v>-760.07</v>
      </c>
    </row>
    <row r="416" customFormat="false" ht="15" hidden="false" customHeight="false" outlineLevel="0" collapsed="false">
      <c r="A416" s="7" t="s">
        <v>137</v>
      </c>
      <c r="B416" s="20" t="n">
        <v>45565</v>
      </c>
      <c r="C416" s="16" t="n">
        <v>2024</v>
      </c>
      <c r="D416" s="7" t="s">
        <v>153</v>
      </c>
      <c r="E416" s="7" t="s">
        <v>236</v>
      </c>
      <c r="F416" s="7" t="s">
        <v>189</v>
      </c>
      <c r="G416" s="7" t="s">
        <v>237</v>
      </c>
      <c r="H416" s="7" t="s">
        <v>238</v>
      </c>
      <c r="I416" s="8" t="n">
        <v>-58.22</v>
      </c>
    </row>
    <row r="417" customFormat="false" ht="15" hidden="false" customHeight="false" outlineLevel="0" collapsed="false">
      <c r="A417" s="7" t="s">
        <v>137</v>
      </c>
      <c r="B417" s="20" t="n">
        <v>45565</v>
      </c>
      <c r="C417" s="16" t="n">
        <v>2024</v>
      </c>
      <c r="D417" s="7" t="s">
        <v>153</v>
      </c>
      <c r="E417" s="7" t="s">
        <v>236</v>
      </c>
      <c r="F417" s="7" t="s">
        <v>189</v>
      </c>
      <c r="G417" s="7" t="s">
        <v>246</v>
      </c>
      <c r="H417" s="7" t="s">
        <v>247</v>
      </c>
      <c r="I417" s="8" t="n">
        <v>-1309.32</v>
      </c>
    </row>
    <row r="418" customFormat="false" ht="15" hidden="false" customHeight="false" outlineLevel="0" collapsed="false">
      <c r="A418" s="7" t="s">
        <v>137</v>
      </c>
      <c r="B418" s="20" t="n">
        <v>45565</v>
      </c>
      <c r="C418" s="16" t="n">
        <v>2024</v>
      </c>
      <c r="D418" s="7" t="s">
        <v>144</v>
      </c>
      <c r="E418" s="7" t="s">
        <v>219</v>
      </c>
      <c r="F418" s="7" t="s">
        <v>187</v>
      </c>
      <c r="G418" s="7" t="s">
        <v>220</v>
      </c>
      <c r="H418" s="7" t="s">
        <v>187</v>
      </c>
      <c r="I418" s="8" t="n">
        <v>-995.05</v>
      </c>
    </row>
    <row r="419" customFormat="false" ht="15" hidden="false" customHeight="false" outlineLevel="0" collapsed="false">
      <c r="A419" s="7" t="s">
        <v>137</v>
      </c>
      <c r="B419" s="20" t="n">
        <v>45565</v>
      </c>
      <c r="C419" s="16" t="n">
        <v>2024</v>
      </c>
      <c r="D419" s="7" t="s">
        <v>144</v>
      </c>
      <c r="E419" s="7" t="s">
        <v>300</v>
      </c>
      <c r="F419" s="7" t="s">
        <v>190</v>
      </c>
      <c r="G419" s="7" t="s">
        <v>301</v>
      </c>
      <c r="H419" s="7" t="s">
        <v>302</v>
      </c>
      <c r="I419" s="8" t="n">
        <v>950</v>
      </c>
    </row>
    <row r="420" customFormat="false" ht="15" hidden="false" customHeight="false" outlineLevel="0" collapsed="false">
      <c r="A420" s="7" t="s">
        <v>137</v>
      </c>
      <c r="B420" s="20" t="n">
        <v>45565</v>
      </c>
      <c r="C420" s="16" t="n">
        <v>2024</v>
      </c>
      <c r="D420" s="7" t="s">
        <v>146</v>
      </c>
      <c r="E420" s="7" t="s">
        <v>219</v>
      </c>
      <c r="F420" s="7" t="s">
        <v>187</v>
      </c>
      <c r="G420" s="7" t="s">
        <v>220</v>
      </c>
      <c r="H420" s="7" t="s">
        <v>187</v>
      </c>
      <c r="I420" s="8" t="n">
        <v>-603.11</v>
      </c>
    </row>
    <row r="421" customFormat="false" ht="15" hidden="false" customHeight="false" outlineLevel="0" collapsed="false">
      <c r="A421" s="7" t="s">
        <v>137</v>
      </c>
      <c r="B421" s="20" t="n">
        <v>45565</v>
      </c>
      <c r="C421" s="16" t="n">
        <v>2024</v>
      </c>
      <c r="D421" s="7" t="s">
        <v>146</v>
      </c>
      <c r="E421" s="7" t="s">
        <v>300</v>
      </c>
      <c r="F421" s="7" t="s">
        <v>190</v>
      </c>
      <c r="G421" s="7" t="s">
        <v>301</v>
      </c>
      <c r="H421" s="7" t="s">
        <v>302</v>
      </c>
      <c r="I421" s="8" t="n">
        <v>950</v>
      </c>
    </row>
    <row r="422" customFormat="false" ht="15" hidden="false" customHeight="false" outlineLevel="0" collapsed="false">
      <c r="A422" s="7" t="s">
        <v>137</v>
      </c>
      <c r="B422" s="20" t="n">
        <v>45565</v>
      </c>
      <c r="C422" s="16" t="n">
        <v>2024</v>
      </c>
      <c r="D422" s="7" t="s">
        <v>146</v>
      </c>
      <c r="E422" s="7" t="s">
        <v>225</v>
      </c>
      <c r="F422" s="7" t="s">
        <v>226</v>
      </c>
      <c r="G422" s="7" t="s">
        <v>227</v>
      </c>
      <c r="H422" s="7" t="s">
        <v>228</v>
      </c>
      <c r="I422" s="8" t="n">
        <v>29.44</v>
      </c>
    </row>
    <row r="423" customFormat="false" ht="15" hidden="false" customHeight="false" outlineLevel="0" collapsed="false">
      <c r="A423" s="7" t="s">
        <v>137</v>
      </c>
      <c r="B423" s="20" t="n">
        <v>45596</v>
      </c>
      <c r="C423" s="16" t="n">
        <v>2024</v>
      </c>
      <c r="D423" s="7" t="s">
        <v>141</v>
      </c>
      <c r="E423" s="7" t="s">
        <v>219</v>
      </c>
      <c r="F423" s="7" t="s">
        <v>187</v>
      </c>
      <c r="G423" s="7" t="s">
        <v>220</v>
      </c>
      <c r="H423" s="7" t="s">
        <v>187</v>
      </c>
      <c r="I423" s="8" t="n">
        <v>-1624.96</v>
      </c>
    </row>
    <row r="424" customFormat="false" ht="15" hidden="false" customHeight="false" outlineLevel="0" collapsed="false">
      <c r="A424" s="7" t="s">
        <v>137</v>
      </c>
      <c r="B424" s="20" t="n">
        <v>45596</v>
      </c>
      <c r="C424" s="16" t="n">
        <v>2024</v>
      </c>
      <c r="D424" s="7" t="s">
        <v>136</v>
      </c>
      <c r="E424" s="7" t="s">
        <v>248</v>
      </c>
      <c r="F424" s="7" t="s">
        <v>286</v>
      </c>
      <c r="G424" s="7" t="s">
        <v>303</v>
      </c>
      <c r="H424" s="7" t="s">
        <v>304</v>
      </c>
      <c r="I424" s="8" t="n">
        <v>1388</v>
      </c>
    </row>
    <row r="425" customFormat="false" ht="15" hidden="false" customHeight="false" outlineLevel="0" collapsed="false">
      <c r="A425" s="7" t="s">
        <v>137</v>
      </c>
      <c r="B425" s="20" t="n">
        <v>45596</v>
      </c>
      <c r="C425" s="16" t="n">
        <v>2024</v>
      </c>
      <c r="D425" s="7" t="s">
        <v>136</v>
      </c>
      <c r="E425" s="7" t="s">
        <v>221</v>
      </c>
      <c r="F425" s="7" t="s">
        <v>263</v>
      </c>
      <c r="G425" s="7" t="s">
        <v>264</v>
      </c>
      <c r="H425" s="7" t="s">
        <v>263</v>
      </c>
      <c r="I425" s="8" t="n">
        <v>-1779.84</v>
      </c>
    </row>
    <row r="426" customFormat="false" ht="15" hidden="false" customHeight="false" outlineLevel="0" collapsed="false">
      <c r="A426" s="7" t="s">
        <v>137</v>
      </c>
      <c r="B426" s="20" t="n">
        <v>45596</v>
      </c>
      <c r="C426" s="16" t="n">
        <v>2024</v>
      </c>
      <c r="D426" s="7" t="s">
        <v>136</v>
      </c>
      <c r="E426" s="7" t="s">
        <v>221</v>
      </c>
      <c r="F426" s="7" t="s">
        <v>222</v>
      </c>
      <c r="G426" s="7" t="s">
        <v>223</v>
      </c>
      <c r="H426" s="7" t="s">
        <v>224</v>
      </c>
      <c r="I426" s="8" t="n">
        <v>-889.92</v>
      </c>
    </row>
    <row r="427" customFormat="false" ht="15" hidden="false" customHeight="false" outlineLevel="0" collapsed="false">
      <c r="A427" s="7" t="s">
        <v>137</v>
      </c>
      <c r="B427" s="20" t="n">
        <v>45596</v>
      </c>
      <c r="C427" s="16" t="n">
        <v>2024</v>
      </c>
      <c r="D427" s="7" t="s">
        <v>136</v>
      </c>
      <c r="E427" s="7" t="s">
        <v>225</v>
      </c>
      <c r="F427" s="7" t="s">
        <v>226</v>
      </c>
      <c r="G427" s="7" t="s">
        <v>227</v>
      </c>
      <c r="H427" s="7" t="s">
        <v>228</v>
      </c>
      <c r="I427" s="8" t="n">
        <v>2669.76</v>
      </c>
    </row>
    <row r="428" customFormat="false" ht="15" hidden="false" customHeight="false" outlineLevel="0" collapsed="false">
      <c r="A428" s="7" t="s">
        <v>137</v>
      </c>
      <c r="B428" s="20" t="n">
        <v>45596</v>
      </c>
      <c r="C428" s="16" t="n">
        <v>2024</v>
      </c>
      <c r="D428" s="7" t="s">
        <v>149</v>
      </c>
      <c r="E428" s="7" t="s">
        <v>248</v>
      </c>
      <c r="F428" s="7" t="s">
        <v>278</v>
      </c>
      <c r="G428" s="7" t="s">
        <v>279</v>
      </c>
      <c r="H428" s="7" t="s">
        <v>280</v>
      </c>
      <c r="I428" s="8" t="n">
        <v>56908</v>
      </c>
    </row>
    <row r="429" customFormat="false" ht="15" hidden="false" customHeight="false" outlineLevel="0" collapsed="false">
      <c r="A429" s="7" t="s">
        <v>137</v>
      </c>
      <c r="B429" s="20" t="n">
        <v>45596</v>
      </c>
      <c r="C429" s="16" t="n">
        <v>2024</v>
      </c>
      <c r="D429" s="7" t="s">
        <v>149</v>
      </c>
      <c r="E429" s="7" t="s">
        <v>248</v>
      </c>
      <c r="F429" s="7" t="s">
        <v>278</v>
      </c>
      <c r="G429" s="7" t="s">
        <v>281</v>
      </c>
      <c r="H429" s="7" t="s">
        <v>282</v>
      </c>
      <c r="I429" s="8" t="n">
        <v>9098.36</v>
      </c>
    </row>
    <row r="430" customFormat="false" ht="15" hidden="false" customHeight="false" outlineLevel="0" collapsed="false">
      <c r="A430" s="7" t="s">
        <v>137</v>
      </c>
      <c r="B430" s="20" t="n">
        <v>45596</v>
      </c>
      <c r="C430" s="16" t="n">
        <v>2024</v>
      </c>
      <c r="D430" s="7" t="s">
        <v>149</v>
      </c>
      <c r="E430" s="7" t="s">
        <v>221</v>
      </c>
      <c r="F430" s="7" t="s">
        <v>270</v>
      </c>
      <c r="G430" s="7" t="s">
        <v>271</v>
      </c>
      <c r="H430" s="7" t="s">
        <v>272</v>
      </c>
      <c r="I430" s="8" t="n">
        <v>-2703.16</v>
      </c>
    </row>
    <row r="431" customFormat="false" ht="15" hidden="false" customHeight="false" outlineLevel="0" collapsed="false">
      <c r="A431" s="7" t="s">
        <v>137</v>
      </c>
      <c r="B431" s="20" t="n">
        <v>45596</v>
      </c>
      <c r="C431" s="16" t="n">
        <v>2024</v>
      </c>
      <c r="D431" s="7" t="s">
        <v>149</v>
      </c>
      <c r="E431" s="7" t="s">
        <v>221</v>
      </c>
      <c r="F431" s="7" t="s">
        <v>270</v>
      </c>
      <c r="G431" s="7" t="s">
        <v>273</v>
      </c>
      <c r="H431" s="7" t="s">
        <v>274</v>
      </c>
      <c r="I431" s="8" t="n">
        <v>-396.46</v>
      </c>
    </row>
    <row r="432" customFormat="false" ht="15" hidden="false" customHeight="false" outlineLevel="0" collapsed="false">
      <c r="A432" s="7" t="s">
        <v>137</v>
      </c>
      <c r="B432" s="20" t="n">
        <v>45596</v>
      </c>
      <c r="C432" s="16" t="n">
        <v>2024</v>
      </c>
      <c r="D432" s="7" t="s">
        <v>149</v>
      </c>
      <c r="E432" s="7" t="s">
        <v>221</v>
      </c>
      <c r="F432" s="7" t="s">
        <v>267</v>
      </c>
      <c r="G432" s="7" t="s">
        <v>268</v>
      </c>
      <c r="H432" s="7" t="s">
        <v>269</v>
      </c>
      <c r="I432" s="8" t="n">
        <v>-7588.9</v>
      </c>
    </row>
    <row r="433" customFormat="false" ht="15" hidden="false" customHeight="false" outlineLevel="0" collapsed="false">
      <c r="A433" s="7" t="s">
        <v>137</v>
      </c>
      <c r="B433" s="20" t="n">
        <v>45596</v>
      </c>
      <c r="C433" s="16" t="n">
        <v>2024</v>
      </c>
      <c r="D433" s="7" t="s">
        <v>149</v>
      </c>
      <c r="E433" s="7" t="s">
        <v>221</v>
      </c>
      <c r="F433" s="7" t="s">
        <v>260</v>
      </c>
      <c r="G433" s="7" t="s">
        <v>261</v>
      </c>
      <c r="H433" s="7" t="s">
        <v>262</v>
      </c>
      <c r="I433" s="8" t="n">
        <v>-1697.32</v>
      </c>
    </row>
    <row r="434" customFormat="false" ht="15" hidden="false" customHeight="false" outlineLevel="0" collapsed="false">
      <c r="A434" s="7" t="s">
        <v>137</v>
      </c>
      <c r="B434" s="20" t="n">
        <v>45596</v>
      </c>
      <c r="C434" s="16" t="n">
        <v>2024</v>
      </c>
      <c r="D434" s="7" t="s">
        <v>149</v>
      </c>
      <c r="E434" s="7" t="s">
        <v>219</v>
      </c>
      <c r="F434" s="7" t="s">
        <v>187</v>
      </c>
      <c r="G434" s="7" t="s">
        <v>220</v>
      </c>
      <c r="H434" s="7" t="s">
        <v>187</v>
      </c>
      <c r="I434" s="8" t="n">
        <v>-2149.81</v>
      </c>
    </row>
    <row r="435" customFormat="false" ht="15" hidden="false" customHeight="false" outlineLevel="0" collapsed="false">
      <c r="A435" s="7" t="s">
        <v>137</v>
      </c>
      <c r="B435" s="20" t="n">
        <v>45596</v>
      </c>
      <c r="C435" s="16" t="n">
        <v>2024</v>
      </c>
      <c r="D435" s="7" t="s">
        <v>149</v>
      </c>
      <c r="E435" s="7" t="s">
        <v>236</v>
      </c>
      <c r="F435" s="7" t="s">
        <v>189</v>
      </c>
      <c r="G435" s="7" t="s">
        <v>237</v>
      </c>
      <c r="H435" s="7" t="s">
        <v>238</v>
      </c>
      <c r="I435" s="8" t="n">
        <v>-427.16</v>
      </c>
    </row>
    <row r="436" customFormat="false" ht="15" hidden="false" customHeight="false" outlineLevel="0" collapsed="false">
      <c r="A436" s="7" t="s">
        <v>137</v>
      </c>
      <c r="B436" s="20" t="n">
        <v>45596</v>
      </c>
      <c r="C436" s="16" t="n">
        <v>2024</v>
      </c>
      <c r="D436" s="7" t="s">
        <v>153</v>
      </c>
      <c r="E436" s="7" t="s">
        <v>221</v>
      </c>
      <c r="F436" s="7" t="s">
        <v>270</v>
      </c>
      <c r="G436" s="7" t="s">
        <v>271</v>
      </c>
      <c r="H436" s="7" t="s">
        <v>272</v>
      </c>
      <c r="I436" s="8" t="n">
        <v>-1802.11</v>
      </c>
    </row>
    <row r="437" customFormat="false" ht="15" hidden="false" customHeight="false" outlineLevel="0" collapsed="false">
      <c r="A437" s="7" t="s">
        <v>137</v>
      </c>
      <c r="B437" s="20" t="n">
        <v>45596</v>
      </c>
      <c r="C437" s="16" t="n">
        <v>2024</v>
      </c>
      <c r="D437" s="7" t="s">
        <v>153</v>
      </c>
      <c r="E437" s="7" t="s">
        <v>229</v>
      </c>
      <c r="F437" s="7" t="s">
        <v>239</v>
      </c>
      <c r="G437" s="7" t="s">
        <v>240</v>
      </c>
      <c r="H437" s="7" t="s">
        <v>239</v>
      </c>
      <c r="I437" s="8" t="n">
        <v>-293.67</v>
      </c>
    </row>
    <row r="438" customFormat="false" ht="15" hidden="false" customHeight="false" outlineLevel="0" collapsed="false">
      <c r="A438" s="7" t="s">
        <v>137</v>
      </c>
      <c r="B438" s="20" t="n">
        <v>45596</v>
      </c>
      <c r="C438" s="16" t="n">
        <v>2024</v>
      </c>
      <c r="D438" s="7" t="s">
        <v>153</v>
      </c>
      <c r="E438" s="7" t="s">
        <v>229</v>
      </c>
      <c r="F438" s="7" t="s">
        <v>241</v>
      </c>
      <c r="G438" s="7" t="s">
        <v>242</v>
      </c>
      <c r="H438" s="7" t="s">
        <v>243</v>
      </c>
      <c r="I438" s="8" t="n">
        <v>-392.56</v>
      </c>
    </row>
    <row r="439" customFormat="false" ht="15" hidden="false" customHeight="false" outlineLevel="0" collapsed="false">
      <c r="A439" s="7" t="s">
        <v>137</v>
      </c>
      <c r="B439" s="20" t="n">
        <v>45596</v>
      </c>
      <c r="C439" s="16" t="n">
        <v>2024</v>
      </c>
      <c r="D439" s="7" t="s">
        <v>153</v>
      </c>
      <c r="E439" s="7" t="s">
        <v>229</v>
      </c>
      <c r="F439" s="7" t="s">
        <v>233</v>
      </c>
      <c r="G439" s="7" t="s">
        <v>244</v>
      </c>
      <c r="H439" s="7" t="s">
        <v>245</v>
      </c>
      <c r="I439" s="8" t="n">
        <v>-165</v>
      </c>
    </row>
    <row r="440" customFormat="false" ht="15" hidden="false" customHeight="false" outlineLevel="0" collapsed="false">
      <c r="A440" s="7" t="s">
        <v>137</v>
      </c>
      <c r="B440" s="20" t="n">
        <v>45596</v>
      </c>
      <c r="C440" s="16" t="n">
        <v>2024</v>
      </c>
      <c r="D440" s="7" t="s">
        <v>153</v>
      </c>
      <c r="E440" s="7" t="s">
        <v>219</v>
      </c>
      <c r="F440" s="7" t="s">
        <v>187</v>
      </c>
      <c r="G440" s="7" t="s">
        <v>220</v>
      </c>
      <c r="H440" s="7" t="s">
        <v>187</v>
      </c>
      <c r="I440" s="8" t="n">
        <v>-760.07</v>
      </c>
    </row>
    <row r="441" customFormat="false" ht="15" hidden="false" customHeight="false" outlineLevel="0" collapsed="false">
      <c r="A441" s="7" t="s">
        <v>137</v>
      </c>
      <c r="B441" s="20" t="n">
        <v>45596</v>
      </c>
      <c r="C441" s="16" t="n">
        <v>2024</v>
      </c>
      <c r="D441" s="7" t="s">
        <v>153</v>
      </c>
      <c r="E441" s="7" t="s">
        <v>236</v>
      </c>
      <c r="F441" s="7" t="s">
        <v>189</v>
      </c>
      <c r="G441" s="7" t="s">
        <v>237</v>
      </c>
      <c r="H441" s="7" t="s">
        <v>238</v>
      </c>
      <c r="I441" s="8" t="n">
        <v>-55.66</v>
      </c>
    </row>
    <row r="442" customFormat="false" ht="15" hidden="false" customHeight="false" outlineLevel="0" collapsed="false">
      <c r="A442" s="7" t="s">
        <v>137</v>
      </c>
      <c r="B442" s="20" t="n">
        <v>45596</v>
      </c>
      <c r="C442" s="16" t="n">
        <v>2024</v>
      </c>
      <c r="D442" s="7" t="s">
        <v>153</v>
      </c>
      <c r="E442" s="7" t="s">
        <v>236</v>
      </c>
      <c r="F442" s="7" t="s">
        <v>189</v>
      </c>
      <c r="G442" s="7" t="s">
        <v>246</v>
      </c>
      <c r="H442" s="7" t="s">
        <v>247</v>
      </c>
      <c r="I442" s="8" t="n">
        <v>-1200.08</v>
      </c>
    </row>
    <row r="443" customFormat="false" ht="15" hidden="false" customHeight="false" outlineLevel="0" collapsed="false">
      <c r="A443" s="7" t="s">
        <v>137</v>
      </c>
      <c r="B443" s="20" t="n">
        <v>45596</v>
      </c>
      <c r="C443" s="16" t="n">
        <v>2024</v>
      </c>
      <c r="D443" s="7" t="s">
        <v>144</v>
      </c>
      <c r="E443" s="7" t="s">
        <v>248</v>
      </c>
      <c r="F443" s="7" t="s">
        <v>249</v>
      </c>
      <c r="G443" s="7" t="s">
        <v>250</v>
      </c>
      <c r="H443" s="7" t="s">
        <v>251</v>
      </c>
      <c r="I443" s="8" t="n">
        <v>66902.4</v>
      </c>
    </row>
    <row r="444" customFormat="false" ht="15" hidden="false" customHeight="false" outlineLevel="0" collapsed="false">
      <c r="A444" s="7" t="s">
        <v>137</v>
      </c>
      <c r="B444" s="20" t="n">
        <v>45596</v>
      </c>
      <c r="C444" s="16" t="n">
        <v>2024</v>
      </c>
      <c r="D444" s="7" t="s">
        <v>144</v>
      </c>
      <c r="E444" s="7" t="s">
        <v>221</v>
      </c>
      <c r="F444" s="7" t="s">
        <v>267</v>
      </c>
      <c r="G444" s="7" t="s">
        <v>268</v>
      </c>
      <c r="H444" s="7" t="s">
        <v>269</v>
      </c>
      <c r="I444" s="8" t="n">
        <v>-1681.1</v>
      </c>
    </row>
    <row r="445" customFormat="false" ht="15" hidden="false" customHeight="false" outlineLevel="0" collapsed="false">
      <c r="A445" s="7" t="s">
        <v>137</v>
      </c>
      <c r="B445" s="20" t="n">
        <v>45596</v>
      </c>
      <c r="C445" s="16" t="n">
        <v>2024</v>
      </c>
      <c r="D445" s="7" t="s">
        <v>144</v>
      </c>
      <c r="E445" s="7" t="s">
        <v>221</v>
      </c>
      <c r="F445" s="7" t="s">
        <v>260</v>
      </c>
      <c r="G445" s="7" t="s">
        <v>261</v>
      </c>
      <c r="H445" s="7" t="s">
        <v>262</v>
      </c>
      <c r="I445" s="8" t="n">
        <v>-3800.7</v>
      </c>
    </row>
    <row r="446" customFormat="false" ht="15" hidden="false" customHeight="false" outlineLevel="0" collapsed="false">
      <c r="A446" s="7" t="s">
        <v>137</v>
      </c>
      <c r="B446" s="20" t="n">
        <v>45596</v>
      </c>
      <c r="C446" s="16" t="n">
        <v>2024</v>
      </c>
      <c r="D446" s="7" t="s">
        <v>144</v>
      </c>
      <c r="E446" s="7" t="s">
        <v>219</v>
      </c>
      <c r="F446" s="7" t="s">
        <v>187</v>
      </c>
      <c r="G446" s="7" t="s">
        <v>220</v>
      </c>
      <c r="H446" s="7" t="s">
        <v>187</v>
      </c>
      <c r="I446" s="8" t="n">
        <v>-995.05</v>
      </c>
    </row>
    <row r="447" customFormat="false" ht="15" hidden="false" customHeight="false" outlineLevel="0" collapsed="false">
      <c r="A447" s="7" t="s">
        <v>137</v>
      </c>
      <c r="B447" s="20" t="n">
        <v>45596</v>
      </c>
      <c r="C447" s="16" t="n">
        <v>2024</v>
      </c>
      <c r="D447" s="7" t="s">
        <v>144</v>
      </c>
      <c r="E447" s="7" t="s">
        <v>225</v>
      </c>
      <c r="F447" s="7" t="s">
        <v>226</v>
      </c>
      <c r="G447" s="7" t="s">
        <v>227</v>
      </c>
      <c r="H447" s="7" t="s">
        <v>228</v>
      </c>
      <c r="I447" s="8" t="n">
        <v>-2901.45</v>
      </c>
    </row>
    <row r="448" customFormat="false" ht="15" hidden="false" customHeight="false" outlineLevel="0" collapsed="false">
      <c r="A448" s="7" t="s">
        <v>137</v>
      </c>
      <c r="B448" s="20" t="n">
        <v>45596</v>
      </c>
      <c r="C448" s="16" t="n">
        <v>2024</v>
      </c>
      <c r="D448" s="7" t="s">
        <v>146</v>
      </c>
      <c r="E448" s="7" t="s">
        <v>221</v>
      </c>
      <c r="F448" s="7" t="s">
        <v>265</v>
      </c>
      <c r="G448" s="7" t="s">
        <v>266</v>
      </c>
      <c r="H448" s="7" t="s">
        <v>265</v>
      </c>
      <c r="I448" s="8" t="n">
        <v>-2352</v>
      </c>
    </row>
    <row r="449" customFormat="false" ht="15" hidden="false" customHeight="false" outlineLevel="0" collapsed="false">
      <c r="A449" s="7" t="s">
        <v>137</v>
      </c>
      <c r="B449" s="20" t="n">
        <v>45596</v>
      </c>
      <c r="C449" s="16" t="n">
        <v>2024</v>
      </c>
      <c r="D449" s="7" t="s">
        <v>146</v>
      </c>
      <c r="E449" s="7" t="s">
        <v>221</v>
      </c>
      <c r="F449" s="7" t="s">
        <v>254</v>
      </c>
      <c r="G449" s="7" t="s">
        <v>255</v>
      </c>
      <c r="H449" s="7" t="s">
        <v>256</v>
      </c>
      <c r="I449" s="8" t="n">
        <v>-2080</v>
      </c>
    </row>
    <row r="450" customFormat="false" ht="15" hidden="false" customHeight="false" outlineLevel="0" collapsed="false">
      <c r="A450" s="7" t="s">
        <v>137</v>
      </c>
      <c r="B450" s="20" t="n">
        <v>45596</v>
      </c>
      <c r="C450" s="16" t="n">
        <v>2024</v>
      </c>
      <c r="D450" s="7" t="s">
        <v>146</v>
      </c>
      <c r="E450" s="7" t="s">
        <v>221</v>
      </c>
      <c r="F450" s="7" t="s">
        <v>267</v>
      </c>
      <c r="G450" s="7" t="s">
        <v>268</v>
      </c>
      <c r="H450" s="7" t="s">
        <v>269</v>
      </c>
      <c r="I450" s="8" t="n">
        <v>-454.4</v>
      </c>
    </row>
    <row r="451" customFormat="false" ht="15" hidden="false" customHeight="false" outlineLevel="0" collapsed="false">
      <c r="A451" s="7" t="s">
        <v>137</v>
      </c>
      <c r="B451" s="20" t="n">
        <v>45596</v>
      </c>
      <c r="C451" s="16" t="n">
        <v>2024</v>
      </c>
      <c r="D451" s="7" t="s">
        <v>146</v>
      </c>
      <c r="E451" s="7" t="s">
        <v>219</v>
      </c>
      <c r="F451" s="7" t="s">
        <v>187</v>
      </c>
      <c r="G451" s="7" t="s">
        <v>220</v>
      </c>
      <c r="H451" s="7" t="s">
        <v>187</v>
      </c>
      <c r="I451" s="8" t="n">
        <v>-603.09</v>
      </c>
    </row>
    <row r="452" customFormat="false" ht="15" hidden="false" customHeight="false" outlineLevel="0" collapsed="false">
      <c r="A452" s="7" t="s">
        <v>137</v>
      </c>
      <c r="B452" s="20" t="n">
        <v>45596</v>
      </c>
      <c r="C452" s="16" t="n">
        <v>2024</v>
      </c>
      <c r="D452" s="7" t="s">
        <v>146</v>
      </c>
      <c r="E452" s="7" t="s">
        <v>225</v>
      </c>
      <c r="F452" s="7" t="s">
        <v>226</v>
      </c>
      <c r="G452" s="7" t="s">
        <v>227</v>
      </c>
      <c r="H452" s="7" t="s">
        <v>228</v>
      </c>
      <c r="I452" s="8" t="n">
        <v>4739.2</v>
      </c>
    </row>
    <row r="453" customFormat="false" ht="15" hidden="false" customHeight="false" outlineLevel="0" collapsed="false">
      <c r="A453" s="7" t="s">
        <v>137</v>
      </c>
      <c r="B453" s="20" t="n">
        <v>45626</v>
      </c>
      <c r="C453" s="16" t="n">
        <v>2024</v>
      </c>
      <c r="D453" s="7" t="s">
        <v>141</v>
      </c>
      <c r="E453" s="7" t="s">
        <v>219</v>
      </c>
      <c r="F453" s="7" t="s">
        <v>187</v>
      </c>
      <c r="G453" s="7" t="s">
        <v>220</v>
      </c>
      <c r="H453" s="7" t="s">
        <v>187</v>
      </c>
      <c r="I453" s="8" t="n">
        <v>-1624.97</v>
      </c>
    </row>
    <row r="454" customFormat="false" ht="15" hidden="false" customHeight="false" outlineLevel="0" collapsed="false">
      <c r="A454" s="7" t="s">
        <v>137</v>
      </c>
      <c r="B454" s="20" t="n">
        <v>45626</v>
      </c>
      <c r="C454" s="16" t="n">
        <v>2024</v>
      </c>
      <c r="D454" s="7" t="s">
        <v>136</v>
      </c>
      <c r="E454" s="7" t="s">
        <v>221</v>
      </c>
      <c r="F454" s="7" t="s">
        <v>289</v>
      </c>
      <c r="G454" s="7" t="s">
        <v>290</v>
      </c>
      <c r="H454" s="7" t="s">
        <v>291</v>
      </c>
      <c r="I454" s="8" t="n">
        <v>-6912</v>
      </c>
    </row>
    <row r="455" customFormat="false" ht="15" hidden="false" customHeight="false" outlineLevel="0" collapsed="false">
      <c r="A455" s="7" t="s">
        <v>137</v>
      </c>
      <c r="B455" s="20" t="n">
        <v>45626</v>
      </c>
      <c r="C455" s="16" t="n">
        <v>2024</v>
      </c>
      <c r="D455" s="7" t="s">
        <v>136</v>
      </c>
      <c r="E455" s="7" t="s">
        <v>225</v>
      </c>
      <c r="F455" s="7" t="s">
        <v>226</v>
      </c>
      <c r="G455" s="7" t="s">
        <v>227</v>
      </c>
      <c r="H455" s="7" t="s">
        <v>228</v>
      </c>
      <c r="I455" s="8" t="n">
        <v>-31329.84</v>
      </c>
    </row>
    <row r="456" customFormat="false" ht="15" hidden="false" customHeight="false" outlineLevel="0" collapsed="false">
      <c r="A456" s="7" t="s">
        <v>137</v>
      </c>
      <c r="B456" s="20" t="n">
        <v>45626</v>
      </c>
      <c r="C456" s="16" t="n">
        <v>2024</v>
      </c>
      <c r="D456" s="7" t="s">
        <v>149</v>
      </c>
      <c r="E456" s="7" t="s">
        <v>248</v>
      </c>
      <c r="F456" s="7" t="s">
        <v>278</v>
      </c>
      <c r="G456" s="7" t="s">
        <v>279</v>
      </c>
      <c r="H456" s="7" t="s">
        <v>280</v>
      </c>
      <c r="I456" s="8" t="n">
        <v>55845</v>
      </c>
    </row>
    <row r="457" customFormat="false" ht="15" hidden="false" customHeight="false" outlineLevel="0" collapsed="false">
      <c r="A457" s="7" t="s">
        <v>137</v>
      </c>
      <c r="B457" s="20" t="n">
        <v>45626</v>
      </c>
      <c r="C457" s="16" t="n">
        <v>2024</v>
      </c>
      <c r="D457" s="7" t="s">
        <v>149</v>
      </c>
      <c r="E457" s="7" t="s">
        <v>248</v>
      </c>
      <c r="F457" s="7" t="s">
        <v>278</v>
      </c>
      <c r="G457" s="7" t="s">
        <v>281</v>
      </c>
      <c r="H457" s="7" t="s">
        <v>282</v>
      </c>
      <c r="I457" s="8" t="n">
        <v>29179</v>
      </c>
    </row>
    <row r="458" customFormat="false" ht="15" hidden="false" customHeight="false" outlineLevel="0" collapsed="false">
      <c r="A458" s="7" t="s">
        <v>137</v>
      </c>
      <c r="B458" s="20" t="n">
        <v>45626</v>
      </c>
      <c r="C458" s="16" t="n">
        <v>2024</v>
      </c>
      <c r="D458" s="7" t="s">
        <v>149</v>
      </c>
      <c r="E458" s="7" t="s">
        <v>221</v>
      </c>
      <c r="F458" s="7" t="s">
        <v>270</v>
      </c>
      <c r="G458" s="7" t="s">
        <v>271</v>
      </c>
      <c r="H458" s="7" t="s">
        <v>272</v>
      </c>
      <c r="I458" s="8" t="n">
        <v>-2354.26</v>
      </c>
    </row>
    <row r="459" customFormat="false" ht="15" hidden="false" customHeight="false" outlineLevel="0" collapsed="false">
      <c r="A459" s="7" t="s">
        <v>137</v>
      </c>
      <c r="B459" s="20" t="n">
        <v>45626</v>
      </c>
      <c r="C459" s="16" t="n">
        <v>2024</v>
      </c>
      <c r="D459" s="7" t="s">
        <v>149</v>
      </c>
      <c r="E459" s="7" t="s">
        <v>221</v>
      </c>
      <c r="F459" s="7" t="s">
        <v>270</v>
      </c>
      <c r="G459" s="7" t="s">
        <v>273</v>
      </c>
      <c r="H459" s="7" t="s">
        <v>274</v>
      </c>
      <c r="I459" s="8" t="n">
        <v>-345.29</v>
      </c>
    </row>
    <row r="460" customFormat="false" ht="15" hidden="false" customHeight="false" outlineLevel="0" collapsed="false">
      <c r="A460" s="7" t="s">
        <v>137</v>
      </c>
      <c r="B460" s="20" t="n">
        <v>45626</v>
      </c>
      <c r="C460" s="16" t="n">
        <v>2024</v>
      </c>
      <c r="D460" s="7" t="s">
        <v>149</v>
      </c>
      <c r="E460" s="7" t="s">
        <v>221</v>
      </c>
      <c r="F460" s="7" t="s">
        <v>267</v>
      </c>
      <c r="G460" s="7" t="s">
        <v>268</v>
      </c>
      <c r="H460" s="7" t="s">
        <v>269</v>
      </c>
      <c r="I460" s="8" t="n">
        <v>-8703.71</v>
      </c>
    </row>
    <row r="461" customFormat="false" ht="15" hidden="false" customHeight="false" outlineLevel="0" collapsed="false">
      <c r="A461" s="7" t="s">
        <v>137</v>
      </c>
      <c r="B461" s="20" t="n">
        <v>45626</v>
      </c>
      <c r="C461" s="16" t="n">
        <v>2024</v>
      </c>
      <c r="D461" s="7" t="s">
        <v>149</v>
      </c>
      <c r="E461" s="7" t="s">
        <v>219</v>
      </c>
      <c r="F461" s="7" t="s">
        <v>187</v>
      </c>
      <c r="G461" s="7" t="s">
        <v>220</v>
      </c>
      <c r="H461" s="7" t="s">
        <v>187</v>
      </c>
      <c r="I461" s="8" t="n">
        <v>-2149.82</v>
      </c>
    </row>
    <row r="462" customFormat="false" ht="15" hidden="false" customHeight="false" outlineLevel="0" collapsed="false">
      <c r="A462" s="7" t="s">
        <v>137</v>
      </c>
      <c r="B462" s="20" t="n">
        <v>45626</v>
      </c>
      <c r="C462" s="16" t="n">
        <v>2024</v>
      </c>
      <c r="D462" s="7" t="s">
        <v>149</v>
      </c>
      <c r="E462" s="7" t="s">
        <v>236</v>
      </c>
      <c r="F462" s="7" t="s">
        <v>189</v>
      </c>
      <c r="G462" s="7" t="s">
        <v>237</v>
      </c>
      <c r="H462" s="7" t="s">
        <v>238</v>
      </c>
      <c r="I462" s="8" t="n">
        <v>-419.27</v>
      </c>
    </row>
    <row r="463" customFormat="false" ht="15" hidden="false" customHeight="false" outlineLevel="0" collapsed="false">
      <c r="A463" s="7" t="s">
        <v>137</v>
      </c>
      <c r="B463" s="20" t="n">
        <v>45626</v>
      </c>
      <c r="C463" s="16" t="n">
        <v>2024</v>
      </c>
      <c r="D463" s="7" t="s">
        <v>153</v>
      </c>
      <c r="E463" s="7" t="s">
        <v>221</v>
      </c>
      <c r="F463" s="7" t="s">
        <v>270</v>
      </c>
      <c r="G463" s="7" t="s">
        <v>271</v>
      </c>
      <c r="H463" s="7" t="s">
        <v>272</v>
      </c>
      <c r="I463" s="8" t="n">
        <v>-1569.51</v>
      </c>
    </row>
    <row r="464" customFormat="false" ht="15" hidden="false" customHeight="false" outlineLevel="0" collapsed="false">
      <c r="A464" s="7" t="s">
        <v>137</v>
      </c>
      <c r="B464" s="20" t="n">
        <v>45626</v>
      </c>
      <c r="C464" s="16" t="n">
        <v>2024</v>
      </c>
      <c r="D464" s="7" t="s">
        <v>153</v>
      </c>
      <c r="E464" s="7" t="s">
        <v>221</v>
      </c>
      <c r="F464" s="7" t="s">
        <v>260</v>
      </c>
      <c r="G464" s="7" t="s">
        <v>261</v>
      </c>
      <c r="H464" s="7" t="s">
        <v>262</v>
      </c>
      <c r="I464" s="8" t="n">
        <v>-1644.71</v>
      </c>
    </row>
    <row r="465" customFormat="false" ht="15" hidden="false" customHeight="false" outlineLevel="0" collapsed="false">
      <c r="A465" s="7" t="s">
        <v>137</v>
      </c>
      <c r="B465" s="20" t="n">
        <v>45626</v>
      </c>
      <c r="C465" s="16" t="n">
        <v>2024</v>
      </c>
      <c r="D465" s="7" t="s">
        <v>153</v>
      </c>
      <c r="E465" s="7" t="s">
        <v>229</v>
      </c>
      <c r="F465" s="7" t="s">
        <v>239</v>
      </c>
      <c r="G465" s="7" t="s">
        <v>240</v>
      </c>
      <c r="H465" s="7" t="s">
        <v>239</v>
      </c>
      <c r="I465" s="8" t="n">
        <v>-276.9</v>
      </c>
    </row>
    <row r="466" customFormat="false" ht="15" hidden="false" customHeight="false" outlineLevel="0" collapsed="false">
      <c r="A466" s="7" t="s">
        <v>137</v>
      </c>
      <c r="B466" s="20" t="n">
        <v>45626</v>
      </c>
      <c r="C466" s="16" t="n">
        <v>2024</v>
      </c>
      <c r="D466" s="7" t="s">
        <v>153</v>
      </c>
      <c r="E466" s="7" t="s">
        <v>229</v>
      </c>
      <c r="F466" s="7" t="s">
        <v>241</v>
      </c>
      <c r="G466" s="7" t="s">
        <v>242</v>
      </c>
      <c r="H466" s="7" t="s">
        <v>243</v>
      </c>
      <c r="I466" s="8" t="n">
        <v>-314.89</v>
      </c>
    </row>
    <row r="467" customFormat="false" ht="15" hidden="false" customHeight="false" outlineLevel="0" collapsed="false">
      <c r="A467" s="7" t="s">
        <v>137</v>
      </c>
      <c r="B467" s="20" t="n">
        <v>45626</v>
      </c>
      <c r="C467" s="16" t="n">
        <v>2024</v>
      </c>
      <c r="D467" s="7" t="s">
        <v>153</v>
      </c>
      <c r="E467" s="7" t="s">
        <v>229</v>
      </c>
      <c r="F467" s="7" t="s">
        <v>233</v>
      </c>
      <c r="G467" s="7" t="s">
        <v>244</v>
      </c>
      <c r="H467" s="7" t="s">
        <v>245</v>
      </c>
      <c r="I467" s="8" t="n">
        <v>-165</v>
      </c>
    </row>
    <row r="468" customFormat="false" ht="15" hidden="false" customHeight="false" outlineLevel="0" collapsed="false">
      <c r="A468" s="7" t="s">
        <v>137</v>
      </c>
      <c r="B468" s="20" t="n">
        <v>45626</v>
      </c>
      <c r="C468" s="16" t="n">
        <v>2024</v>
      </c>
      <c r="D468" s="7" t="s">
        <v>153</v>
      </c>
      <c r="E468" s="7" t="s">
        <v>219</v>
      </c>
      <c r="F468" s="7" t="s">
        <v>187</v>
      </c>
      <c r="G468" s="7" t="s">
        <v>220</v>
      </c>
      <c r="H468" s="7" t="s">
        <v>187</v>
      </c>
      <c r="I468" s="8" t="n">
        <v>-760.06</v>
      </c>
    </row>
    <row r="469" customFormat="false" ht="15" hidden="false" customHeight="false" outlineLevel="0" collapsed="false">
      <c r="A469" s="7" t="s">
        <v>137</v>
      </c>
      <c r="B469" s="20" t="n">
        <v>45626</v>
      </c>
      <c r="C469" s="16" t="n">
        <v>2024</v>
      </c>
      <c r="D469" s="7" t="s">
        <v>153</v>
      </c>
      <c r="E469" s="7" t="s">
        <v>236</v>
      </c>
      <c r="F469" s="7" t="s">
        <v>189</v>
      </c>
      <c r="G469" s="7" t="s">
        <v>237</v>
      </c>
      <c r="H469" s="7" t="s">
        <v>238</v>
      </c>
      <c r="I469" s="8" t="n">
        <v>-53.1</v>
      </c>
    </row>
    <row r="470" customFormat="false" ht="15" hidden="false" customHeight="false" outlineLevel="0" collapsed="false">
      <c r="A470" s="7" t="s">
        <v>137</v>
      </c>
      <c r="B470" s="20" t="n">
        <v>45626</v>
      </c>
      <c r="C470" s="16" t="n">
        <v>2024</v>
      </c>
      <c r="D470" s="7" t="s">
        <v>153</v>
      </c>
      <c r="E470" s="7" t="s">
        <v>236</v>
      </c>
      <c r="F470" s="7" t="s">
        <v>189</v>
      </c>
      <c r="G470" s="7" t="s">
        <v>246</v>
      </c>
      <c r="H470" s="7" t="s">
        <v>247</v>
      </c>
      <c r="I470" s="8" t="n">
        <v>-827.05</v>
      </c>
    </row>
    <row r="471" customFormat="false" ht="15" hidden="false" customHeight="false" outlineLevel="0" collapsed="false">
      <c r="A471" s="7" t="s">
        <v>137</v>
      </c>
      <c r="B471" s="20" t="n">
        <v>45626</v>
      </c>
      <c r="C471" s="16" t="n">
        <v>2024</v>
      </c>
      <c r="D471" s="7" t="s">
        <v>144</v>
      </c>
      <c r="E471" s="7" t="s">
        <v>219</v>
      </c>
      <c r="F471" s="7" t="s">
        <v>187</v>
      </c>
      <c r="G471" s="7" t="s">
        <v>220</v>
      </c>
      <c r="H471" s="7" t="s">
        <v>187</v>
      </c>
      <c r="I471" s="8" t="n">
        <v>-995.05</v>
      </c>
    </row>
    <row r="472" customFormat="false" ht="15" hidden="false" customHeight="false" outlineLevel="0" collapsed="false">
      <c r="A472" s="7" t="s">
        <v>137</v>
      </c>
      <c r="B472" s="20" t="n">
        <v>45626</v>
      </c>
      <c r="C472" s="16" t="n">
        <v>2024</v>
      </c>
      <c r="D472" s="7" t="s">
        <v>144</v>
      </c>
      <c r="E472" s="7" t="s">
        <v>225</v>
      </c>
      <c r="F472" s="7" t="s">
        <v>226</v>
      </c>
      <c r="G472" s="7" t="s">
        <v>227</v>
      </c>
      <c r="H472" s="7" t="s">
        <v>228</v>
      </c>
      <c r="I472" s="8" t="n">
        <v>320</v>
      </c>
    </row>
    <row r="473" customFormat="false" ht="15" hidden="false" customHeight="false" outlineLevel="0" collapsed="false">
      <c r="A473" s="7" t="s">
        <v>137</v>
      </c>
      <c r="B473" s="20" t="n">
        <v>45626</v>
      </c>
      <c r="C473" s="16" t="n">
        <v>2024</v>
      </c>
      <c r="D473" s="7" t="s">
        <v>146</v>
      </c>
      <c r="E473" s="7" t="s">
        <v>219</v>
      </c>
      <c r="F473" s="7" t="s">
        <v>187</v>
      </c>
      <c r="G473" s="7" t="s">
        <v>220</v>
      </c>
      <c r="H473" s="7" t="s">
        <v>187</v>
      </c>
      <c r="I473" s="8" t="n">
        <v>-603.09</v>
      </c>
    </row>
    <row r="474" customFormat="false" ht="15" hidden="false" customHeight="false" outlineLevel="0" collapsed="false">
      <c r="A474" s="7" t="s">
        <v>137</v>
      </c>
      <c r="B474" s="20" t="n">
        <v>45626</v>
      </c>
      <c r="C474" s="16" t="n">
        <v>2024</v>
      </c>
      <c r="D474" s="7" t="s">
        <v>146</v>
      </c>
      <c r="E474" s="7" t="s">
        <v>225</v>
      </c>
      <c r="F474" s="7" t="s">
        <v>226</v>
      </c>
      <c r="G474" s="7" t="s">
        <v>227</v>
      </c>
      <c r="H474" s="7" t="s">
        <v>228</v>
      </c>
      <c r="I474" s="8" t="n">
        <v>-132.48</v>
      </c>
    </row>
    <row r="475" customFormat="false" ht="15" hidden="false" customHeight="false" outlineLevel="0" collapsed="false">
      <c r="A475" s="7" t="s">
        <v>137</v>
      </c>
      <c r="B475" s="20" t="n">
        <v>45657</v>
      </c>
      <c r="C475" s="16" t="n">
        <v>2024</v>
      </c>
      <c r="D475" s="7" t="s">
        <v>141</v>
      </c>
      <c r="E475" s="7" t="s">
        <v>219</v>
      </c>
      <c r="F475" s="7" t="s">
        <v>187</v>
      </c>
      <c r="G475" s="7" t="s">
        <v>220</v>
      </c>
      <c r="H475" s="7" t="s">
        <v>187</v>
      </c>
      <c r="I475" s="8" t="n">
        <v>-1624.95</v>
      </c>
    </row>
    <row r="476" customFormat="false" ht="15" hidden="false" customHeight="false" outlineLevel="0" collapsed="false">
      <c r="A476" s="7" t="s">
        <v>137</v>
      </c>
      <c r="B476" s="20" t="n">
        <v>45657</v>
      </c>
      <c r="C476" s="16" t="n">
        <v>2024</v>
      </c>
      <c r="D476" s="7" t="s">
        <v>136</v>
      </c>
      <c r="E476" s="7" t="s">
        <v>248</v>
      </c>
      <c r="F476" s="7" t="s">
        <v>249</v>
      </c>
      <c r="G476" s="7" t="s">
        <v>292</v>
      </c>
      <c r="H476" s="7" t="s">
        <v>293</v>
      </c>
      <c r="I476" s="8" t="n">
        <v>28978.55</v>
      </c>
    </row>
    <row r="477" customFormat="false" ht="15" hidden="false" customHeight="false" outlineLevel="0" collapsed="false">
      <c r="A477" s="7" t="s">
        <v>137</v>
      </c>
      <c r="B477" s="20" t="n">
        <v>45657</v>
      </c>
      <c r="C477" s="16" t="n">
        <v>2024</v>
      </c>
      <c r="D477" s="7" t="s">
        <v>136</v>
      </c>
      <c r="E477" s="7" t="s">
        <v>248</v>
      </c>
      <c r="F477" s="7" t="s">
        <v>249</v>
      </c>
      <c r="G477" s="7" t="s">
        <v>294</v>
      </c>
      <c r="H477" s="7" t="s">
        <v>295</v>
      </c>
      <c r="I477" s="8" t="n">
        <v>6220.28</v>
      </c>
    </row>
    <row r="478" customFormat="false" ht="15" hidden="false" customHeight="false" outlineLevel="0" collapsed="false">
      <c r="A478" s="7" t="s">
        <v>137</v>
      </c>
      <c r="B478" s="20" t="n">
        <v>45657</v>
      </c>
      <c r="C478" s="16" t="n">
        <v>2024</v>
      </c>
      <c r="D478" s="7" t="s">
        <v>136</v>
      </c>
      <c r="E478" s="7" t="s">
        <v>221</v>
      </c>
      <c r="F478" s="7" t="s">
        <v>289</v>
      </c>
      <c r="G478" s="7" t="s">
        <v>296</v>
      </c>
      <c r="H478" s="7" t="s">
        <v>297</v>
      </c>
      <c r="I478" s="8" t="n">
        <v>-6200.06</v>
      </c>
    </row>
    <row r="479" customFormat="false" ht="15" hidden="false" customHeight="false" outlineLevel="0" collapsed="false">
      <c r="A479" s="7" t="s">
        <v>137</v>
      </c>
      <c r="B479" s="20" t="n">
        <v>45657</v>
      </c>
      <c r="C479" s="16" t="n">
        <v>2024</v>
      </c>
      <c r="D479" s="7" t="s">
        <v>136</v>
      </c>
      <c r="E479" s="7" t="s">
        <v>229</v>
      </c>
      <c r="F479" s="7" t="s">
        <v>298</v>
      </c>
      <c r="G479" s="7" t="s">
        <v>299</v>
      </c>
      <c r="H479" s="7" t="s">
        <v>298</v>
      </c>
      <c r="I479" s="8" t="n">
        <v>-443.93</v>
      </c>
    </row>
    <row r="480" customFormat="false" ht="15" hidden="false" customHeight="false" outlineLevel="0" collapsed="false">
      <c r="A480" s="7" t="s">
        <v>137</v>
      </c>
      <c r="B480" s="20" t="n">
        <v>45657</v>
      </c>
      <c r="C480" s="16" t="n">
        <v>2024</v>
      </c>
      <c r="D480" s="7" t="s">
        <v>149</v>
      </c>
      <c r="E480" s="7" t="s">
        <v>219</v>
      </c>
      <c r="F480" s="7" t="s">
        <v>187</v>
      </c>
      <c r="G480" s="7" t="s">
        <v>220</v>
      </c>
      <c r="H480" s="7" t="s">
        <v>187</v>
      </c>
      <c r="I480" s="8" t="n">
        <v>-2149.81</v>
      </c>
    </row>
    <row r="481" customFormat="false" ht="15" hidden="false" customHeight="false" outlineLevel="0" collapsed="false">
      <c r="A481" s="7" t="s">
        <v>137</v>
      </c>
      <c r="B481" s="20" t="n">
        <v>45657</v>
      </c>
      <c r="C481" s="16" t="n">
        <v>2024</v>
      </c>
      <c r="D481" s="7" t="s">
        <v>149</v>
      </c>
      <c r="E481" s="7" t="s">
        <v>236</v>
      </c>
      <c r="F481" s="7" t="s">
        <v>189</v>
      </c>
      <c r="G481" s="7" t="s">
        <v>237</v>
      </c>
      <c r="H481" s="7" t="s">
        <v>238</v>
      </c>
      <c r="I481" s="8" t="n">
        <v>-411.34</v>
      </c>
    </row>
    <row r="482" customFormat="false" ht="15" hidden="false" customHeight="false" outlineLevel="0" collapsed="false">
      <c r="A482" s="7" t="s">
        <v>137</v>
      </c>
      <c r="B482" s="20" t="n">
        <v>45657</v>
      </c>
      <c r="C482" s="16" t="n">
        <v>2024</v>
      </c>
      <c r="D482" s="7" t="s">
        <v>153</v>
      </c>
      <c r="E482" s="7" t="s">
        <v>229</v>
      </c>
      <c r="F482" s="7" t="s">
        <v>298</v>
      </c>
      <c r="G482" s="7" t="s">
        <v>299</v>
      </c>
      <c r="H482" s="7" t="s">
        <v>298</v>
      </c>
      <c r="I482" s="8" t="n">
        <v>-7017.3</v>
      </c>
    </row>
    <row r="483" customFormat="false" ht="15" hidden="false" customHeight="false" outlineLevel="0" collapsed="false">
      <c r="A483" s="7" t="s">
        <v>137</v>
      </c>
      <c r="B483" s="20" t="n">
        <v>45657</v>
      </c>
      <c r="C483" s="16" t="n">
        <v>2024</v>
      </c>
      <c r="D483" s="7" t="s">
        <v>153</v>
      </c>
      <c r="E483" s="7" t="s">
        <v>229</v>
      </c>
      <c r="F483" s="7" t="s">
        <v>239</v>
      </c>
      <c r="G483" s="7" t="s">
        <v>240</v>
      </c>
      <c r="H483" s="7" t="s">
        <v>239</v>
      </c>
      <c r="I483" s="8" t="n">
        <v>-486.35</v>
      </c>
    </row>
    <row r="484" customFormat="false" ht="15" hidden="false" customHeight="false" outlineLevel="0" collapsed="false">
      <c r="A484" s="7" t="s">
        <v>137</v>
      </c>
      <c r="B484" s="20" t="n">
        <v>45657</v>
      </c>
      <c r="C484" s="16" t="n">
        <v>2024</v>
      </c>
      <c r="D484" s="7" t="s">
        <v>153</v>
      </c>
      <c r="E484" s="7" t="s">
        <v>229</v>
      </c>
      <c r="F484" s="7" t="s">
        <v>241</v>
      </c>
      <c r="G484" s="7" t="s">
        <v>242</v>
      </c>
      <c r="H484" s="7" t="s">
        <v>243</v>
      </c>
      <c r="I484" s="8" t="n">
        <v>-275.89</v>
      </c>
    </row>
    <row r="485" customFormat="false" ht="15" hidden="false" customHeight="false" outlineLevel="0" collapsed="false">
      <c r="A485" s="7" t="s">
        <v>137</v>
      </c>
      <c r="B485" s="20" t="n">
        <v>45657</v>
      </c>
      <c r="C485" s="16" t="n">
        <v>2024</v>
      </c>
      <c r="D485" s="7" t="s">
        <v>153</v>
      </c>
      <c r="E485" s="7" t="s">
        <v>229</v>
      </c>
      <c r="F485" s="7" t="s">
        <v>233</v>
      </c>
      <c r="G485" s="7" t="s">
        <v>244</v>
      </c>
      <c r="H485" s="7" t="s">
        <v>245</v>
      </c>
      <c r="I485" s="8" t="n">
        <v>-165</v>
      </c>
    </row>
    <row r="486" customFormat="false" ht="15" hidden="false" customHeight="false" outlineLevel="0" collapsed="false">
      <c r="A486" s="7" t="s">
        <v>137</v>
      </c>
      <c r="B486" s="20" t="n">
        <v>45657</v>
      </c>
      <c r="C486" s="16" t="n">
        <v>2024</v>
      </c>
      <c r="D486" s="7" t="s">
        <v>153</v>
      </c>
      <c r="E486" s="7" t="s">
        <v>219</v>
      </c>
      <c r="F486" s="7" t="s">
        <v>187</v>
      </c>
      <c r="G486" s="7" t="s">
        <v>220</v>
      </c>
      <c r="H486" s="7" t="s">
        <v>187</v>
      </c>
      <c r="I486" s="8" t="n">
        <v>-760.07</v>
      </c>
    </row>
    <row r="487" customFormat="false" ht="15" hidden="false" customHeight="false" outlineLevel="0" collapsed="false">
      <c r="A487" s="7" t="s">
        <v>137</v>
      </c>
      <c r="B487" s="20" t="n">
        <v>45657</v>
      </c>
      <c r="C487" s="16" t="n">
        <v>2024</v>
      </c>
      <c r="D487" s="7" t="s">
        <v>153</v>
      </c>
      <c r="E487" s="7" t="s">
        <v>236</v>
      </c>
      <c r="F487" s="7" t="s">
        <v>189</v>
      </c>
      <c r="G487" s="7" t="s">
        <v>237</v>
      </c>
      <c r="H487" s="7" t="s">
        <v>238</v>
      </c>
      <c r="I487" s="8" t="n">
        <v>-15093.82</v>
      </c>
    </row>
    <row r="488" customFormat="false" ht="15" hidden="false" customHeight="false" outlineLevel="0" collapsed="false">
      <c r="A488" s="7" t="s">
        <v>137</v>
      </c>
      <c r="B488" s="20" t="n">
        <v>45657</v>
      </c>
      <c r="C488" s="16" t="n">
        <v>2024</v>
      </c>
      <c r="D488" s="7" t="s">
        <v>153</v>
      </c>
      <c r="E488" s="7" t="s">
        <v>236</v>
      </c>
      <c r="F488" s="7" t="s">
        <v>189</v>
      </c>
      <c r="G488" s="7" t="s">
        <v>246</v>
      </c>
      <c r="H488" s="7" t="s">
        <v>247</v>
      </c>
      <c r="I488" s="8" t="n">
        <v>-1097.32</v>
      </c>
    </row>
    <row r="489" customFormat="false" ht="15" hidden="false" customHeight="false" outlineLevel="0" collapsed="false">
      <c r="A489" s="7" t="s">
        <v>137</v>
      </c>
      <c r="B489" s="20" t="n">
        <v>45657</v>
      </c>
      <c r="C489" s="16" t="n">
        <v>2024</v>
      </c>
      <c r="D489" s="7" t="s">
        <v>144</v>
      </c>
      <c r="E489" s="7" t="s">
        <v>219</v>
      </c>
      <c r="F489" s="7" t="s">
        <v>187</v>
      </c>
      <c r="G489" s="7" t="s">
        <v>220</v>
      </c>
      <c r="H489" s="7" t="s">
        <v>187</v>
      </c>
      <c r="I489" s="8" t="n">
        <v>-995.03</v>
      </c>
    </row>
    <row r="490" customFormat="false" ht="15" hidden="false" customHeight="false" outlineLevel="0" collapsed="false">
      <c r="A490" s="7" t="s">
        <v>137</v>
      </c>
      <c r="B490" s="20" t="n">
        <v>45657</v>
      </c>
      <c r="C490" s="16" t="n">
        <v>2024</v>
      </c>
      <c r="D490" s="7" t="s">
        <v>144</v>
      </c>
      <c r="E490" s="7" t="s">
        <v>225</v>
      </c>
      <c r="F490" s="7" t="s">
        <v>226</v>
      </c>
      <c r="G490" s="7" t="s">
        <v>227</v>
      </c>
      <c r="H490" s="7" t="s">
        <v>228</v>
      </c>
      <c r="I490" s="8" t="n">
        <v>360</v>
      </c>
    </row>
    <row r="491" customFormat="false" ht="15" hidden="false" customHeight="false" outlineLevel="0" collapsed="false">
      <c r="A491" s="7" t="s">
        <v>137</v>
      </c>
      <c r="B491" s="20" t="n">
        <v>45657</v>
      </c>
      <c r="C491" s="16" t="n">
        <v>2024</v>
      </c>
      <c r="D491" s="7" t="s">
        <v>146</v>
      </c>
      <c r="E491" s="7" t="s">
        <v>219</v>
      </c>
      <c r="F491" s="7" t="s">
        <v>187</v>
      </c>
      <c r="G491" s="7" t="s">
        <v>220</v>
      </c>
      <c r="H491" s="7" t="s">
        <v>187</v>
      </c>
      <c r="I491" s="8" t="n">
        <v>-603.1</v>
      </c>
    </row>
    <row r="492" customFormat="false" ht="15" hidden="false" customHeight="false" outlineLevel="0" collapsed="false">
      <c r="A492" s="7" t="s">
        <v>137</v>
      </c>
      <c r="B492" s="20" t="n">
        <v>45657</v>
      </c>
      <c r="C492" s="16" t="n">
        <v>2024</v>
      </c>
      <c r="D492" s="7" t="s">
        <v>146</v>
      </c>
      <c r="E492" s="7" t="s">
        <v>225</v>
      </c>
      <c r="F492" s="7" t="s">
        <v>226</v>
      </c>
      <c r="G492" s="7" t="s">
        <v>227</v>
      </c>
      <c r="H492" s="7" t="s">
        <v>228</v>
      </c>
      <c r="I492" s="8" t="n">
        <v>-161.92</v>
      </c>
    </row>
    <row r="493" customFormat="false" ht="15" hidden="false" customHeight="false" outlineLevel="0" collapsed="false">
      <c r="A493" s="7" t="s">
        <v>137</v>
      </c>
      <c r="B493" s="20" t="n">
        <v>45688</v>
      </c>
      <c r="C493" s="16" t="n">
        <v>2025</v>
      </c>
      <c r="D493" s="7" t="s">
        <v>141</v>
      </c>
      <c r="E493" s="7" t="s">
        <v>219</v>
      </c>
      <c r="F493" s="7" t="s">
        <v>187</v>
      </c>
      <c r="G493" s="7" t="s">
        <v>220</v>
      </c>
      <c r="H493" s="7" t="s">
        <v>187</v>
      </c>
      <c r="I493" s="8" t="n">
        <v>-1624.96</v>
      </c>
    </row>
    <row r="494" customFormat="false" ht="15" hidden="false" customHeight="false" outlineLevel="0" collapsed="false">
      <c r="A494" s="7" t="s">
        <v>137</v>
      </c>
      <c r="B494" s="20" t="n">
        <v>45688</v>
      </c>
      <c r="C494" s="16" t="n">
        <v>2025</v>
      </c>
      <c r="D494" s="7" t="s">
        <v>136</v>
      </c>
      <c r="E494" s="7" t="s">
        <v>221</v>
      </c>
      <c r="F494" s="7" t="s">
        <v>222</v>
      </c>
      <c r="G494" s="7" t="s">
        <v>223</v>
      </c>
      <c r="H494" s="7" t="s">
        <v>224</v>
      </c>
      <c r="I494" s="8" t="n">
        <v>-1424.64</v>
      </c>
    </row>
    <row r="495" customFormat="false" ht="15" hidden="false" customHeight="false" outlineLevel="0" collapsed="false">
      <c r="A495" s="7" t="s">
        <v>137</v>
      </c>
      <c r="B495" s="20" t="n">
        <v>45688</v>
      </c>
      <c r="C495" s="16" t="n">
        <v>2025</v>
      </c>
      <c r="D495" s="7" t="s">
        <v>136</v>
      </c>
      <c r="E495" s="7" t="s">
        <v>225</v>
      </c>
      <c r="F495" s="7" t="s">
        <v>226</v>
      </c>
      <c r="G495" s="7" t="s">
        <v>227</v>
      </c>
      <c r="H495" s="7" t="s">
        <v>228</v>
      </c>
      <c r="I495" s="8" t="n">
        <v>1424.64</v>
      </c>
    </row>
    <row r="496" customFormat="false" ht="15" hidden="false" customHeight="false" outlineLevel="0" collapsed="false">
      <c r="A496" s="7" t="s">
        <v>137</v>
      </c>
      <c r="B496" s="20" t="n">
        <v>45688</v>
      </c>
      <c r="C496" s="16" t="n">
        <v>2025</v>
      </c>
      <c r="D496" s="7" t="s">
        <v>149</v>
      </c>
      <c r="E496" s="7" t="s">
        <v>229</v>
      </c>
      <c r="F496" s="7" t="s">
        <v>230</v>
      </c>
      <c r="G496" s="7" t="s">
        <v>231</v>
      </c>
      <c r="H496" s="7" t="s">
        <v>232</v>
      </c>
      <c r="I496" s="8" t="n">
        <v>-7920</v>
      </c>
    </row>
    <row r="497" customFormat="false" ht="15" hidden="false" customHeight="false" outlineLevel="0" collapsed="false">
      <c r="A497" s="7" t="s">
        <v>137</v>
      </c>
      <c r="B497" s="20" t="n">
        <v>45688</v>
      </c>
      <c r="C497" s="16" t="n">
        <v>2025</v>
      </c>
      <c r="D497" s="7" t="s">
        <v>149</v>
      </c>
      <c r="E497" s="7" t="s">
        <v>229</v>
      </c>
      <c r="F497" s="7" t="s">
        <v>233</v>
      </c>
      <c r="G497" s="7" t="s">
        <v>234</v>
      </c>
      <c r="H497" s="7" t="s">
        <v>235</v>
      </c>
      <c r="I497" s="8" t="n">
        <v>-1085</v>
      </c>
    </row>
    <row r="498" customFormat="false" ht="15" hidden="false" customHeight="false" outlineLevel="0" collapsed="false">
      <c r="A498" s="7" t="s">
        <v>137</v>
      </c>
      <c r="B498" s="20" t="n">
        <v>45688</v>
      </c>
      <c r="C498" s="16" t="n">
        <v>2025</v>
      </c>
      <c r="D498" s="7" t="s">
        <v>149</v>
      </c>
      <c r="E498" s="7" t="s">
        <v>219</v>
      </c>
      <c r="F498" s="7" t="s">
        <v>187</v>
      </c>
      <c r="G498" s="7" t="s">
        <v>220</v>
      </c>
      <c r="H498" s="7" t="s">
        <v>187</v>
      </c>
      <c r="I498" s="8" t="n">
        <v>-2149.82</v>
      </c>
    </row>
    <row r="499" customFormat="false" ht="15" hidden="false" customHeight="false" outlineLevel="0" collapsed="false">
      <c r="A499" s="7" t="s">
        <v>137</v>
      </c>
      <c r="B499" s="20" t="n">
        <v>45688</v>
      </c>
      <c r="C499" s="16" t="n">
        <v>2025</v>
      </c>
      <c r="D499" s="7" t="s">
        <v>149</v>
      </c>
      <c r="E499" s="7" t="s">
        <v>236</v>
      </c>
      <c r="F499" s="7" t="s">
        <v>189</v>
      </c>
      <c r="G499" s="7" t="s">
        <v>237</v>
      </c>
      <c r="H499" s="7" t="s">
        <v>238</v>
      </c>
      <c r="I499" s="8" t="n">
        <v>-10000.73</v>
      </c>
    </row>
    <row r="500" customFormat="false" ht="15" hidden="false" customHeight="false" outlineLevel="0" collapsed="false">
      <c r="A500" s="7" t="s">
        <v>137</v>
      </c>
      <c r="B500" s="20" t="n">
        <v>45688</v>
      </c>
      <c r="C500" s="16" t="n">
        <v>2025</v>
      </c>
      <c r="D500" s="7" t="s">
        <v>153</v>
      </c>
      <c r="E500" s="7" t="s">
        <v>229</v>
      </c>
      <c r="F500" s="7" t="s">
        <v>230</v>
      </c>
      <c r="G500" s="7" t="s">
        <v>231</v>
      </c>
      <c r="H500" s="7" t="s">
        <v>232</v>
      </c>
      <c r="I500" s="8" t="n">
        <v>-9310</v>
      </c>
    </row>
    <row r="501" customFormat="false" ht="15" hidden="false" customHeight="false" outlineLevel="0" collapsed="false">
      <c r="A501" s="7" t="s">
        <v>137</v>
      </c>
      <c r="B501" s="20" t="n">
        <v>45688</v>
      </c>
      <c r="C501" s="16" t="n">
        <v>2025</v>
      </c>
      <c r="D501" s="7" t="s">
        <v>153</v>
      </c>
      <c r="E501" s="7" t="s">
        <v>229</v>
      </c>
      <c r="F501" s="7" t="s">
        <v>239</v>
      </c>
      <c r="G501" s="7" t="s">
        <v>240</v>
      </c>
      <c r="H501" s="7" t="s">
        <v>239</v>
      </c>
      <c r="I501" s="8" t="n">
        <v>-436.2</v>
      </c>
    </row>
    <row r="502" customFormat="false" ht="15" hidden="false" customHeight="false" outlineLevel="0" collapsed="false">
      <c r="A502" s="7" t="s">
        <v>137</v>
      </c>
      <c r="B502" s="20" t="n">
        <v>45688</v>
      </c>
      <c r="C502" s="16" t="n">
        <v>2025</v>
      </c>
      <c r="D502" s="7" t="s">
        <v>153</v>
      </c>
      <c r="E502" s="7" t="s">
        <v>229</v>
      </c>
      <c r="F502" s="7" t="s">
        <v>241</v>
      </c>
      <c r="G502" s="7" t="s">
        <v>242</v>
      </c>
      <c r="H502" s="7" t="s">
        <v>243</v>
      </c>
      <c r="I502" s="8" t="n">
        <v>-301.07</v>
      </c>
    </row>
    <row r="503" customFormat="false" ht="15" hidden="false" customHeight="false" outlineLevel="0" collapsed="false">
      <c r="A503" s="7" t="s">
        <v>137</v>
      </c>
      <c r="B503" s="20" t="n">
        <v>45688</v>
      </c>
      <c r="C503" s="16" t="n">
        <v>2025</v>
      </c>
      <c r="D503" s="7" t="s">
        <v>153</v>
      </c>
      <c r="E503" s="7" t="s">
        <v>229</v>
      </c>
      <c r="F503" s="7" t="s">
        <v>233</v>
      </c>
      <c r="G503" s="7" t="s">
        <v>244</v>
      </c>
      <c r="H503" s="7" t="s">
        <v>245</v>
      </c>
      <c r="I503" s="8" t="n">
        <v>-165</v>
      </c>
    </row>
    <row r="504" customFormat="false" ht="15" hidden="false" customHeight="false" outlineLevel="0" collapsed="false">
      <c r="A504" s="7" t="s">
        <v>137</v>
      </c>
      <c r="B504" s="20" t="n">
        <v>45688</v>
      </c>
      <c r="C504" s="16" t="n">
        <v>2025</v>
      </c>
      <c r="D504" s="7" t="s">
        <v>153</v>
      </c>
      <c r="E504" s="7" t="s">
        <v>219</v>
      </c>
      <c r="F504" s="7" t="s">
        <v>187</v>
      </c>
      <c r="G504" s="7" t="s">
        <v>220</v>
      </c>
      <c r="H504" s="7" t="s">
        <v>187</v>
      </c>
      <c r="I504" s="8" t="n">
        <v>-760.07</v>
      </c>
    </row>
    <row r="505" customFormat="false" ht="15" hidden="false" customHeight="false" outlineLevel="0" collapsed="false">
      <c r="A505" s="7" t="s">
        <v>137</v>
      </c>
      <c r="B505" s="20" t="n">
        <v>45688</v>
      </c>
      <c r="C505" s="16" t="n">
        <v>2025</v>
      </c>
      <c r="D505" s="7" t="s">
        <v>153</v>
      </c>
      <c r="E505" s="7" t="s">
        <v>236</v>
      </c>
      <c r="F505" s="7" t="s">
        <v>189</v>
      </c>
      <c r="G505" s="7" t="s">
        <v>237</v>
      </c>
      <c r="H505" s="7" t="s">
        <v>238</v>
      </c>
      <c r="I505" s="8" t="n">
        <v>-47.94</v>
      </c>
    </row>
    <row r="506" customFormat="false" ht="15" hidden="false" customHeight="false" outlineLevel="0" collapsed="false">
      <c r="A506" s="7" t="s">
        <v>137</v>
      </c>
      <c r="B506" s="20" t="n">
        <v>45688</v>
      </c>
      <c r="C506" s="16" t="n">
        <v>2025</v>
      </c>
      <c r="D506" s="7" t="s">
        <v>153</v>
      </c>
      <c r="E506" s="7" t="s">
        <v>236</v>
      </c>
      <c r="F506" s="7" t="s">
        <v>189</v>
      </c>
      <c r="G506" s="7" t="s">
        <v>246</v>
      </c>
      <c r="H506" s="7" t="s">
        <v>247</v>
      </c>
      <c r="I506" s="8" t="n">
        <v>-953.86</v>
      </c>
    </row>
    <row r="507" customFormat="false" ht="15" hidden="false" customHeight="false" outlineLevel="0" collapsed="false">
      <c r="A507" s="7" t="s">
        <v>137</v>
      </c>
      <c r="B507" s="20" t="n">
        <v>45688</v>
      </c>
      <c r="C507" s="16" t="n">
        <v>2025</v>
      </c>
      <c r="D507" s="7" t="s">
        <v>144</v>
      </c>
      <c r="E507" s="7" t="s">
        <v>248</v>
      </c>
      <c r="F507" s="7" t="s">
        <v>249</v>
      </c>
      <c r="G507" s="7" t="s">
        <v>250</v>
      </c>
      <c r="H507" s="7" t="s">
        <v>251</v>
      </c>
      <c r="I507" s="8" t="n">
        <v>39760</v>
      </c>
    </row>
    <row r="508" customFormat="false" ht="15" hidden="false" customHeight="false" outlineLevel="0" collapsed="false">
      <c r="A508" s="7" t="s">
        <v>137</v>
      </c>
      <c r="B508" s="20" t="n">
        <v>45688</v>
      </c>
      <c r="C508" s="16" t="n">
        <v>2025</v>
      </c>
      <c r="D508" s="7" t="s">
        <v>144</v>
      </c>
      <c r="E508" s="7" t="s">
        <v>219</v>
      </c>
      <c r="F508" s="7" t="s">
        <v>187</v>
      </c>
      <c r="G508" s="7" t="s">
        <v>220</v>
      </c>
      <c r="H508" s="7" t="s">
        <v>187</v>
      </c>
      <c r="I508" s="8" t="n">
        <v>-995.05</v>
      </c>
    </row>
    <row r="509" customFormat="false" ht="15" hidden="false" customHeight="false" outlineLevel="0" collapsed="false">
      <c r="A509" s="7" t="s">
        <v>137</v>
      </c>
      <c r="B509" s="20" t="n">
        <v>45688</v>
      </c>
      <c r="C509" s="16" t="n">
        <v>2025</v>
      </c>
      <c r="D509" s="7" t="s">
        <v>144</v>
      </c>
      <c r="E509" s="7" t="s">
        <v>225</v>
      </c>
      <c r="F509" s="7" t="s">
        <v>226</v>
      </c>
      <c r="G509" s="7" t="s">
        <v>227</v>
      </c>
      <c r="H509" s="7" t="s">
        <v>228</v>
      </c>
      <c r="I509" s="8" t="n">
        <v>-39800</v>
      </c>
    </row>
    <row r="510" customFormat="false" ht="15" hidden="false" customHeight="false" outlineLevel="0" collapsed="false">
      <c r="A510" s="7" t="s">
        <v>137</v>
      </c>
      <c r="B510" s="20" t="n">
        <v>45688</v>
      </c>
      <c r="C510" s="16" t="n">
        <v>2025</v>
      </c>
      <c r="D510" s="7" t="s">
        <v>146</v>
      </c>
      <c r="E510" s="7" t="s">
        <v>248</v>
      </c>
      <c r="F510" s="7" t="s">
        <v>249</v>
      </c>
      <c r="G510" s="7" t="s">
        <v>250</v>
      </c>
      <c r="H510" s="7" t="s">
        <v>251</v>
      </c>
      <c r="I510" s="8" t="n">
        <v>7683.84</v>
      </c>
    </row>
    <row r="511" customFormat="false" ht="15" hidden="false" customHeight="false" outlineLevel="0" collapsed="false">
      <c r="A511" s="7" t="s">
        <v>137</v>
      </c>
      <c r="B511" s="20" t="n">
        <v>45688</v>
      </c>
      <c r="C511" s="16" t="n">
        <v>2025</v>
      </c>
      <c r="D511" s="7" t="s">
        <v>146</v>
      </c>
      <c r="E511" s="7" t="s">
        <v>219</v>
      </c>
      <c r="F511" s="7" t="s">
        <v>187</v>
      </c>
      <c r="G511" s="7" t="s">
        <v>220</v>
      </c>
      <c r="H511" s="7" t="s">
        <v>187</v>
      </c>
      <c r="I511" s="8" t="n">
        <v>-603.1</v>
      </c>
    </row>
    <row r="512" customFormat="false" ht="15" hidden="false" customHeight="false" outlineLevel="0" collapsed="false">
      <c r="A512" s="7" t="s">
        <v>137</v>
      </c>
      <c r="B512" s="20" t="n">
        <v>45688</v>
      </c>
      <c r="C512" s="16" t="n">
        <v>2025</v>
      </c>
      <c r="D512" s="7" t="s">
        <v>146</v>
      </c>
      <c r="E512" s="7" t="s">
        <v>225</v>
      </c>
      <c r="F512" s="7" t="s">
        <v>226</v>
      </c>
      <c r="G512" s="7" t="s">
        <v>227</v>
      </c>
      <c r="H512" s="7" t="s">
        <v>228</v>
      </c>
      <c r="I512" s="8" t="n">
        <v>-7654.4</v>
      </c>
    </row>
    <row r="513" customFormat="false" ht="15" hidden="false" customHeight="false" outlineLevel="0" collapsed="false">
      <c r="A513" s="7" t="s">
        <v>137</v>
      </c>
      <c r="B513" s="20" t="n">
        <v>45716</v>
      </c>
      <c r="C513" s="16" t="n">
        <v>2025</v>
      </c>
      <c r="D513" s="7" t="s">
        <v>141</v>
      </c>
      <c r="E513" s="7" t="s">
        <v>219</v>
      </c>
      <c r="F513" s="7" t="s">
        <v>187</v>
      </c>
      <c r="G513" s="7" t="s">
        <v>220</v>
      </c>
      <c r="H513" s="7" t="s">
        <v>187</v>
      </c>
      <c r="I513" s="8" t="n">
        <v>-1624.96</v>
      </c>
    </row>
    <row r="514" customFormat="false" ht="15" hidden="false" customHeight="false" outlineLevel="0" collapsed="false">
      <c r="A514" s="7" t="s">
        <v>137</v>
      </c>
      <c r="B514" s="20" t="n">
        <v>45716</v>
      </c>
      <c r="C514" s="16" t="n">
        <v>2025</v>
      </c>
      <c r="D514" s="7" t="s">
        <v>149</v>
      </c>
      <c r="E514" s="7" t="s">
        <v>219</v>
      </c>
      <c r="F514" s="7" t="s">
        <v>187</v>
      </c>
      <c r="G514" s="7" t="s">
        <v>220</v>
      </c>
      <c r="H514" s="7" t="s">
        <v>187</v>
      </c>
      <c r="I514" s="8" t="n">
        <v>-2149.82</v>
      </c>
    </row>
    <row r="515" customFormat="false" ht="15" hidden="false" customHeight="false" outlineLevel="0" collapsed="false">
      <c r="A515" s="7" t="s">
        <v>137</v>
      </c>
      <c r="B515" s="20" t="n">
        <v>45716</v>
      </c>
      <c r="C515" s="16" t="n">
        <v>2025</v>
      </c>
      <c r="D515" s="7" t="s">
        <v>149</v>
      </c>
      <c r="E515" s="7" t="s">
        <v>236</v>
      </c>
      <c r="F515" s="7" t="s">
        <v>189</v>
      </c>
      <c r="G515" s="7" t="s">
        <v>237</v>
      </c>
      <c r="H515" s="7" t="s">
        <v>238</v>
      </c>
      <c r="I515" s="8" t="n">
        <v>-395.33</v>
      </c>
    </row>
    <row r="516" customFormat="false" ht="15" hidden="false" customHeight="false" outlineLevel="0" collapsed="false">
      <c r="A516" s="7" t="s">
        <v>137</v>
      </c>
      <c r="B516" s="20" t="n">
        <v>45716</v>
      </c>
      <c r="C516" s="16" t="n">
        <v>2025</v>
      </c>
      <c r="D516" s="7" t="s">
        <v>153</v>
      </c>
      <c r="E516" s="7" t="s">
        <v>229</v>
      </c>
      <c r="F516" s="7" t="s">
        <v>239</v>
      </c>
      <c r="G516" s="7" t="s">
        <v>240</v>
      </c>
      <c r="H516" s="7" t="s">
        <v>239</v>
      </c>
      <c r="I516" s="8" t="n">
        <v>-423.48</v>
      </c>
    </row>
    <row r="517" customFormat="false" ht="15" hidden="false" customHeight="false" outlineLevel="0" collapsed="false">
      <c r="A517" s="7" t="s">
        <v>137</v>
      </c>
      <c r="B517" s="20" t="n">
        <v>45716</v>
      </c>
      <c r="C517" s="16" t="n">
        <v>2025</v>
      </c>
      <c r="D517" s="7" t="s">
        <v>153</v>
      </c>
      <c r="E517" s="7" t="s">
        <v>229</v>
      </c>
      <c r="F517" s="7" t="s">
        <v>241</v>
      </c>
      <c r="G517" s="7" t="s">
        <v>242</v>
      </c>
      <c r="H517" s="7" t="s">
        <v>243</v>
      </c>
      <c r="I517" s="8" t="n">
        <v>-313.01</v>
      </c>
    </row>
    <row r="518" customFormat="false" ht="15" hidden="false" customHeight="false" outlineLevel="0" collapsed="false">
      <c r="A518" s="7" t="s">
        <v>137</v>
      </c>
      <c r="B518" s="20" t="n">
        <v>45716</v>
      </c>
      <c r="C518" s="16" t="n">
        <v>2025</v>
      </c>
      <c r="D518" s="7" t="s">
        <v>153</v>
      </c>
      <c r="E518" s="7" t="s">
        <v>229</v>
      </c>
      <c r="F518" s="7" t="s">
        <v>233</v>
      </c>
      <c r="G518" s="7" t="s">
        <v>252</v>
      </c>
      <c r="H518" s="7" t="s">
        <v>253</v>
      </c>
      <c r="I518" s="8" t="n">
        <v>-3700</v>
      </c>
    </row>
    <row r="519" customFormat="false" ht="15" hidden="false" customHeight="false" outlineLevel="0" collapsed="false">
      <c r="A519" s="7" t="s">
        <v>137</v>
      </c>
      <c r="B519" s="20" t="n">
        <v>45716</v>
      </c>
      <c r="C519" s="16" t="n">
        <v>2025</v>
      </c>
      <c r="D519" s="7" t="s">
        <v>153</v>
      </c>
      <c r="E519" s="7" t="s">
        <v>229</v>
      </c>
      <c r="F519" s="7" t="s">
        <v>233</v>
      </c>
      <c r="G519" s="7" t="s">
        <v>244</v>
      </c>
      <c r="H519" s="7" t="s">
        <v>245</v>
      </c>
      <c r="I519" s="8" t="n">
        <v>-165</v>
      </c>
    </row>
    <row r="520" customFormat="false" ht="15" hidden="false" customHeight="false" outlineLevel="0" collapsed="false">
      <c r="A520" s="7" t="s">
        <v>137</v>
      </c>
      <c r="B520" s="20" t="n">
        <v>45716</v>
      </c>
      <c r="C520" s="16" t="n">
        <v>2025</v>
      </c>
      <c r="D520" s="7" t="s">
        <v>153</v>
      </c>
      <c r="E520" s="7" t="s">
        <v>219</v>
      </c>
      <c r="F520" s="7" t="s">
        <v>187</v>
      </c>
      <c r="G520" s="7" t="s">
        <v>220</v>
      </c>
      <c r="H520" s="7" t="s">
        <v>187</v>
      </c>
      <c r="I520" s="8" t="n">
        <v>-760.07</v>
      </c>
    </row>
    <row r="521" customFormat="false" ht="15" hidden="false" customHeight="false" outlineLevel="0" collapsed="false">
      <c r="A521" s="7" t="s">
        <v>137</v>
      </c>
      <c r="B521" s="20" t="n">
        <v>45716</v>
      </c>
      <c r="C521" s="16" t="n">
        <v>2025</v>
      </c>
      <c r="D521" s="7" t="s">
        <v>153</v>
      </c>
      <c r="E521" s="7" t="s">
        <v>236</v>
      </c>
      <c r="F521" s="7" t="s">
        <v>189</v>
      </c>
      <c r="G521" s="7" t="s">
        <v>237</v>
      </c>
      <c r="H521" s="7" t="s">
        <v>238</v>
      </c>
      <c r="I521" s="8" t="n">
        <v>-45.35</v>
      </c>
    </row>
    <row r="522" customFormat="false" ht="15" hidden="false" customHeight="false" outlineLevel="0" collapsed="false">
      <c r="A522" s="7" t="s">
        <v>137</v>
      </c>
      <c r="B522" s="20" t="n">
        <v>45716</v>
      </c>
      <c r="C522" s="16" t="n">
        <v>2025</v>
      </c>
      <c r="D522" s="7" t="s">
        <v>153</v>
      </c>
      <c r="E522" s="7" t="s">
        <v>236</v>
      </c>
      <c r="F522" s="7" t="s">
        <v>189</v>
      </c>
      <c r="G522" s="7" t="s">
        <v>246</v>
      </c>
      <c r="H522" s="7" t="s">
        <v>247</v>
      </c>
      <c r="I522" s="8" t="n">
        <v>-736.82</v>
      </c>
    </row>
    <row r="523" customFormat="false" ht="15" hidden="false" customHeight="false" outlineLevel="0" collapsed="false">
      <c r="A523" s="7" t="s">
        <v>137</v>
      </c>
      <c r="B523" s="20" t="n">
        <v>45716</v>
      </c>
      <c r="C523" s="16" t="n">
        <v>2025</v>
      </c>
      <c r="D523" s="7" t="s">
        <v>144</v>
      </c>
      <c r="E523" s="7" t="s">
        <v>219</v>
      </c>
      <c r="F523" s="7" t="s">
        <v>187</v>
      </c>
      <c r="G523" s="7" t="s">
        <v>220</v>
      </c>
      <c r="H523" s="7" t="s">
        <v>187</v>
      </c>
      <c r="I523" s="8" t="n">
        <v>-995.05</v>
      </c>
    </row>
    <row r="524" customFormat="false" ht="15" hidden="false" customHeight="false" outlineLevel="0" collapsed="false">
      <c r="A524" s="7" t="s">
        <v>137</v>
      </c>
      <c r="B524" s="20" t="n">
        <v>45716</v>
      </c>
      <c r="C524" s="16" t="n">
        <v>2025</v>
      </c>
      <c r="D524" s="7" t="s">
        <v>146</v>
      </c>
      <c r="E524" s="7" t="s">
        <v>219</v>
      </c>
      <c r="F524" s="7" t="s">
        <v>187</v>
      </c>
      <c r="G524" s="7" t="s">
        <v>220</v>
      </c>
      <c r="H524" s="7" t="s">
        <v>187</v>
      </c>
      <c r="I524" s="8" t="n">
        <v>-603.09</v>
      </c>
    </row>
    <row r="525" customFormat="false" ht="15" hidden="false" customHeight="false" outlineLevel="0" collapsed="false">
      <c r="A525" s="7" t="s">
        <v>137</v>
      </c>
      <c r="B525" s="20" t="n">
        <v>45747</v>
      </c>
      <c r="C525" s="16" t="n">
        <v>2025</v>
      </c>
      <c r="D525" s="7" t="s">
        <v>141</v>
      </c>
      <c r="E525" s="7" t="s">
        <v>221</v>
      </c>
      <c r="F525" s="7" t="s">
        <v>257</v>
      </c>
      <c r="G525" s="7" t="s">
        <v>258</v>
      </c>
      <c r="H525" s="7" t="s">
        <v>259</v>
      </c>
      <c r="I525" s="8" t="n">
        <v>-3500</v>
      </c>
    </row>
    <row r="526" customFormat="false" ht="15" hidden="false" customHeight="false" outlineLevel="0" collapsed="false">
      <c r="A526" s="7" t="s">
        <v>137</v>
      </c>
      <c r="B526" s="20" t="n">
        <v>45747</v>
      </c>
      <c r="C526" s="16" t="n">
        <v>2025</v>
      </c>
      <c r="D526" s="7" t="s">
        <v>141</v>
      </c>
      <c r="E526" s="7" t="s">
        <v>219</v>
      </c>
      <c r="F526" s="7" t="s">
        <v>187</v>
      </c>
      <c r="G526" s="7" t="s">
        <v>220</v>
      </c>
      <c r="H526" s="7" t="s">
        <v>187</v>
      </c>
      <c r="I526" s="8" t="n">
        <v>-1693.01</v>
      </c>
    </row>
    <row r="527" customFormat="false" ht="15" hidden="false" customHeight="false" outlineLevel="0" collapsed="false">
      <c r="A527" s="7" t="s">
        <v>137</v>
      </c>
      <c r="B527" s="20" t="n">
        <v>45747</v>
      </c>
      <c r="C527" s="16" t="n">
        <v>2025</v>
      </c>
      <c r="D527" s="7" t="s">
        <v>141</v>
      </c>
      <c r="E527" s="7" t="s">
        <v>300</v>
      </c>
      <c r="F527" s="7" t="s">
        <v>190</v>
      </c>
      <c r="G527" s="7" t="s">
        <v>301</v>
      </c>
      <c r="H527" s="7" t="s">
        <v>302</v>
      </c>
      <c r="I527" s="8" t="n">
        <v>3700</v>
      </c>
    </row>
    <row r="528" customFormat="false" ht="15" hidden="false" customHeight="false" outlineLevel="0" collapsed="false">
      <c r="A528" s="7" t="s">
        <v>137</v>
      </c>
      <c r="B528" s="20" t="n">
        <v>45747</v>
      </c>
      <c r="C528" s="16" t="n">
        <v>2025</v>
      </c>
      <c r="D528" s="7" t="s">
        <v>136</v>
      </c>
      <c r="E528" s="7" t="s">
        <v>221</v>
      </c>
      <c r="F528" s="7" t="s">
        <v>222</v>
      </c>
      <c r="G528" s="7" t="s">
        <v>223</v>
      </c>
      <c r="H528" s="7" t="s">
        <v>224</v>
      </c>
      <c r="I528" s="8" t="n">
        <v>-2442.24</v>
      </c>
    </row>
    <row r="529" customFormat="false" ht="15" hidden="false" customHeight="false" outlineLevel="0" collapsed="false">
      <c r="A529" s="7" t="s">
        <v>137</v>
      </c>
      <c r="B529" s="20" t="n">
        <v>45747</v>
      </c>
      <c r="C529" s="16" t="n">
        <v>2025</v>
      </c>
      <c r="D529" s="7" t="s">
        <v>136</v>
      </c>
      <c r="E529" s="7" t="s">
        <v>225</v>
      </c>
      <c r="F529" s="7" t="s">
        <v>226</v>
      </c>
      <c r="G529" s="7" t="s">
        <v>227</v>
      </c>
      <c r="H529" s="7" t="s">
        <v>228</v>
      </c>
      <c r="I529" s="8" t="n">
        <v>2442.24</v>
      </c>
    </row>
    <row r="530" customFormat="false" ht="15" hidden="false" customHeight="false" outlineLevel="0" collapsed="false">
      <c r="A530" s="7" t="s">
        <v>137</v>
      </c>
      <c r="B530" s="20" t="n">
        <v>45747</v>
      </c>
      <c r="C530" s="16" t="n">
        <v>2025</v>
      </c>
      <c r="D530" s="7" t="s">
        <v>149</v>
      </c>
      <c r="E530" s="7" t="s">
        <v>219</v>
      </c>
      <c r="F530" s="7" t="s">
        <v>187</v>
      </c>
      <c r="G530" s="7" t="s">
        <v>220</v>
      </c>
      <c r="H530" s="7" t="s">
        <v>187</v>
      </c>
      <c r="I530" s="8" t="n">
        <v>-2266.81</v>
      </c>
    </row>
    <row r="531" customFormat="false" ht="15" hidden="false" customHeight="false" outlineLevel="0" collapsed="false">
      <c r="A531" s="7" t="s">
        <v>137</v>
      </c>
      <c r="B531" s="20" t="n">
        <v>45747</v>
      </c>
      <c r="C531" s="16" t="n">
        <v>2025</v>
      </c>
      <c r="D531" s="7" t="s">
        <v>149</v>
      </c>
      <c r="E531" s="7" t="s">
        <v>236</v>
      </c>
      <c r="F531" s="7" t="s">
        <v>189</v>
      </c>
      <c r="G531" s="7" t="s">
        <v>237</v>
      </c>
      <c r="H531" s="7" t="s">
        <v>238</v>
      </c>
      <c r="I531" s="8" t="n">
        <v>-387.25</v>
      </c>
    </row>
    <row r="532" customFormat="false" ht="15" hidden="false" customHeight="false" outlineLevel="0" collapsed="false">
      <c r="A532" s="7" t="s">
        <v>137</v>
      </c>
      <c r="B532" s="20" t="n">
        <v>45747</v>
      </c>
      <c r="C532" s="16" t="n">
        <v>2025</v>
      </c>
      <c r="D532" s="7" t="s">
        <v>153</v>
      </c>
      <c r="E532" s="7" t="s">
        <v>221</v>
      </c>
      <c r="F532" s="7" t="s">
        <v>260</v>
      </c>
      <c r="G532" s="7" t="s">
        <v>261</v>
      </c>
      <c r="H532" s="7" t="s">
        <v>262</v>
      </c>
      <c r="I532" s="8" t="n">
        <v>-1500.64</v>
      </c>
    </row>
    <row r="533" customFormat="false" ht="15" hidden="false" customHeight="false" outlineLevel="0" collapsed="false">
      <c r="A533" s="7" t="s">
        <v>137</v>
      </c>
      <c r="B533" s="20" t="n">
        <v>45747</v>
      </c>
      <c r="C533" s="16" t="n">
        <v>2025</v>
      </c>
      <c r="D533" s="7" t="s">
        <v>153</v>
      </c>
      <c r="E533" s="7" t="s">
        <v>229</v>
      </c>
      <c r="F533" s="7" t="s">
        <v>239</v>
      </c>
      <c r="G533" s="7" t="s">
        <v>240</v>
      </c>
      <c r="H533" s="7" t="s">
        <v>239</v>
      </c>
      <c r="I533" s="8" t="n">
        <v>-274.99</v>
      </c>
    </row>
    <row r="534" customFormat="false" ht="15" hidden="false" customHeight="false" outlineLevel="0" collapsed="false">
      <c r="A534" s="7" t="s">
        <v>137</v>
      </c>
      <c r="B534" s="20" t="n">
        <v>45747</v>
      </c>
      <c r="C534" s="16" t="n">
        <v>2025</v>
      </c>
      <c r="D534" s="7" t="s">
        <v>153</v>
      </c>
      <c r="E534" s="7" t="s">
        <v>229</v>
      </c>
      <c r="F534" s="7" t="s">
        <v>241</v>
      </c>
      <c r="G534" s="7" t="s">
        <v>242</v>
      </c>
      <c r="H534" s="7" t="s">
        <v>243</v>
      </c>
      <c r="I534" s="8" t="n">
        <v>-336.8</v>
      </c>
    </row>
    <row r="535" customFormat="false" ht="15" hidden="false" customHeight="false" outlineLevel="0" collapsed="false">
      <c r="A535" s="7" t="s">
        <v>137</v>
      </c>
      <c r="B535" s="20" t="n">
        <v>45747</v>
      </c>
      <c r="C535" s="16" t="n">
        <v>2025</v>
      </c>
      <c r="D535" s="7" t="s">
        <v>153</v>
      </c>
      <c r="E535" s="7" t="s">
        <v>229</v>
      </c>
      <c r="F535" s="7" t="s">
        <v>233</v>
      </c>
      <c r="G535" s="7" t="s">
        <v>244</v>
      </c>
      <c r="H535" s="7" t="s">
        <v>245</v>
      </c>
      <c r="I535" s="8" t="n">
        <v>-165</v>
      </c>
    </row>
    <row r="536" customFormat="false" ht="15" hidden="false" customHeight="false" outlineLevel="0" collapsed="false">
      <c r="A536" s="7" t="s">
        <v>137</v>
      </c>
      <c r="B536" s="20" t="n">
        <v>45747</v>
      </c>
      <c r="C536" s="16" t="n">
        <v>2025</v>
      </c>
      <c r="D536" s="7" t="s">
        <v>153</v>
      </c>
      <c r="E536" s="7" t="s">
        <v>219</v>
      </c>
      <c r="F536" s="7" t="s">
        <v>187</v>
      </c>
      <c r="G536" s="7" t="s">
        <v>220</v>
      </c>
      <c r="H536" s="7" t="s">
        <v>187</v>
      </c>
      <c r="I536" s="8" t="n">
        <v>-760.07</v>
      </c>
    </row>
    <row r="537" customFormat="false" ht="15" hidden="false" customHeight="false" outlineLevel="0" collapsed="false">
      <c r="A537" s="7" t="s">
        <v>137</v>
      </c>
      <c r="B537" s="20" t="n">
        <v>45747</v>
      </c>
      <c r="C537" s="16" t="n">
        <v>2025</v>
      </c>
      <c r="D537" s="7" t="s">
        <v>153</v>
      </c>
      <c r="E537" s="7" t="s">
        <v>236</v>
      </c>
      <c r="F537" s="7" t="s">
        <v>189</v>
      </c>
      <c r="G537" s="7" t="s">
        <v>237</v>
      </c>
      <c r="H537" s="7" t="s">
        <v>238</v>
      </c>
      <c r="I537" s="8" t="n">
        <v>-42.75</v>
      </c>
    </row>
    <row r="538" customFormat="false" ht="15" hidden="false" customHeight="false" outlineLevel="0" collapsed="false">
      <c r="A538" s="7" t="s">
        <v>137</v>
      </c>
      <c r="B538" s="20" t="n">
        <v>45747</v>
      </c>
      <c r="C538" s="16" t="n">
        <v>2025</v>
      </c>
      <c r="D538" s="7" t="s">
        <v>153</v>
      </c>
      <c r="E538" s="7" t="s">
        <v>236</v>
      </c>
      <c r="F538" s="7" t="s">
        <v>189</v>
      </c>
      <c r="G538" s="7" t="s">
        <v>246</v>
      </c>
      <c r="H538" s="7" t="s">
        <v>247</v>
      </c>
      <c r="I538" s="8" t="n">
        <v>-1060.29</v>
      </c>
    </row>
    <row r="539" customFormat="false" ht="15" hidden="false" customHeight="false" outlineLevel="0" collapsed="false">
      <c r="A539" s="7" t="s">
        <v>137</v>
      </c>
      <c r="B539" s="20" t="n">
        <v>45747</v>
      </c>
      <c r="C539" s="16" t="n">
        <v>2025</v>
      </c>
      <c r="D539" s="7" t="s">
        <v>144</v>
      </c>
      <c r="E539" s="7" t="s">
        <v>221</v>
      </c>
      <c r="F539" s="7" t="s">
        <v>257</v>
      </c>
      <c r="G539" s="7" t="s">
        <v>258</v>
      </c>
      <c r="H539" s="7" t="s">
        <v>259</v>
      </c>
      <c r="I539" s="8" t="n">
        <v>-960</v>
      </c>
    </row>
    <row r="540" customFormat="false" ht="15" hidden="false" customHeight="false" outlineLevel="0" collapsed="false">
      <c r="A540" s="7" t="s">
        <v>137</v>
      </c>
      <c r="B540" s="20" t="n">
        <v>45747</v>
      </c>
      <c r="C540" s="16" t="n">
        <v>2025</v>
      </c>
      <c r="D540" s="7" t="s">
        <v>144</v>
      </c>
      <c r="E540" s="7" t="s">
        <v>219</v>
      </c>
      <c r="F540" s="7" t="s">
        <v>187</v>
      </c>
      <c r="G540" s="7" t="s">
        <v>220</v>
      </c>
      <c r="H540" s="7" t="s">
        <v>187</v>
      </c>
      <c r="I540" s="8" t="n">
        <v>-1079.42</v>
      </c>
    </row>
    <row r="541" customFormat="false" ht="15" hidden="false" customHeight="false" outlineLevel="0" collapsed="false">
      <c r="A541" s="7" t="s">
        <v>137</v>
      </c>
      <c r="B541" s="20" t="n">
        <v>45747</v>
      </c>
      <c r="C541" s="16" t="n">
        <v>2025</v>
      </c>
      <c r="D541" s="7" t="s">
        <v>144</v>
      </c>
      <c r="E541" s="7" t="s">
        <v>300</v>
      </c>
      <c r="F541" s="7" t="s">
        <v>190</v>
      </c>
      <c r="G541" s="7" t="s">
        <v>301</v>
      </c>
      <c r="H541" s="7" t="s">
        <v>302</v>
      </c>
      <c r="I541" s="8" t="n">
        <v>2466.67</v>
      </c>
    </row>
    <row r="542" customFormat="false" ht="15" hidden="false" customHeight="false" outlineLevel="0" collapsed="false">
      <c r="A542" s="7" t="s">
        <v>137</v>
      </c>
      <c r="B542" s="20" t="n">
        <v>45747</v>
      </c>
      <c r="C542" s="16" t="n">
        <v>2025</v>
      </c>
      <c r="D542" s="7" t="s">
        <v>146</v>
      </c>
      <c r="E542" s="7" t="s">
        <v>221</v>
      </c>
      <c r="F542" s="7" t="s">
        <v>254</v>
      </c>
      <c r="G542" s="7" t="s">
        <v>255</v>
      </c>
      <c r="H542" s="7" t="s">
        <v>256</v>
      </c>
      <c r="I542" s="8" t="n">
        <v>-3008</v>
      </c>
    </row>
    <row r="543" customFormat="false" ht="15" hidden="false" customHeight="false" outlineLevel="0" collapsed="false">
      <c r="A543" s="7" t="s">
        <v>137</v>
      </c>
      <c r="B543" s="20" t="n">
        <v>45747</v>
      </c>
      <c r="C543" s="16" t="n">
        <v>2025</v>
      </c>
      <c r="D543" s="7" t="s">
        <v>146</v>
      </c>
      <c r="E543" s="7" t="s">
        <v>221</v>
      </c>
      <c r="F543" s="7" t="s">
        <v>263</v>
      </c>
      <c r="G543" s="7" t="s">
        <v>264</v>
      </c>
      <c r="H543" s="7" t="s">
        <v>263</v>
      </c>
      <c r="I543" s="8" t="n">
        <v>-1176</v>
      </c>
    </row>
    <row r="544" customFormat="false" ht="15" hidden="false" customHeight="false" outlineLevel="0" collapsed="false">
      <c r="A544" s="7" t="s">
        <v>137</v>
      </c>
      <c r="B544" s="20" t="n">
        <v>45747</v>
      </c>
      <c r="C544" s="16" t="n">
        <v>2025</v>
      </c>
      <c r="D544" s="7" t="s">
        <v>146</v>
      </c>
      <c r="E544" s="7" t="s">
        <v>221</v>
      </c>
      <c r="F544" s="7" t="s">
        <v>257</v>
      </c>
      <c r="G544" s="7" t="s">
        <v>258</v>
      </c>
      <c r="H544" s="7" t="s">
        <v>259</v>
      </c>
      <c r="I544" s="8" t="n">
        <v>-1440</v>
      </c>
    </row>
    <row r="545" customFormat="false" ht="15" hidden="false" customHeight="false" outlineLevel="0" collapsed="false">
      <c r="A545" s="7" t="s">
        <v>137</v>
      </c>
      <c r="B545" s="20" t="n">
        <v>45747</v>
      </c>
      <c r="C545" s="16" t="n">
        <v>2025</v>
      </c>
      <c r="D545" s="7" t="s">
        <v>146</v>
      </c>
      <c r="E545" s="7" t="s">
        <v>219</v>
      </c>
      <c r="F545" s="7" t="s">
        <v>187</v>
      </c>
      <c r="G545" s="7" t="s">
        <v>220</v>
      </c>
      <c r="H545" s="7" t="s">
        <v>187</v>
      </c>
      <c r="I545" s="8" t="n">
        <v>-614.92</v>
      </c>
    </row>
    <row r="546" customFormat="false" ht="15" hidden="false" customHeight="false" outlineLevel="0" collapsed="false">
      <c r="A546" s="7" t="s">
        <v>137</v>
      </c>
      <c r="B546" s="20" t="n">
        <v>45747</v>
      </c>
      <c r="C546" s="16" t="n">
        <v>2025</v>
      </c>
      <c r="D546" s="7" t="s">
        <v>146</v>
      </c>
      <c r="E546" s="7" t="s">
        <v>300</v>
      </c>
      <c r="F546" s="7" t="s">
        <v>190</v>
      </c>
      <c r="G546" s="7" t="s">
        <v>301</v>
      </c>
      <c r="H546" s="7" t="s">
        <v>302</v>
      </c>
      <c r="I546" s="8" t="n">
        <v>2055.55</v>
      </c>
    </row>
    <row r="547" customFormat="false" ht="15" hidden="false" customHeight="false" outlineLevel="0" collapsed="false">
      <c r="A547" s="7" t="s">
        <v>137</v>
      </c>
      <c r="B547" s="20" t="n">
        <v>45747</v>
      </c>
      <c r="C547" s="16" t="n">
        <v>2025</v>
      </c>
      <c r="D547" s="7" t="s">
        <v>146</v>
      </c>
      <c r="E547" s="7" t="s">
        <v>225</v>
      </c>
      <c r="F547" s="7" t="s">
        <v>226</v>
      </c>
      <c r="G547" s="7" t="s">
        <v>227</v>
      </c>
      <c r="H547" s="7" t="s">
        <v>228</v>
      </c>
      <c r="I547" s="8" t="n">
        <v>5624</v>
      </c>
    </row>
    <row r="548" customFormat="false" ht="15" hidden="false" customHeight="false" outlineLevel="0" collapsed="false">
      <c r="A548" s="7" t="s">
        <v>137</v>
      </c>
      <c r="B548" s="20" t="n">
        <v>45777</v>
      </c>
      <c r="C548" s="16" t="n">
        <v>2025</v>
      </c>
      <c r="D548" s="7" t="s">
        <v>141</v>
      </c>
      <c r="E548" s="7" t="s">
        <v>221</v>
      </c>
      <c r="F548" s="7" t="s">
        <v>265</v>
      </c>
      <c r="G548" s="7" t="s">
        <v>266</v>
      </c>
      <c r="H548" s="7" t="s">
        <v>265</v>
      </c>
      <c r="I548" s="8" t="n">
        <v>-15225</v>
      </c>
    </row>
    <row r="549" customFormat="false" ht="15" hidden="false" customHeight="false" outlineLevel="0" collapsed="false">
      <c r="A549" s="7" t="s">
        <v>137</v>
      </c>
      <c r="B549" s="20" t="n">
        <v>45777</v>
      </c>
      <c r="C549" s="16" t="n">
        <v>2025</v>
      </c>
      <c r="D549" s="7" t="s">
        <v>141</v>
      </c>
      <c r="E549" s="7" t="s">
        <v>221</v>
      </c>
      <c r="F549" s="7" t="s">
        <v>254</v>
      </c>
      <c r="G549" s="7" t="s">
        <v>255</v>
      </c>
      <c r="H549" s="7" t="s">
        <v>256</v>
      </c>
      <c r="I549" s="8" t="n">
        <v>-19800</v>
      </c>
    </row>
    <row r="550" customFormat="false" ht="15" hidden="false" customHeight="false" outlineLevel="0" collapsed="false">
      <c r="A550" s="7" t="s">
        <v>137</v>
      </c>
      <c r="B550" s="20" t="n">
        <v>45777</v>
      </c>
      <c r="C550" s="16" t="n">
        <v>2025</v>
      </c>
      <c r="D550" s="7" t="s">
        <v>141</v>
      </c>
      <c r="E550" s="7" t="s">
        <v>221</v>
      </c>
      <c r="F550" s="7" t="s">
        <v>263</v>
      </c>
      <c r="G550" s="7" t="s">
        <v>264</v>
      </c>
      <c r="H550" s="7" t="s">
        <v>263</v>
      </c>
      <c r="I550" s="8" t="n">
        <v>-4186.88</v>
      </c>
    </row>
    <row r="551" customFormat="false" ht="15" hidden="false" customHeight="false" outlineLevel="0" collapsed="false">
      <c r="A551" s="7" t="s">
        <v>137</v>
      </c>
      <c r="B551" s="20" t="n">
        <v>45777</v>
      </c>
      <c r="C551" s="16" t="n">
        <v>2025</v>
      </c>
      <c r="D551" s="7" t="s">
        <v>141</v>
      </c>
      <c r="E551" s="7" t="s">
        <v>221</v>
      </c>
      <c r="F551" s="7" t="s">
        <v>267</v>
      </c>
      <c r="G551" s="7" t="s">
        <v>268</v>
      </c>
      <c r="H551" s="7" t="s">
        <v>269</v>
      </c>
      <c r="I551" s="8" t="n">
        <v>-1071</v>
      </c>
    </row>
    <row r="552" customFormat="false" ht="15" hidden="false" customHeight="false" outlineLevel="0" collapsed="false">
      <c r="A552" s="7" t="s">
        <v>137</v>
      </c>
      <c r="B552" s="20" t="n">
        <v>45777</v>
      </c>
      <c r="C552" s="16" t="n">
        <v>2025</v>
      </c>
      <c r="D552" s="7" t="s">
        <v>141</v>
      </c>
      <c r="E552" s="7" t="s">
        <v>219</v>
      </c>
      <c r="F552" s="7" t="s">
        <v>187</v>
      </c>
      <c r="G552" s="7" t="s">
        <v>220</v>
      </c>
      <c r="H552" s="7" t="s">
        <v>187</v>
      </c>
      <c r="I552" s="8" t="n">
        <v>-1693.03</v>
      </c>
    </row>
    <row r="553" customFormat="false" ht="15" hidden="false" customHeight="false" outlineLevel="0" collapsed="false">
      <c r="A553" s="7" t="s">
        <v>137</v>
      </c>
      <c r="B553" s="20" t="n">
        <v>45777</v>
      </c>
      <c r="C553" s="16" t="n">
        <v>2025</v>
      </c>
      <c r="D553" s="7" t="s">
        <v>141</v>
      </c>
      <c r="E553" s="7" t="s">
        <v>225</v>
      </c>
      <c r="F553" s="7" t="s">
        <v>226</v>
      </c>
      <c r="G553" s="7" t="s">
        <v>227</v>
      </c>
      <c r="H553" s="7" t="s">
        <v>228</v>
      </c>
      <c r="I553" s="8" t="n">
        <v>43782.88</v>
      </c>
    </row>
    <row r="554" customFormat="false" ht="15" hidden="false" customHeight="false" outlineLevel="0" collapsed="false">
      <c r="A554" s="7" t="s">
        <v>137</v>
      </c>
      <c r="B554" s="20" t="n">
        <v>45777</v>
      </c>
      <c r="C554" s="16" t="n">
        <v>2025</v>
      </c>
      <c r="D554" s="7" t="s">
        <v>136</v>
      </c>
      <c r="E554" s="7" t="s">
        <v>248</v>
      </c>
      <c r="F554" s="7" t="s">
        <v>286</v>
      </c>
      <c r="G554" s="7" t="s">
        <v>303</v>
      </c>
      <c r="H554" s="7" t="s">
        <v>304</v>
      </c>
      <c r="I554" s="8" t="n">
        <v>8135.04</v>
      </c>
    </row>
    <row r="555" customFormat="false" ht="15" hidden="false" customHeight="false" outlineLevel="0" collapsed="false">
      <c r="A555" s="7" t="s">
        <v>137</v>
      </c>
      <c r="B555" s="20" t="n">
        <v>45777</v>
      </c>
      <c r="C555" s="16" t="n">
        <v>2025</v>
      </c>
      <c r="D555" s="7" t="s">
        <v>136</v>
      </c>
      <c r="E555" s="7" t="s">
        <v>221</v>
      </c>
      <c r="F555" s="7" t="s">
        <v>254</v>
      </c>
      <c r="G555" s="7" t="s">
        <v>255</v>
      </c>
      <c r="H555" s="7" t="s">
        <v>256</v>
      </c>
      <c r="I555" s="8" t="n">
        <v>-3436.8</v>
      </c>
    </row>
    <row r="556" customFormat="false" ht="15" hidden="false" customHeight="false" outlineLevel="0" collapsed="false">
      <c r="A556" s="7" t="s">
        <v>137</v>
      </c>
      <c r="B556" s="20" t="n">
        <v>45777</v>
      </c>
      <c r="C556" s="16" t="n">
        <v>2025</v>
      </c>
      <c r="D556" s="7" t="s">
        <v>136</v>
      </c>
      <c r="E556" s="7" t="s">
        <v>221</v>
      </c>
      <c r="F556" s="7" t="s">
        <v>263</v>
      </c>
      <c r="G556" s="7" t="s">
        <v>264</v>
      </c>
      <c r="H556" s="7" t="s">
        <v>263</v>
      </c>
      <c r="I556" s="8" t="n">
        <v>-2238.72</v>
      </c>
    </row>
    <row r="557" customFormat="false" ht="15" hidden="false" customHeight="false" outlineLevel="0" collapsed="false">
      <c r="A557" s="7" t="s">
        <v>137</v>
      </c>
      <c r="B557" s="20" t="n">
        <v>45777</v>
      </c>
      <c r="C557" s="16" t="n">
        <v>2025</v>
      </c>
      <c r="D557" s="7" t="s">
        <v>136</v>
      </c>
      <c r="E557" s="7" t="s">
        <v>221</v>
      </c>
      <c r="F557" s="7" t="s">
        <v>222</v>
      </c>
      <c r="G557" s="7" t="s">
        <v>223</v>
      </c>
      <c r="H557" s="7" t="s">
        <v>224</v>
      </c>
      <c r="I557" s="8" t="n">
        <v>-915.84</v>
      </c>
    </row>
    <row r="558" customFormat="false" ht="15" hidden="false" customHeight="false" outlineLevel="0" collapsed="false">
      <c r="A558" s="7" t="s">
        <v>137</v>
      </c>
      <c r="B558" s="20" t="n">
        <v>45777</v>
      </c>
      <c r="C558" s="16" t="n">
        <v>2025</v>
      </c>
      <c r="D558" s="7" t="s">
        <v>136</v>
      </c>
      <c r="E558" s="7" t="s">
        <v>225</v>
      </c>
      <c r="F558" s="7" t="s">
        <v>226</v>
      </c>
      <c r="G558" s="7" t="s">
        <v>227</v>
      </c>
      <c r="H558" s="7" t="s">
        <v>228</v>
      </c>
      <c r="I558" s="8" t="n">
        <v>6591.36</v>
      </c>
    </row>
    <row r="559" customFormat="false" ht="15" hidden="false" customHeight="false" outlineLevel="0" collapsed="false">
      <c r="A559" s="7" t="s">
        <v>137</v>
      </c>
      <c r="B559" s="20" t="n">
        <v>45777</v>
      </c>
      <c r="C559" s="16" t="n">
        <v>2025</v>
      </c>
      <c r="D559" s="7" t="s">
        <v>149</v>
      </c>
      <c r="E559" s="7" t="s">
        <v>221</v>
      </c>
      <c r="F559" s="7" t="s">
        <v>260</v>
      </c>
      <c r="G559" s="7" t="s">
        <v>261</v>
      </c>
      <c r="H559" s="7" t="s">
        <v>262</v>
      </c>
      <c r="I559" s="8" t="n">
        <v>-1334.81</v>
      </c>
    </row>
    <row r="560" customFormat="false" ht="15" hidden="false" customHeight="false" outlineLevel="0" collapsed="false">
      <c r="A560" s="7" t="s">
        <v>137</v>
      </c>
      <c r="B560" s="20" t="n">
        <v>45777</v>
      </c>
      <c r="C560" s="16" t="n">
        <v>2025</v>
      </c>
      <c r="D560" s="7" t="s">
        <v>149</v>
      </c>
      <c r="E560" s="7" t="s">
        <v>219</v>
      </c>
      <c r="F560" s="7" t="s">
        <v>187</v>
      </c>
      <c r="G560" s="7" t="s">
        <v>220</v>
      </c>
      <c r="H560" s="7" t="s">
        <v>187</v>
      </c>
      <c r="I560" s="8" t="n">
        <v>-2266.83</v>
      </c>
    </row>
    <row r="561" customFormat="false" ht="15" hidden="false" customHeight="false" outlineLevel="0" collapsed="false">
      <c r="A561" s="7" t="s">
        <v>137</v>
      </c>
      <c r="B561" s="20" t="n">
        <v>45777</v>
      </c>
      <c r="C561" s="16" t="n">
        <v>2025</v>
      </c>
      <c r="D561" s="7" t="s">
        <v>149</v>
      </c>
      <c r="E561" s="7" t="s">
        <v>236</v>
      </c>
      <c r="F561" s="7" t="s">
        <v>189</v>
      </c>
      <c r="G561" s="7" t="s">
        <v>237</v>
      </c>
      <c r="H561" s="7" t="s">
        <v>238</v>
      </c>
      <c r="I561" s="8" t="n">
        <v>-379.12</v>
      </c>
    </row>
    <row r="562" customFormat="false" ht="15" hidden="false" customHeight="false" outlineLevel="0" collapsed="false">
      <c r="A562" s="7" t="s">
        <v>137</v>
      </c>
      <c r="B562" s="20" t="n">
        <v>45777</v>
      </c>
      <c r="C562" s="16" t="n">
        <v>2025</v>
      </c>
      <c r="D562" s="7" t="s">
        <v>153</v>
      </c>
      <c r="E562" s="7" t="s">
        <v>229</v>
      </c>
      <c r="F562" s="7" t="s">
        <v>239</v>
      </c>
      <c r="G562" s="7" t="s">
        <v>240</v>
      </c>
      <c r="H562" s="7" t="s">
        <v>239</v>
      </c>
      <c r="I562" s="8" t="n">
        <v>-290.24</v>
      </c>
    </row>
    <row r="563" customFormat="false" ht="15" hidden="false" customHeight="false" outlineLevel="0" collapsed="false">
      <c r="A563" s="7" t="s">
        <v>137</v>
      </c>
      <c r="B563" s="20" t="n">
        <v>45777</v>
      </c>
      <c r="C563" s="16" t="n">
        <v>2025</v>
      </c>
      <c r="D563" s="7" t="s">
        <v>153</v>
      </c>
      <c r="E563" s="7" t="s">
        <v>229</v>
      </c>
      <c r="F563" s="7" t="s">
        <v>241</v>
      </c>
      <c r="G563" s="7" t="s">
        <v>242</v>
      </c>
      <c r="H563" s="7" t="s">
        <v>243</v>
      </c>
      <c r="I563" s="8" t="n">
        <v>-306.62</v>
      </c>
    </row>
    <row r="564" customFormat="false" ht="15" hidden="false" customHeight="false" outlineLevel="0" collapsed="false">
      <c r="A564" s="7" t="s">
        <v>137</v>
      </c>
      <c r="B564" s="20" t="n">
        <v>45777</v>
      </c>
      <c r="C564" s="16" t="n">
        <v>2025</v>
      </c>
      <c r="D564" s="7" t="s">
        <v>153</v>
      </c>
      <c r="E564" s="7" t="s">
        <v>229</v>
      </c>
      <c r="F564" s="7" t="s">
        <v>233</v>
      </c>
      <c r="G564" s="7" t="s">
        <v>234</v>
      </c>
      <c r="H564" s="7" t="s">
        <v>235</v>
      </c>
      <c r="I564" s="8" t="n">
        <v>-480</v>
      </c>
    </row>
    <row r="565" customFormat="false" ht="15" hidden="false" customHeight="false" outlineLevel="0" collapsed="false">
      <c r="A565" s="7" t="s">
        <v>137</v>
      </c>
      <c r="B565" s="20" t="n">
        <v>45777</v>
      </c>
      <c r="C565" s="16" t="n">
        <v>2025</v>
      </c>
      <c r="D565" s="7" t="s">
        <v>153</v>
      </c>
      <c r="E565" s="7" t="s">
        <v>229</v>
      </c>
      <c r="F565" s="7" t="s">
        <v>233</v>
      </c>
      <c r="G565" s="7" t="s">
        <v>244</v>
      </c>
      <c r="H565" s="7" t="s">
        <v>245</v>
      </c>
      <c r="I565" s="8" t="n">
        <v>-165</v>
      </c>
    </row>
    <row r="566" customFormat="false" ht="15" hidden="false" customHeight="false" outlineLevel="0" collapsed="false">
      <c r="A566" s="7" t="s">
        <v>137</v>
      </c>
      <c r="B566" s="20" t="n">
        <v>45777</v>
      </c>
      <c r="C566" s="16" t="n">
        <v>2025</v>
      </c>
      <c r="D566" s="7" t="s">
        <v>153</v>
      </c>
      <c r="E566" s="7" t="s">
        <v>219</v>
      </c>
      <c r="F566" s="7" t="s">
        <v>187</v>
      </c>
      <c r="G566" s="7" t="s">
        <v>220</v>
      </c>
      <c r="H566" s="7" t="s">
        <v>187</v>
      </c>
      <c r="I566" s="8" t="n">
        <v>-760.07</v>
      </c>
    </row>
    <row r="567" customFormat="false" ht="15" hidden="false" customHeight="false" outlineLevel="0" collapsed="false">
      <c r="A567" s="7" t="s">
        <v>137</v>
      </c>
      <c r="B567" s="20" t="n">
        <v>45777</v>
      </c>
      <c r="C567" s="16" t="n">
        <v>2025</v>
      </c>
      <c r="D567" s="7" t="s">
        <v>153</v>
      </c>
      <c r="E567" s="7" t="s">
        <v>236</v>
      </c>
      <c r="F567" s="7" t="s">
        <v>189</v>
      </c>
      <c r="G567" s="7" t="s">
        <v>237</v>
      </c>
      <c r="H567" s="7" t="s">
        <v>238</v>
      </c>
      <c r="I567" s="8" t="n">
        <v>-40.15</v>
      </c>
    </row>
    <row r="568" customFormat="false" ht="15" hidden="false" customHeight="false" outlineLevel="0" collapsed="false">
      <c r="A568" s="7" t="s">
        <v>137</v>
      </c>
      <c r="B568" s="20" t="n">
        <v>45777</v>
      </c>
      <c r="C568" s="16" t="n">
        <v>2025</v>
      </c>
      <c r="D568" s="7" t="s">
        <v>153</v>
      </c>
      <c r="E568" s="7" t="s">
        <v>236</v>
      </c>
      <c r="F568" s="7" t="s">
        <v>189</v>
      </c>
      <c r="G568" s="7" t="s">
        <v>246</v>
      </c>
      <c r="H568" s="7" t="s">
        <v>247</v>
      </c>
      <c r="I568" s="8" t="n">
        <v>-1201.64</v>
      </c>
    </row>
    <row r="569" customFormat="false" ht="15" hidden="false" customHeight="false" outlineLevel="0" collapsed="false">
      <c r="A569" s="7" t="s">
        <v>137</v>
      </c>
      <c r="B569" s="20" t="n">
        <v>45777</v>
      </c>
      <c r="C569" s="16" t="n">
        <v>2025</v>
      </c>
      <c r="D569" s="7" t="s">
        <v>144</v>
      </c>
      <c r="E569" s="7" t="s">
        <v>248</v>
      </c>
      <c r="F569" s="7" t="s">
        <v>286</v>
      </c>
      <c r="G569" s="7" t="s">
        <v>303</v>
      </c>
      <c r="H569" s="7" t="s">
        <v>304</v>
      </c>
      <c r="I569" s="8" t="n">
        <v>6100.8</v>
      </c>
    </row>
    <row r="570" customFormat="false" ht="15" hidden="false" customHeight="false" outlineLevel="0" collapsed="false">
      <c r="A570" s="7" t="s">
        <v>137</v>
      </c>
      <c r="B570" s="20" t="n">
        <v>45777</v>
      </c>
      <c r="C570" s="16" t="n">
        <v>2025</v>
      </c>
      <c r="D570" s="7" t="s">
        <v>144</v>
      </c>
      <c r="E570" s="7" t="s">
        <v>219</v>
      </c>
      <c r="F570" s="7" t="s">
        <v>187</v>
      </c>
      <c r="G570" s="7" t="s">
        <v>220</v>
      </c>
      <c r="H570" s="7" t="s">
        <v>187</v>
      </c>
      <c r="I570" s="8" t="n">
        <v>-1079.42</v>
      </c>
    </row>
    <row r="571" customFormat="false" ht="15" hidden="false" customHeight="false" outlineLevel="0" collapsed="false">
      <c r="A571" s="7" t="s">
        <v>137</v>
      </c>
      <c r="B571" s="20" t="n">
        <v>45777</v>
      </c>
      <c r="C571" s="16" t="n">
        <v>2025</v>
      </c>
      <c r="D571" s="7" t="s">
        <v>146</v>
      </c>
      <c r="E571" s="7" t="s">
        <v>248</v>
      </c>
      <c r="F571" s="7" t="s">
        <v>286</v>
      </c>
      <c r="G571" s="7" t="s">
        <v>303</v>
      </c>
      <c r="H571" s="7" t="s">
        <v>304</v>
      </c>
      <c r="I571" s="8" t="n">
        <v>2455.2</v>
      </c>
    </row>
    <row r="572" customFormat="false" ht="15" hidden="false" customHeight="false" outlineLevel="0" collapsed="false">
      <c r="A572" s="7" t="s">
        <v>137</v>
      </c>
      <c r="B572" s="20" t="n">
        <v>45777</v>
      </c>
      <c r="C572" s="16" t="n">
        <v>2025</v>
      </c>
      <c r="D572" s="7" t="s">
        <v>146</v>
      </c>
      <c r="E572" s="7" t="s">
        <v>219</v>
      </c>
      <c r="F572" s="7" t="s">
        <v>187</v>
      </c>
      <c r="G572" s="7" t="s">
        <v>220</v>
      </c>
      <c r="H572" s="7" t="s">
        <v>187</v>
      </c>
      <c r="I572" s="8" t="n">
        <v>-614.9</v>
      </c>
    </row>
    <row r="573" customFormat="false" ht="15" hidden="false" customHeight="false" outlineLevel="0" collapsed="false">
      <c r="A573" s="7" t="s">
        <v>137</v>
      </c>
      <c r="B573" s="20" t="n">
        <v>45808</v>
      </c>
      <c r="C573" s="16" t="n">
        <v>2025</v>
      </c>
      <c r="D573" s="7" t="s">
        <v>141</v>
      </c>
      <c r="E573" s="7" t="s">
        <v>221</v>
      </c>
      <c r="F573" s="7" t="s">
        <v>263</v>
      </c>
      <c r="G573" s="7" t="s">
        <v>264</v>
      </c>
      <c r="H573" s="7" t="s">
        <v>263</v>
      </c>
      <c r="I573" s="8" t="n">
        <v>-3425.62</v>
      </c>
    </row>
    <row r="574" customFormat="false" ht="15" hidden="false" customHeight="false" outlineLevel="0" collapsed="false">
      <c r="A574" s="7" t="s">
        <v>137</v>
      </c>
      <c r="B574" s="20" t="n">
        <v>45808</v>
      </c>
      <c r="C574" s="16" t="n">
        <v>2025</v>
      </c>
      <c r="D574" s="7" t="s">
        <v>141</v>
      </c>
      <c r="E574" s="7" t="s">
        <v>219</v>
      </c>
      <c r="F574" s="7" t="s">
        <v>187</v>
      </c>
      <c r="G574" s="7" t="s">
        <v>220</v>
      </c>
      <c r="H574" s="7" t="s">
        <v>187</v>
      </c>
      <c r="I574" s="8" t="n">
        <v>-1693.02</v>
      </c>
    </row>
    <row r="575" customFormat="false" ht="15" hidden="false" customHeight="false" outlineLevel="0" collapsed="false">
      <c r="A575" s="7" t="s">
        <v>137</v>
      </c>
      <c r="B575" s="20" t="n">
        <v>45808</v>
      </c>
      <c r="C575" s="16" t="n">
        <v>2025</v>
      </c>
      <c r="D575" s="7" t="s">
        <v>141</v>
      </c>
      <c r="E575" s="7" t="s">
        <v>225</v>
      </c>
      <c r="F575" s="7" t="s">
        <v>226</v>
      </c>
      <c r="G575" s="7" t="s">
        <v>227</v>
      </c>
      <c r="H575" s="7" t="s">
        <v>228</v>
      </c>
      <c r="I575" s="8" t="n">
        <v>3425.62</v>
      </c>
    </row>
    <row r="576" customFormat="false" ht="15" hidden="false" customHeight="false" outlineLevel="0" collapsed="false">
      <c r="A576" s="7" t="s">
        <v>137</v>
      </c>
      <c r="B576" s="20" t="n">
        <v>45808</v>
      </c>
      <c r="C576" s="16" t="n">
        <v>2025</v>
      </c>
      <c r="D576" s="7" t="s">
        <v>136</v>
      </c>
      <c r="E576" s="7" t="s">
        <v>221</v>
      </c>
      <c r="F576" s="7" t="s">
        <v>265</v>
      </c>
      <c r="G576" s="7" t="s">
        <v>266</v>
      </c>
      <c r="H576" s="7" t="s">
        <v>265</v>
      </c>
      <c r="I576" s="8" t="n">
        <v>-8344.32</v>
      </c>
    </row>
    <row r="577" customFormat="false" ht="15" hidden="false" customHeight="false" outlineLevel="0" collapsed="false">
      <c r="A577" s="7" t="s">
        <v>137</v>
      </c>
      <c r="B577" s="20" t="n">
        <v>45808</v>
      </c>
      <c r="C577" s="16" t="n">
        <v>2025</v>
      </c>
      <c r="D577" s="7" t="s">
        <v>136</v>
      </c>
      <c r="E577" s="7" t="s">
        <v>221</v>
      </c>
      <c r="F577" s="7" t="s">
        <v>263</v>
      </c>
      <c r="G577" s="7" t="s">
        <v>264</v>
      </c>
      <c r="H577" s="7" t="s">
        <v>263</v>
      </c>
      <c r="I577" s="8" t="n">
        <v>-1831.68</v>
      </c>
    </row>
    <row r="578" customFormat="false" ht="15" hidden="false" customHeight="false" outlineLevel="0" collapsed="false">
      <c r="A578" s="7" t="s">
        <v>137</v>
      </c>
      <c r="B578" s="20" t="n">
        <v>45808</v>
      </c>
      <c r="C578" s="16" t="n">
        <v>2025</v>
      </c>
      <c r="D578" s="7" t="s">
        <v>136</v>
      </c>
      <c r="E578" s="7" t="s">
        <v>221</v>
      </c>
      <c r="F578" s="7" t="s">
        <v>222</v>
      </c>
      <c r="G578" s="7" t="s">
        <v>223</v>
      </c>
      <c r="H578" s="7" t="s">
        <v>224</v>
      </c>
      <c r="I578" s="8" t="n">
        <v>-2442.24</v>
      </c>
    </row>
    <row r="579" customFormat="false" ht="15" hidden="false" customHeight="false" outlineLevel="0" collapsed="false">
      <c r="A579" s="7" t="s">
        <v>137</v>
      </c>
      <c r="B579" s="20" t="n">
        <v>45808</v>
      </c>
      <c r="C579" s="16" t="n">
        <v>2025</v>
      </c>
      <c r="D579" s="7" t="s">
        <v>136</v>
      </c>
      <c r="E579" s="7" t="s">
        <v>225</v>
      </c>
      <c r="F579" s="7" t="s">
        <v>226</v>
      </c>
      <c r="G579" s="7" t="s">
        <v>227</v>
      </c>
      <c r="H579" s="7" t="s">
        <v>228</v>
      </c>
      <c r="I579" s="8" t="n">
        <v>12618.24</v>
      </c>
    </row>
    <row r="580" customFormat="false" ht="15" hidden="false" customHeight="false" outlineLevel="0" collapsed="false">
      <c r="A580" s="7" t="s">
        <v>137</v>
      </c>
      <c r="B580" s="20" t="n">
        <v>45808</v>
      </c>
      <c r="C580" s="16" t="n">
        <v>2025</v>
      </c>
      <c r="D580" s="7" t="s">
        <v>149</v>
      </c>
      <c r="E580" s="7" t="s">
        <v>221</v>
      </c>
      <c r="F580" s="7" t="s">
        <v>270</v>
      </c>
      <c r="G580" s="7" t="s">
        <v>271</v>
      </c>
      <c r="H580" s="7" t="s">
        <v>272</v>
      </c>
      <c r="I580" s="8" t="n">
        <v>-1554.63</v>
      </c>
    </row>
    <row r="581" customFormat="false" ht="15" hidden="false" customHeight="false" outlineLevel="0" collapsed="false">
      <c r="A581" s="7" t="s">
        <v>137</v>
      </c>
      <c r="B581" s="20" t="n">
        <v>45808</v>
      </c>
      <c r="C581" s="16" t="n">
        <v>2025</v>
      </c>
      <c r="D581" s="7" t="s">
        <v>149</v>
      </c>
      <c r="E581" s="7" t="s">
        <v>221</v>
      </c>
      <c r="F581" s="7" t="s">
        <v>270</v>
      </c>
      <c r="G581" s="7" t="s">
        <v>273</v>
      </c>
      <c r="H581" s="7" t="s">
        <v>274</v>
      </c>
      <c r="I581" s="8" t="n">
        <v>-228.01</v>
      </c>
    </row>
    <row r="582" customFormat="false" ht="15" hidden="false" customHeight="false" outlineLevel="0" collapsed="false">
      <c r="A582" s="7" t="s">
        <v>137</v>
      </c>
      <c r="B582" s="20" t="n">
        <v>45808</v>
      </c>
      <c r="C582" s="16" t="n">
        <v>2025</v>
      </c>
      <c r="D582" s="7" t="s">
        <v>149</v>
      </c>
      <c r="E582" s="7" t="s">
        <v>219</v>
      </c>
      <c r="F582" s="7" t="s">
        <v>187</v>
      </c>
      <c r="G582" s="7" t="s">
        <v>220</v>
      </c>
      <c r="H582" s="7" t="s">
        <v>187</v>
      </c>
      <c r="I582" s="8" t="n">
        <v>-2266.83</v>
      </c>
    </row>
    <row r="583" customFormat="false" ht="15" hidden="false" customHeight="false" outlineLevel="0" collapsed="false">
      <c r="A583" s="7" t="s">
        <v>137</v>
      </c>
      <c r="B583" s="20" t="n">
        <v>45808</v>
      </c>
      <c r="C583" s="16" t="n">
        <v>2025</v>
      </c>
      <c r="D583" s="7" t="s">
        <v>149</v>
      </c>
      <c r="E583" s="7" t="s">
        <v>236</v>
      </c>
      <c r="F583" s="7" t="s">
        <v>189</v>
      </c>
      <c r="G583" s="7" t="s">
        <v>237</v>
      </c>
      <c r="H583" s="7" t="s">
        <v>238</v>
      </c>
      <c r="I583" s="8" t="n">
        <v>-370.95</v>
      </c>
    </row>
    <row r="584" customFormat="false" ht="15" hidden="false" customHeight="false" outlineLevel="0" collapsed="false">
      <c r="A584" s="7" t="s">
        <v>137</v>
      </c>
      <c r="B584" s="20" t="n">
        <v>45808</v>
      </c>
      <c r="C584" s="16" t="n">
        <v>2025</v>
      </c>
      <c r="D584" s="7" t="s">
        <v>153</v>
      </c>
      <c r="E584" s="7" t="s">
        <v>221</v>
      </c>
      <c r="F584" s="7" t="s">
        <v>270</v>
      </c>
      <c r="G584" s="7" t="s">
        <v>271</v>
      </c>
      <c r="H584" s="7" t="s">
        <v>272</v>
      </c>
      <c r="I584" s="8" t="n">
        <v>-1036.42</v>
      </c>
    </row>
    <row r="585" customFormat="false" ht="15" hidden="false" customHeight="false" outlineLevel="0" collapsed="false">
      <c r="A585" s="7" t="s">
        <v>137</v>
      </c>
      <c r="B585" s="20" t="n">
        <v>45808</v>
      </c>
      <c r="C585" s="16" t="n">
        <v>2025</v>
      </c>
      <c r="D585" s="7" t="s">
        <v>153</v>
      </c>
      <c r="E585" s="7" t="s">
        <v>229</v>
      </c>
      <c r="F585" s="7" t="s">
        <v>239</v>
      </c>
      <c r="G585" s="7" t="s">
        <v>240</v>
      </c>
      <c r="H585" s="7" t="s">
        <v>239</v>
      </c>
      <c r="I585" s="8" t="n">
        <v>-253.74</v>
      </c>
    </row>
    <row r="586" customFormat="false" ht="15" hidden="false" customHeight="false" outlineLevel="0" collapsed="false">
      <c r="A586" s="7" t="s">
        <v>137</v>
      </c>
      <c r="B586" s="20" t="n">
        <v>45808</v>
      </c>
      <c r="C586" s="16" t="n">
        <v>2025</v>
      </c>
      <c r="D586" s="7" t="s">
        <v>153</v>
      </c>
      <c r="E586" s="7" t="s">
        <v>229</v>
      </c>
      <c r="F586" s="7" t="s">
        <v>241</v>
      </c>
      <c r="G586" s="7" t="s">
        <v>242</v>
      </c>
      <c r="H586" s="7" t="s">
        <v>243</v>
      </c>
      <c r="I586" s="8" t="n">
        <v>-373.52</v>
      </c>
    </row>
    <row r="587" customFormat="false" ht="15" hidden="false" customHeight="false" outlineLevel="0" collapsed="false">
      <c r="A587" s="7" t="s">
        <v>137</v>
      </c>
      <c r="B587" s="20" t="n">
        <v>45808</v>
      </c>
      <c r="C587" s="16" t="n">
        <v>2025</v>
      </c>
      <c r="D587" s="7" t="s">
        <v>153</v>
      </c>
      <c r="E587" s="7" t="s">
        <v>229</v>
      </c>
      <c r="F587" s="7" t="s">
        <v>233</v>
      </c>
      <c r="G587" s="7" t="s">
        <v>244</v>
      </c>
      <c r="H587" s="7" t="s">
        <v>245</v>
      </c>
      <c r="I587" s="8" t="n">
        <v>-165</v>
      </c>
    </row>
    <row r="588" customFormat="false" ht="15" hidden="false" customHeight="false" outlineLevel="0" collapsed="false">
      <c r="A588" s="7" t="s">
        <v>137</v>
      </c>
      <c r="B588" s="20" t="n">
        <v>45808</v>
      </c>
      <c r="C588" s="16" t="n">
        <v>2025</v>
      </c>
      <c r="D588" s="7" t="s">
        <v>153</v>
      </c>
      <c r="E588" s="7" t="s">
        <v>219</v>
      </c>
      <c r="F588" s="7" t="s">
        <v>187</v>
      </c>
      <c r="G588" s="7" t="s">
        <v>220</v>
      </c>
      <c r="H588" s="7" t="s">
        <v>187</v>
      </c>
      <c r="I588" s="8" t="n">
        <v>-760.07</v>
      </c>
    </row>
    <row r="589" customFormat="false" ht="15" hidden="false" customHeight="false" outlineLevel="0" collapsed="false">
      <c r="A589" s="7" t="s">
        <v>137</v>
      </c>
      <c r="B589" s="20" t="n">
        <v>45808</v>
      </c>
      <c r="C589" s="16" t="n">
        <v>2025</v>
      </c>
      <c r="D589" s="7" t="s">
        <v>153</v>
      </c>
      <c r="E589" s="7" t="s">
        <v>236</v>
      </c>
      <c r="F589" s="7" t="s">
        <v>189</v>
      </c>
      <c r="G589" s="7" t="s">
        <v>237</v>
      </c>
      <c r="H589" s="7" t="s">
        <v>238</v>
      </c>
      <c r="I589" s="8" t="n">
        <v>-37.53</v>
      </c>
    </row>
    <row r="590" customFormat="false" ht="15" hidden="false" customHeight="false" outlineLevel="0" collapsed="false">
      <c r="A590" s="7" t="s">
        <v>137</v>
      </c>
      <c r="B590" s="20" t="n">
        <v>45808</v>
      </c>
      <c r="C590" s="16" t="n">
        <v>2025</v>
      </c>
      <c r="D590" s="7" t="s">
        <v>153</v>
      </c>
      <c r="E590" s="7" t="s">
        <v>236</v>
      </c>
      <c r="F590" s="7" t="s">
        <v>189</v>
      </c>
      <c r="G590" s="7" t="s">
        <v>246</v>
      </c>
      <c r="H590" s="7" t="s">
        <v>247</v>
      </c>
      <c r="I590" s="8" t="n">
        <v>-1290.14</v>
      </c>
    </row>
    <row r="591" customFormat="false" ht="15" hidden="false" customHeight="false" outlineLevel="0" collapsed="false">
      <c r="A591" s="7" t="s">
        <v>137</v>
      </c>
      <c r="B591" s="20" t="n">
        <v>45808</v>
      </c>
      <c r="C591" s="16" t="n">
        <v>2025</v>
      </c>
      <c r="D591" s="7" t="s">
        <v>144</v>
      </c>
      <c r="E591" s="7" t="s">
        <v>221</v>
      </c>
      <c r="F591" s="7" t="s">
        <v>265</v>
      </c>
      <c r="G591" s="7" t="s">
        <v>266</v>
      </c>
      <c r="H591" s="7" t="s">
        <v>265</v>
      </c>
      <c r="I591" s="8" t="n">
        <v>-4872</v>
      </c>
    </row>
    <row r="592" customFormat="false" ht="15" hidden="false" customHeight="false" outlineLevel="0" collapsed="false">
      <c r="A592" s="7" t="s">
        <v>137</v>
      </c>
      <c r="B592" s="20" t="n">
        <v>45808</v>
      </c>
      <c r="C592" s="16" t="n">
        <v>2025</v>
      </c>
      <c r="D592" s="7" t="s">
        <v>144</v>
      </c>
      <c r="E592" s="7" t="s">
        <v>221</v>
      </c>
      <c r="F592" s="7" t="s">
        <v>263</v>
      </c>
      <c r="G592" s="7" t="s">
        <v>264</v>
      </c>
      <c r="H592" s="7" t="s">
        <v>263</v>
      </c>
      <c r="I592" s="8" t="n">
        <v>-2079</v>
      </c>
    </row>
    <row r="593" customFormat="false" ht="15" hidden="false" customHeight="false" outlineLevel="0" collapsed="false">
      <c r="A593" s="7" t="s">
        <v>137</v>
      </c>
      <c r="B593" s="20" t="n">
        <v>45808</v>
      </c>
      <c r="C593" s="16" t="n">
        <v>2025</v>
      </c>
      <c r="D593" s="7" t="s">
        <v>144</v>
      </c>
      <c r="E593" s="7" t="s">
        <v>221</v>
      </c>
      <c r="F593" s="7" t="s">
        <v>267</v>
      </c>
      <c r="G593" s="7" t="s">
        <v>268</v>
      </c>
      <c r="H593" s="7" t="s">
        <v>269</v>
      </c>
      <c r="I593" s="8" t="n">
        <v>-514.08</v>
      </c>
    </row>
    <row r="594" customFormat="false" ht="15" hidden="false" customHeight="false" outlineLevel="0" collapsed="false">
      <c r="A594" s="7" t="s">
        <v>137</v>
      </c>
      <c r="B594" s="20" t="n">
        <v>45808</v>
      </c>
      <c r="C594" s="16" t="n">
        <v>2025</v>
      </c>
      <c r="D594" s="7" t="s">
        <v>144</v>
      </c>
      <c r="E594" s="7" t="s">
        <v>219</v>
      </c>
      <c r="F594" s="7" t="s">
        <v>187</v>
      </c>
      <c r="G594" s="7" t="s">
        <v>220</v>
      </c>
      <c r="H594" s="7" t="s">
        <v>187</v>
      </c>
      <c r="I594" s="8" t="n">
        <v>-1079.41</v>
      </c>
    </row>
    <row r="595" customFormat="false" ht="15" hidden="false" customHeight="false" outlineLevel="0" collapsed="false">
      <c r="A595" s="7" t="s">
        <v>137</v>
      </c>
      <c r="B595" s="20" t="n">
        <v>45808</v>
      </c>
      <c r="C595" s="16" t="n">
        <v>2025</v>
      </c>
      <c r="D595" s="7" t="s">
        <v>144</v>
      </c>
      <c r="E595" s="7" t="s">
        <v>225</v>
      </c>
      <c r="F595" s="7" t="s">
        <v>226</v>
      </c>
      <c r="G595" s="7" t="s">
        <v>227</v>
      </c>
      <c r="H595" s="7" t="s">
        <v>228</v>
      </c>
      <c r="I595" s="8" t="n">
        <v>8425.08</v>
      </c>
    </row>
    <row r="596" customFormat="false" ht="15" hidden="false" customHeight="false" outlineLevel="0" collapsed="false">
      <c r="A596" s="7" t="s">
        <v>137</v>
      </c>
      <c r="B596" s="20" t="n">
        <v>45808</v>
      </c>
      <c r="C596" s="16" t="n">
        <v>2025</v>
      </c>
      <c r="D596" s="7" t="s">
        <v>146</v>
      </c>
      <c r="E596" s="7" t="s">
        <v>221</v>
      </c>
      <c r="F596" s="7" t="s">
        <v>263</v>
      </c>
      <c r="G596" s="7" t="s">
        <v>264</v>
      </c>
      <c r="H596" s="7" t="s">
        <v>263</v>
      </c>
      <c r="I596" s="8" t="n">
        <v>-1480</v>
      </c>
    </row>
    <row r="597" customFormat="false" ht="15" hidden="false" customHeight="false" outlineLevel="0" collapsed="false">
      <c r="A597" s="7" t="s">
        <v>137</v>
      </c>
      <c r="B597" s="20" t="n">
        <v>45808</v>
      </c>
      <c r="C597" s="16" t="n">
        <v>2025</v>
      </c>
      <c r="D597" s="7" t="s">
        <v>146</v>
      </c>
      <c r="E597" s="7" t="s">
        <v>219</v>
      </c>
      <c r="F597" s="7" t="s">
        <v>187</v>
      </c>
      <c r="G597" s="7" t="s">
        <v>220</v>
      </c>
      <c r="H597" s="7" t="s">
        <v>187</v>
      </c>
      <c r="I597" s="8" t="n">
        <v>-614.9</v>
      </c>
    </row>
    <row r="598" customFormat="false" ht="15" hidden="false" customHeight="false" outlineLevel="0" collapsed="false">
      <c r="A598" s="7" t="s">
        <v>137</v>
      </c>
      <c r="B598" s="20" t="n">
        <v>45808</v>
      </c>
      <c r="C598" s="16" t="n">
        <v>2025</v>
      </c>
      <c r="D598" s="7" t="s">
        <v>146</v>
      </c>
      <c r="E598" s="7" t="s">
        <v>225</v>
      </c>
      <c r="F598" s="7" t="s">
        <v>226</v>
      </c>
      <c r="G598" s="7" t="s">
        <v>227</v>
      </c>
      <c r="H598" s="7" t="s">
        <v>228</v>
      </c>
      <c r="I598" s="8" t="n">
        <v>1480</v>
      </c>
    </row>
    <row r="599" customFormat="false" ht="15" hidden="false" customHeight="false" outlineLevel="0" collapsed="false">
      <c r="A599" s="7" t="s">
        <v>137</v>
      </c>
      <c r="B599" s="20" t="n">
        <v>45838</v>
      </c>
      <c r="C599" s="16" t="n">
        <v>2025</v>
      </c>
      <c r="D599" s="7" t="s">
        <v>141</v>
      </c>
      <c r="E599" s="7" t="s">
        <v>221</v>
      </c>
      <c r="F599" s="7" t="s">
        <v>275</v>
      </c>
      <c r="G599" s="7" t="s">
        <v>276</v>
      </c>
      <c r="H599" s="7" t="s">
        <v>277</v>
      </c>
      <c r="I599" s="8" t="n">
        <v>-3525</v>
      </c>
    </row>
    <row r="600" customFormat="false" ht="15" hidden="false" customHeight="false" outlineLevel="0" collapsed="false">
      <c r="A600" s="7" t="s">
        <v>137</v>
      </c>
      <c r="B600" s="20" t="n">
        <v>45838</v>
      </c>
      <c r="C600" s="16" t="n">
        <v>2025</v>
      </c>
      <c r="D600" s="7" t="s">
        <v>141</v>
      </c>
      <c r="E600" s="7" t="s">
        <v>219</v>
      </c>
      <c r="F600" s="7" t="s">
        <v>187</v>
      </c>
      <c r="G600" s="7" t="s">
        <v>220</v>
      </c>
      <c r="H600" s="7" t="s">
        <v>187</v>
      </c>
      <c r="I600" s="8" t="n">
        <v>-1693.01</v>
      </c>
    </row>
    <row r="601" customFormat="false" ht="15" hidden="false" customHeight="false" outlineLevel="0" collapsed="false">
      <c r="A601" s="7" t="s">
        <v>137</v>
      </c>
      <c r="B601" s="20" t="n">
        <v>45838</v>
      </c>
      <c r="C601" s="16" t="n">
        <v>2025</v>
      </c>
      <c r="D601" s="7" t="s">
        <v>141</v>
      </c>
      <c r="E601" s="7" t="s">
        <v>225</v>
      </c>
      <c r="F601" s="7" t="s">
        <v>226</v>
      </c>
      <c r="G601" s="7" t="s">
        <v>227</v>
      </c>
      <c r="H601" s="7" t="s">
        <v>228</v>
      </c>
      <c r="I601" s="8" t="n">
        <v>3525</v>
      </c>
    </row>
    <row r="602" customFormat="false" ht="15" hidden="false" customHeight="false" outlineLevel="0" collapsed="false">
      <c r="A602" s="7" t="s">
        <v>137</v>
      </c>
      <c r="B602" s="20" t="n">
        <v>45838</v>
      </c>
      <c r="C602" s="16" t="n">
        <v>2025</v>
      </c>
      <c r="D602" s="7" t="s">
        <v>136</v>
      </c>
      <c r="E602" s="7" t="s">
        <v>221</v>
      </c>
      <c r="F602" s="7" t="s">
        <v>263</v>
      </c>
      <c r="G602" s="7" t="s">
        <v>264</v>
      </c>
      <c r="H602" s="7" t="s">
        <v>263</v>
      </c>
      <c r="I602" s="8" t="n">
        <v>-1424.64</v>
      </c>
    </row>
    <row r="603" customFormat="false" ht="15" hidden="false" customHeight="false" outlineLevel="0" collapsed="false">
      <c r="A603" s="7" t="s">
        <v>137</v>
      </c>
      <c r="B603" s="20" t="n">
        <v>45838</v>
      </c>
      <c r="C603" s="16" t="n">
        <v>2025</v>
      </c>
      <c r="D603" s="7" t="s">
        <v>136</v>
      </c>
      <c r="E603" s="7" t="s">
        <v>221</v>
      </c>
      <c r="F603" s="7" t="s">
        <v>222</v>
      </c>
      <c r="G603" s="7" t="s">
        <v>223</v>
      </c>
      <c r="H603" s="7" t="s">
        <v>224</v>
      </c>
      <c r="I603" s="8" t="n">
        <v>-915.84</v>
      </c>
    </row>
    <row r="604" customFormat="false" ht="15" hidden="false" customHeight="false" outlineLevel="0" collapsed="false">
      <c r="A604" s="7" t="s">
        <v>137</v>
      </c>
      <c r="B604" s="20" t="n">
        <v>45838</v>
      </c>
      <c r="C604" s="16" t="n">
        <v>2025</v>
      </c>
      <c r="D604" s="7" t="s">
        <v>136</v>
      </c>
      <c r="E604" s="7" t="s">
        <v>225</v>
      </c>
      <c r="F604" s="7" t="s">
        <v>226</v>
      </c>
      <c r="G604" s="7" t="s">
        <v>227</v>
      </c>
      <c r="H604" s="7" t="s">
        <v>228</v>
      </c>
      <c r="I604" s="8" t="n">
        <v>2340.48</v>
      </c>
    </row>
    <row r="605" customFormat="false" ht="15" hidden="false" customHeight="false" outlineLevel="0" collapsed="false">
      <c r="A605" s="7" t="s">
        <v>137</v>
      </c>
      <c r="B605" s="20" t="n">
        <v>45838</v>
      </c>
      <c r="C605" s="16" t="n">
        <v>2025</v>
      </c>
      <c r="D605" s="7" t="s">
        <v>149</v>
      </c>
      <c r="E605" s="7" t="s">
        <v>248</v>
      </c>
      <c r="F605" s="7" t="s">
        <v>278</v>
      </c>
      <c r="G605" s="7" t="s">
        <v>279</v>
      </c>
      <c r="H605" s="7" t="s">
        <v>280</v>
      </c>
      <c r="I605" s="8" t="n">
        <v>35490</v>
      </c>
    </row>
    <row r="606" customFormat="false" ht="15" hidden="false" customHeight="false" outlineLevel="0" collapsed="false">
      <c r="A606" s="7" t="s">
        <v>137</v>
      </c>
      <c r="B606" s="20" t="n">
        <v>45838</v>
      </c>
      <c r="C606" s="16" t="n">
        <v>2025</v>
      </c>
      <c r="D606" s="7" t="s">
        <v>149</v>
      </c>
      <c r="E606" s="7" t="s">
        <v>248</v>
      </c>
      <c r="F606" s="7" t="s">
        <v>278</v>
      </c>
      <c r="G606" s="7" t="s">
        <v>281</v>
      </c>
      <c r="H606" s="7" t="s">
        <v>282</v>
      </c>
      <c r="I606" s="8" t="n">
        <v>5577</v>
      </c>
    </row>
    <row r="607" customFormat="false" ht="15" hidden="false" customHeight="false" outlineLevel="0" collapsed="false">
      <c r="A607" s="7" t="s">
        <v>137</v>
      </c>
      <c r="B607" s="20" t="n">
        <v>45838</v>
      </c>
      <c r="C607" s="16" t="n">
        <v>2025</v>
      </c>
      <c r="D607" s="7" t="s">
        <v>149</v>
      </c>
      <c r="E607" s="7" t="s">
        <v>221</v>
      </c>
      <c r="F607" s="7" t="s">
        <v>270</v>
      </c>
      <c r="G607" s="7" t="s">
        <v>271</v>
      </c>
      <c r="H607" s="7" t="s">
        <v>272</v>
      </c>
      <c r="I607" s="8" t="n">
        <v>-2710.77</v>
      </c>
    </row>
    <row r="608" customFormat="false" ht="15" hidden="false" customHeight="false" outlineLevel="0" collapsed="false">
      <c r="A608" s="7" t="s">
        <v>137</v>
      </c>
      <c r="B608" s="20" t="n">
        <v>45838</v>
      </c>
      <c r="C608" s="16" t="n">
        <v>2025</v>
      </c>
      <c r="D608" s="7" t="s">
        <v>149</v>
      </c>
      <c r="E608" s="7" t="s">
        <v>221</v>
      </c>
      <c r="F608" s="7" t="s">
        <v>270</v>
      </c>
      <c r="G608" s="7" t="s">
        <v>273</v>
      </c>
      <c r="H608" s="7" t="s">
        <v>274</v>
      </c>
      <c r="I608" s="8" t="n">
        <v>-397.58</v>
      </c>
    </row>
    <row r="609" customFormat="false" ht="15" hidden="false" customHeight="false" outlineLevel="0" collapsed="false">
      <c r="A609" s="7" t="s">
        <v>137</v>
      </c>
      <c r="B609" s="20" t="n">
        <v>45838</v>
      </c>
      <c r="C609" s="16" t="n">
        <v>2025</v>
      </c>
      <c r="D609" s="7" t="s">
        <v>149</v>
      </c>
      <c r="E609" s="7" t="s">
        <v>221</v>
      </c>
      <c r="F609" s="7" t="s">
        <v>260</v>
      </c>
      <c r="G609" s="7" t="s">
        <v>261</v>
      </c>
      <c r="H609" s="7" t="s">
        <v>262</v>
      </c>
      <c r="I609" s="8" t="n">
        <v>-7417.44</v>
      </c>
    </row>
    <row r="610" customFormat="false" ht="15" hidden="false" customHeight="false" outlineLevel="0" collapsed="false">
      <c r="A610" s="7" t="s">
        <v>137</v>
      </c>
      <c r="B610" s="20" t="n">
        <v>45838</v>
      </c>
      <c r="C610" s="16" t="n">
        <v>2025</v>
      </c>
      <c r="D610" s="7" t="s">
        <v>149</v>
      </c>
      <c r="E610" s="7" t="s">
        <v>221</v>
      </c>
      <c r="F610" s="7" t="s">
        <v>283</v>
      </c>
      <c r="G610" s="7" t="s">
        <v>284</v>
      </c>
      <c r="H610" s="7" t="s">
        <v>285</v>
      </c>
      <c r="I610" s="8" t="n">
        <v>-2150</v>
      </c>
    </row>
    <row r="611" customFormat="false" ht="15" hidden="false" customHeight="false" outlineLevel="0" collapsed="false">
      <c r="A611" s="7" t="s">
        <v>137</v>
      </c>
      <c r="B611" s="20" t="n">
        <v>45838</v>
      </c>
      <c r="C611" s="16" t="n">
        <v>2025</v>
      </c>
      <c r="D611" s="7" t="s">
        <v>149</v>
      </c>
      <c r="E611" s="7" t="s">
        <v>219</v>
      </c>
      <c r="F611" s="7" t="s">
        <v>187</v>
      </c>
      <c r="G611" s="7" t="s">
        <v>220</v>
      </c>
      <c r="H611" s="7" t="s">
        <v>187</v>
      </c>
      <c r="I611" s="8" t="n">
        <v>-2266.82</v>
      </c>
    </row>
    <row r="612" customFormat="false" ht="15" hidden="false" customHeight="false" outlineLevel="0" collapsed="false">
      <c r="A612" s="7" t="s">
        <v>137</v>
      </c>
      <c r="B612" s="20" t="n">
        <v>45838</v>
      </c>
      <c r="C612" s="16" t="n">
        <v>2025</v>
      </c>
      <c r="D612" s="7" t="s">
        <v>149</v>
      </c>
      <c r="E612" s="7" t="s">
        <v>236</v>
      </c>
      <c r="F612" s="7" t="s">
        <v>189</v>
      </c>
      <c r="G612" s="7" t="s">
        <v>237</v>
      </c>
      <c r="H612" s="7" t="s">
        <v>238</v>
      </c>
      <c r="I612" s="8" t="n">
        <v>-362.72</v>
      </c>
    </row>
    <row r="613" customFormat="false" ht="15" hidden="false" customHeight="false" outlineLevel="0" collapsed="false">
      <c r="A613" s="7" t="s">
        <v>137</v>
      </c>
      <c r="B613" s="20" t="n">
        <v>45838</v>
      </c>
      <c r="C613" s="16" t="n">
        <v>2025</v>
      </c>
      <c r="D613" s="7" t="s">
        <v>153</v>
      </c>
      <c r="E613" s="7" t="s">
        <v>221</v>
      </c>
      <c r="F613" s="7" t="s">
        <v>270</v>
      </c>
      <c r="G613" s="7" t="s">
        <v>271</v>
      </c>
      <c r="H613" s="7" t="s">
        <v>272</v>
      </c>
      <c r="I613" s="8" t="n">
        <v>-1807.18</v>
      </c>
    </row>
    <row r="614" customFormat="false" ht="15" hidden="false" customHeight="false" outlineLevel="0" collapsed="false">
      <c r="A614" s="7" t="s">
        <v>137</v>
      </c>
      <c r="B614" s="20" t="n">
        <v>45838</v>
      </c>
      <c r="C614" s="16" t="n">
        <v>2025</v>
      </c>
      <c r="D614" s="7" t="s">
        <v>153</v>
      </c>
      <c r="E614" s="7" t="s">
        <v>229</v>
      </c>
      <c r="F614" s="7" t="s">
        <v>239</v>
      </c>
      <c r="G614" s="7" t="s">
        <v>240</v>
      </c>
      <c r="H614" s="7" t="s">
        <v>239</v>
      </c>
      <c r="I614" s="8" t="n">
        <v>-261.2</v>
      </c>
    </row>
    <row r="615" customFormat="false" ht="15" hidden="false" customHeight="false" outlineLevel="0" collapsed="false">
      <c r="A615" s="7" t="s">
        <v>137</v>
      </c>
      <c r="B615" s="20" t="n">
        <v>45838</v>
      </c>
      <c r="C615" s="16" t="n">
        <v>2025</v>
      </c>
      <c r="D615" s="7" t="s">
        <v>153</v>
      </c>
      <c r="E615" s="7" t="s">
        <v>229</v>
      </c>
      <c r="F615" s="7" t="s">
        <v>241</v>
      </c>
      <c r="G615" s="7" t="s">
        <v>242</v>
      </c>
      <c r="H615" s="7" t="s">
        <v>243</v>
      </c>
      <c r="I615" s="8" t="n">
        <v>-390.92</v>
      </c>
    </row>
    <row r="616" customFormat="false" ht="15" hidden="false" customHeight="false" outlineLevel="0" collapsed="false">
      <c r="A616" s="7" t="s">
        <v>137</v>
      </c>
      <c r="B616" s="20" t="n">
        <v>45838</v>
      </c>
      <c r="C616" s="16" t="n">
        <v>2025</v>
      </c>
      <c r="D616" s="7" t="s">
        <v>153</v>
      </c>
      <c r="E616" s="7" t="s">
        <v>229</v>
      </c>
      <c r="F616" s="7" t="s">
        <v>233</v>
      </c>
      <c r="G616" s="7" t="s">
        <v>244</v>
      </c>
      <c r="H616" s="7" t="s">
        <v>245</v>
      </c>
      <c r="I616" s="8" t="n">
        <v>-165</v>
      </c>
    </row>
    <row r="617" customFormat="false" ht="15" hidden="false" customHeight="false" outlineLevel="0" collapsed="false">
      <c r="A617" s="7" t="s">
        <v>137</v>
      </c>
      <c r="B617" s="20" t="n">
        <v>45838</v>
      </c>
      <c r="C617" s="16" t="n">
        <v>2025</v>
      </c>
      <c r="D617" s="7" t="s">
        <v>153</v>
      </c>
      <c r="E617" s="7" t="s">
        <v>219</v>
      </c>
      <c r="F617" s="7" t="s">
        <v>187</v>
      </c>
      <c r="G617" s="7" t="s">
        <v>220</v>
      </c>
      <c r="H617" s="7" t="s">
        <v>187</v>
      </c>
      <c r="I617" s="8" t="n">
        <v>-760.07</v>
      </c>
    </row>
    <row r="618" customFormat="false" ht="15" hidden="false" customHeight="false" outlineLevel="0" collapsed="false">
      <c r="A618" s="7" t="s">
        <v>137</v>
      </c>
      <c r="B618" s="20" t="n">
        <v>45838</v>
      </c>
      <c r="C618" s="16" t="n">
        <v>2025</v>
      </c>
      <c r="D618" s="7" t="s">
        <v>153</v>
      </c>
      <c r="E618" s="7" t="s">
        <v>236</v>
      </c>
      <c r="F618" s="7" t="s">
        <v>189</v>
      </c>
      <c r="G618" s="7" t="s">
        <v>237</v>
      </c>
      <c r="H618" s="7" t="s">
        <v>238</v>
      </c>
      <c r="I618" s="8" t="n">
        <v>-34.9</v>
      </c>
    </row>
    <row r="619" customFormat="false" ht="15" hidden="false" customHeight="false" outlineLevel="0" collapsed="false">
      <c r="A619" s="7" t="s">
        <v>137</v>
      </c>
      <c r="B619" s="20" t="n">
        <v>45838</v>
      </c>
      <c r="C619" s="16" t="n">
        <v>2025</v>
      </c>
      <c r="D619" s="7" t="s">
        <v>153</v>
      </c>
      <c r="E619" s="7" t="s">
        <v>236</v>
      </c>
      <c r="F619" s="7" t="s">
        <v>189</v>
      </c>
      <c r="G619" s="7" t="s">
        <v>246</v>
      </c>
      <c r="H619" s="7" t="s">
        <v>247</v>
      </c>
      <c r="I619" s="8" t="n">
        <v>-1441.04</v>
      </c>
    </row>
    <row r="620" customFormat="false" ht="15" hidden="false" customHeight="false" outlineLevel="0" collapsed="false">
      <c r="A620" s="7" t="s">
        <v>137</v>
      </c>
      <c r="B620" s="20" t="n">
        <v>45838</v>
      </c>
      <c r="C620" s="16" t="n">
        <v>2025</v>
      </c>
      <c r="D620" s="7" t="s">
        <v>144</v>
      </c>
      <c r="E620" s="7" t="s">
        <v>221</v>
      </c>
      <c r="F620" s="7" t="s">
        <v>263</v>
      </c>
      <c r="G620" s="7" t="s">
        <v>264</v>
      </c>
      <c r="H620" s="7" t="s">
        <v>263</v>
      </c>
      <c r="I620" s="8" t="n">
        <v>-1701</v>
      </c>
    </row>
    <row r="621" customFormat="false" ht="15" hidden="false" customHeight="false" outlineLevel="0" collapsed="false">
      <c r="A621" s="7" t="s">
        <v>137</v>
      </c>
      <c r="B621" s="20" t="n">
        <v>45838</v>
      </c>
      <c r="C621" s="16" t="n">
        <v>2025</v>
      </c>
      <c r="D621" s="7" t="s">
        <v>144</v>
      </c>
      <c r="E621" s="7" t="s">
        <v>219</v>
      </c>
      <c r="F621" s="7" t="s">
        <v>187</v>
      </c>
      <c r="G621" s="7" t="s">
        <v>220</v>
      </c>
      <c r="H621" s="7" t="s">
        <v>187</v>
      </c>
      <c r="I621" s="8" t="n">
        <v>-1079.42</v>
      </c>
    </row>
    <row r="622" customFormat="false" ht="15" hidden="false" customHeight="false" outlineLevel="0" collapsed="false">
      <c r="A622" s="7" t="s">
        <v>137</v>
      </c>
      <c r="B622" s="20" t="n">
        <v>45838</v>
      </c>
      <c r="C622" s="16" t="n">
        <v>2025</v>
      </c>
      <c r="D622" s="7" t="s">
        <v>144</v>
      </c>
      <c r="E622" s="7" t="s">
        <v>225</v>
      </c>
      <c r="F622" s="7" t="s">
        <v>226</v>
      </c>
      <c r="G622" s="7" t="s">
        <v>227</v>
      </c>
      <c r="H622" s="7" t="s">
        <v>228</v>
      </c>
      <c r="I622" s="8" t="n">
        <v>1701</v>
      </c>
    </row>
    <row r="623" customFormat="false" ht="15" hidden="false" customHeight="false" outlineLevel="0" collapsed="false">
      <c r="A623" s="7" t="s">
        <v>137</v>
      </c>
      <c r="B623" s="20" t="n">
        <v>45838</v>
      </c>
      <c r="C623" s="16" t="n">
        <v>2025</v>
      </c>
      <c r="D623" s="7" t="s">
        <v>146</v>
      </c>
      <c r="E623" s="7" t="s">
        <v>248</v>
      </c>
      <c r="F623" s="7" t="s">
        <v>249</v>
      </c>
      <c r="G623" s="7" t="s">
        <v>250</v>
      </c>
      <c r="H623" s="7" t="s">
        <v>251</v>
      </c>
      <c r="I623" s="8" t="n">
        <v>10218.4</v>
      </c>
    </row>
    <row r="624" customFormat="false" ht="15" hidden="false" customHeight="false" outlineLevel="0" collapsed="false">
      <c r="A624" s="7" t="s">
        <v>137</v>
      </c>
      <c r="B624" s="20" t="n">
        <v>45838</v>
      </c>
      <c r="C624" s="16" t="n">
        <v>2025</v>
      </c>
      <c r="D624" s="7" t="s">
        <v>146</v>
      </c>
      <c r="E624" s="7" t="s">
        <v>221</v>
      </c>
      <c r="F624" s="7" t="s">
        <v>267</v>
      </c>
      <c r="G624" s="7" t="s">
        <v>268</v>
      </c>
      <c r="H624" s="7" t="s">
        <v>269</v>
      </c>
      <c r="I624" s="8" t="n">
        <v>-568.48</v>
      </c>
    </row>
    <row r="625" customFormat="false" ht="15" hidden="false" customHeight="false" outlineLevel="0" collapsed="false">
      <c r="A625" s="7" t="s">
        <v>137</v>
      </c>
      <c r="B625" s="20" t="n">
        <v>45838</v>
      </c>
      <c r="C625" s="16" t="n">
        <v>2025</v>
      </c>
      <c r="D625" s="7" t="s">
        <v>146</v>
      </c>
      <c r="E625" s="7" t="s">
        <v>221</v>
      </c>
      <c r="F625" s="7" t="s">
        <v>260</v>
      </c>
      <c r="G625" s="7" t="s">
        <v>261</v>
      </c>
      <c r="H625" s="7" t="s">
        <v>262</v>
      </c>
      <c r="I625" s="8" t="n">
        <v>-1356.8</v>
      </c>
    </row>
    <row r="626" customFormat="false" ht="15" hidden="false" customHeight="false" outlineLevel="0" collapsed="false">
      <c r="A626" s="7" t="s">
        <v>137</v>
      </c>
      <c r="B626" s="20" t="n">
        <v>45838</v>
      </c>
      <c r="C626" s="16" t="n">
        <v>2025</v>
      </c>
      <c r="D626" s="7" t="s">
        <v>146</v>
      </c>
      <c r="E626" s="7" t="s">
        <v>219</v>
      </c>
      <c r="F626" s="7" t="s">
        <v>187</v>
      </c>
      <c r="G626" s="7" t="s">
        <v>220</v>
      </c>
      <c r="H626" s="7" t="s">
        <v>187</v>
      </c>
      <c r="I626" s="8" t="n">
        <v>-614.92</v>
      </c>
    </row>
    <row r="627" customFormat="false" ht="15" hidden="false" customHeight="false" outlineLevel="0" collapsed="false">
      <c r="A627" s="7" t="s">
        <v>137</v>
      </c>
      <c r="B627" s="20" t="n">
        <v>45838</v>
      </c>
      <c r="C627" s="16" t="n">
        <v>2025</v>
      </c>
      <c r="D627" s="7" t="s">
        <v>146</v>
      </c>
      <c r="E627" s="7" t="s">
        <v>225</v>
      </c>
      <c r="F627" s="7" t="s">
        <v>226</v>
      </c>
      <c r="G627" s="7" t="s">
        <v>227</v>
      </c>
      <c r="H627" s="7" t="s">
        <v>228</v>
      </c>
      <c r="I627" s="8" t="n">
        <v>-1793.2</v>
      </c>
    </row>
    <row r="628" customFormat="false" ht="15" hidden="false" customHeight="false" outlineLevel="0" collapsed="false">
      <c r="A628" s="7" t="s">
        <v>137</v>
      </c>
      <c r="B628" s="20" t="n">
        <v>45869</v>
      </c>
      <c r="C628" s="16" t="n">
        <v>2025</v>
      </c>
      <c r="D628" s="7" t="s">
        <v>141</v>
      </c>
      <c r="E628" s="7" t="s">
        <v>221</v>
      </c>
      <c r="F628" s="7" t="s">
        <v>263</v>
      </c>
      <c r="G628" s="7" t="s">
        <v>264</v>
      </c>
      <c r="H628" s="7" t="s">
        <v>263</v>
      </c>
      <c r="I628" s="8" t="n">
        <v>-3675</v>
      </c>
    </row>
    <row r="629" customFormat="false" ht="15" hidden="false" customHeight="false" outlineLevel="0" collapsed="false">
      <c r="A629" s="7" t="s">
        <v>137</v>
      </c>
      <c r="B629" s="20" t="n">
        <v>45869</v>
      </c>
      <c r="C629" s="16" t="n">
        <v>2025</v>
      </c>
      <c r="D629" s="7" t="s">
        <v>141</v>
      </c>
      <c r="E629" s="7" t="s">
        <v>221</v>
      </c>
      <c r="F629" s="7" t="s">
        <v>275</v>
      </c>
      <c r="G629" s="7" t="s">
        <v>276</v>
      </c>
      <c r="H629" s="7" t="s">
        <v>277</v>
      </c>
      <c r="I629" s="8" t="n">
        <v>-6345</v>
      </c>
    </row>
    <row r="630" customFormat="false" ht="15" hidden="false" customHeight="false" outlineLevel="0" collapsed="false">
      <c r="A630" s="7" t="s">
        <v>137</v>
      </c>
      <c r="B630" s="20" t="n">
        <v>45869</v>
      </c>
      <c r="C630" s="16" t="n">
        <v>2025</v>
      </c>
      <c r="D630" s="7" t="s">
        <v>141</v>
      </c>
      <c r="E630" s="7" t="s">
        <v>219</v>
      </c>
      <c r="F630" s="7" t="s">
        <v>187</v>
      </c>
      <c r="G630" s="7" t="s">
        <v>220</v>
      </c>
      <c r="H630" s="7" t="s">
        <v>187</v>
      </c>
      <c r="I630" s="8" t="n">
        <v>-1693.01</v>
      </c>
    </row>
    <row r="631" customFormat="false" ht="15" hidden="false" customHeight="false" outlineLevel="0" collapsed="false">
      <c r="A631" s="7" t="s">
        <v>137</v>
      </c>
      <c r="B631" s="20" t="n">
        <v>45869</v>
      </c>
      <c r="C631" s="16" t="n">
        <v>2025</v>
      </c>
      <c r="D631" s="7" t="s">
        <v>141</v>
      </c>
      <c r="E631" s="7" t="s">
        <v>225</v>
      </c>
      <c r="F631" s="7" t="s">
        <v>226</v>
      </c>
      <c r="G631" s="7" t="s">
        <v>227</v>
      </c>
      <c r="H631" s="7" t="s">
        <v>228</v>
      </c>
      <c r="I631" s="8" t="n">
        <v>10020</v>
      </c>
    </row>
    <row r="632" customFormat="false" ht="15" hidden="false" customHeight="false" outlineLevel="0" collapsed="false">
      <c r="A632" s="7" t="s">
        <v>137</v>
      </c>
      <c r="B632" s="20" t="n">
        <v>45869</v>
      </c>
      <c r="C632" s="16" t="n">
        <v>2025</v>
      </c>
      <c r="D632" s="7" t="s">
        <v>136</v>
      </c>
      <c r="E632" s="7" t="s">
        <v>221</v>
      </c>
      <c r="F632" s="7" t="s">
        <v>263</v>
      </c>
      <c r="G632" s="7" t="s">
        <v>264</v>
      </c>
      <c r="H632" s="7" t="s">
        <v>263</v>
      </c>
      <c r="I632" s="8" t="n">
        <v>-1424.64</v>
      </c>
    </row>
    <row r="633" customFormat="false" ht="15" hidden="false" customHeight="false" outlineLevel="0" collapsed="false">
      <c r="A633" s="7" t="s">
        <v>137</v>
      </c>
      <c r="B633" s="20" t="n">
        <v>45869</v>
      </c>
      <c r="C633" s="16" t="n">
        <v>2025</v>
      </c>
      <c r="D633" s="7" t="s">
        <v>136</v>
      </c>
      <c r="E633" s="7" t="s">
        <v>221</v>
      </c>
      <c r="F633" s="7" t="s">
        <v>222</v>
      </c>
      <c r="G633" s="7" t="s">
        <v>223</v>
      </c>
      <c r="H633" s="7" t="s">
        <v>224</v>
      </c>
      <c r="I633" s="8" t="n">
        <v>-915.84</v>
      </c>
    </row>
    <row r="634" customFormat="false" ht="15" hidden="false" customHeight="false" outlineLevel="0" collapsed="false">
      <c r="A634" s="7" t="s">
        <v>137</v>
      </c>
      <c r="B634" s="20" t="n">
        <v>45869</v>
      </c>
      <c r="C634" s="16" t="n">
        <v>2025</v>
      </c>
      <c r="D634" s="7" t="s">
        <v>136</v>
      </c>
      <c r="E634" s="7" t="s">
        <v>225</v>
      </c>
      <c r="F634" s="7" t="s">
        <v>226</v>
      </c>
      <c r="G634" s="7" t="s">
        <v>227</v>
      </c>
      <c r="H634" s="7" t="s">
        <v>228</v>
      </c>
      <c r="I634" s="8" t="n">
        <v>2340.48</v>
      </c>
    </row>
    <row r="635" customFormat="false" ht="15" hidden="false" customHeight="false" outlineLevel="0" collapsed="false">
      <c r="A635" s="7" t="s">
        <v>137</v>
      </c>
      <c r="B635" s="20" t="n">
        <v>45869</v>
      </c>
      <c r="C635" s="16" t="n">
        <v>2025</v>
      </c>
      <c r="D635" s="7" t="s">
        <v>149</v>
      </c>
      <c r="E635" s="7" t="s">
        <v>248</v>
      </c>
      <c r="F635" s="7" t="s">
        <v>278</v>
      </c>
      <c r="G635" s="7" t="s">
        <v>279</v>
      </c>
      <c r="H635" s="7" t="s">
        <v>280</v>
      </c>
      <c r="I635" s="8" t="n">
        <v>48720</v>
      </c>
    </row>
    <row r="636" customFormat="false" ht="15" hidden="false" customHeight="false" outlineLevel="0" collapsed="false">
      <c r="A636" s="7" t="s">
        <v>137</v>
      </c>
      <c r="B636" s="20" t="n">
        <v>45869</v>
      </c>
      <c r="C636" s="16" t="n">
        <v>2025</v>
      </c>
      <c r="D636" s="7" t="s">
        <v>149</v>
      </c>
      <c r="E636" s="7" t="s">
        <v>248</v>
      </c>
      <c r="F636" s="7" t="s">
        <v>278</v>
      </c>
      <c r="G636" s="7" t="s">
        <v>281</v>
      </c>
      <c r="H636" s="7" t="s">
        <v>282</v>
      </c>
      <c r="I636" s="8" t="n">
        <v>7656</v>
      </c>
    </row>
    <row r="637" customFormat="false" ht="15" hidden="false" customHeight="false" outlineLevel="0" collapsed="false">
      <c r="A637" s="7" t="s">
        <v>137</v>
      </c>
      <c r="B637" s="20" t="n">
        <v>45869</v>
      </c>
      <c r="C637" s="16" t="n">
        <v>2025</v>
      </c>
      <c r="D637" s="7" t="s">
        <v>149</v>
      </c>
      <c r="E637" s="7" t="s">
        <v>221</v>
      </c>
      <c r="F637" s="7" t="s">
        <v>270</v>
      </c>
      <c r="G637" s="7" t="s">
        <v>271</v>
      </c>
      <c r="H637" s="7" t="s">
        <v>272</v>
      </c>
      <c r="I637" s="8" t="n">
        <v>-2024.9</v>
      </c>
    </row>
    <row r="638" customFormat="false" ht="15" hidden="false" customHeight="false" outlineLevel="0" collapsed="false">
      <c r="A638" s="7" t="s">
        <v>137</v>
      </c>
      <c r="B638" s="20" t="n">
        <v>45869</v>
      </c>
      <c r="C638" s="16" t="n">
        <v>2025</v>
      </c>
      <c r="D638" s="7" t="s">
        <v>149</v>
      </c>
      <c r="E638" s="7" t="s">
        <v>221</v>
      </c>
      <c r="F638" s="7" t="s">
        <v>270</v>
      </c>
      <c r="G638" s="7" t="s">
        <v>273</v>
      </c>
      <c r="H638" s="7" t="s">
        <v>274</v>
      </c>
      <c r="I638" s="8" t="n">
        <v>-296.98</v>
      </c>
    </row>
    <row r="639" customFormat="false" ht="15" hidden="false" customHeight="false" outlineLevel="0" collapsed="false">
      <c r="A639" s="7" t="s">
        <v>137</v>
      </c>
      <c r="B639" s="20" t="n">
        <v>45869</v>
      </c>
      <c r="C639" s="16" t="n">
        <v>2025</v>
      </c>
      <c r="D639" s="7" t="s">
        <v>149</v>
      </c>
      <c r="E639" s="7" t="s">
        <v>221</v>
      </c>
      <c r="F639" s="7" t="s">
        <v>267</v>
      </c>
      <c r="G639" s="7" t="s">
        <v>268</v>
      </c>
      <c r="H639" s="7" t="s">
        <v>269</v>
      </c>
      <c r="I639" s="8" t="n">
        <v>-10363.05</v>
      </c>
    </row>
    <row r="640" customFormat="false" ht="15" hidden="false" customHeight="false" outlineLevel="0" collapsed="false">
      <c r="A640" s="7" t="s">
        <v>137</v>
      </c>
      <c r="B640" s="20" t="n">
        <v>45869</v>
      </c>
      <c r="C640" s="16" t="n">
        <v>2025</v>
      </c>
      <c r="D640" s="7" t="s">
        <v>149</v>
      </c>
      <c r="E640" s="7" t="s">
        <v>219</v>
      </c>
      <c r="F640" s="7" t="s">
        <v>187</v>
      </c>
      <c r="G640" s="7" t="s">
        <v>220</v>
      </c>
      <c r="H640" s="7" t="s">
        <v>187</v>
      </c>
      <c r="I640" s="8" t="n">
        <v>-2266.82</v>
      </c>
    </row>
    <row r="641" customFormat="false" ht="15" hidden="false" customHeight="false" outlineLevel="0" collapsed="false">
      <c r="A641" s="7" t="s">
        <v>137</v>
      </c>
      <c r="B641" s="20" t="n">
        <v>45869</v>
      </c>
      <c r="C641" s="16" t="n">
        <v>2025</v>
      </c>
      <c r="D641" s="7" t="s">
        <v>149</v>
      </c>
      <c r="E641" s="7" t="s">
        <v>236</v>
      </c>
      <c r="F641" s="7" t="s">
        <v>189</v>
      </c>
      <c r="G641" s="7" t="s">
        <v>237</v>
      </c>
      <c r="H641" s="7" t="s">
        <v>238</v>
      </c>
      <c r="I641" s="8" t="n">
        <v>-354.44</v>
      </c>
    </row>
    <row r="642" customFormat="false" ht="15" hidden="false" customHeight="false" outlineLevel="0" collapsed="false">
      <c r="A642" s="7" t="s">
        <v>137</v>
      </c>
      <c r="B642" s="20" t="n">
        <v>45869</v>
      </c>
      <c r="C642" s="16" t="n">
        <v>2025</v>
      </c>
      <c r="D642" s="7" t="s">
        <v>153</v>
      </c>
      <c r="E642" s="7" t="s">
        <v>221</v>
      </c>
      <c r="F642" s="7" t="s">
        <v>270</v>
      </c>
      <c r="G642" s="7" t="s">
        <v>271</v>
      </c>
      <c r="H642" s="7" t="s">
        <v>272</v>
      </c>
      <c r="I642" s="8" t="n">
        <v>-1349.93</v>
      </c>
    </row>
    <row r="643" customFormat="false" ht="15" hidden="false" customHeight="false" outlineLevel="0" collapsed="false">
      <c r="A643" s="7" t="s">
        <v>137</v>
      </c>
      <c r="B643" s="20" t="n">
        <v>45869</v>
      </c>
      <c r="C643" s="16" t="n">
        <v>2025</v>
      </c>
      <c r="D643" s="7" t="s">
        <v>153</v>
      </c>
      <c r="E643" s="7" t="s">
        <v>229</v>
      </c>
      <c r="F643" s="7" t="s">
        <v>239</v>
      </c>
      <c r="G643" s="7" t="s">
        <v>240</v>
      </c>
      <c r="H643" s="7" t="s">
        <v>239</v>
      </c>
      <c r="I643" s="8" t="n">
        <v>-292.99</v>
      </c>
    </row>
    <row r="644" customFormat="false" ht="15" hidden="false" customHeight="false" outlineLevel="0" collapsed="false">
      <c r="A644" s="7" t="s">
        <v>137</v>
      </c>
      <c r="B644" s="20" t="n">
        <v>45869</v>
      </c>
      <c r="C644" s="16" t="n">
        <v>2025</v>
      </c>
      <c r="D644" s="7" t="s">
        <v>153</v>
      </c>
      <c r="E644" s="7" t="s">
        <v>229</v>
      </c>
      <c r="F644" s="7" t="s">
        <v>241</v>
      </c>
      <c r="G644" s="7" t="s">
        <v>242</v>
      </c>
      <c r="H644" s="7" t="s">
        <v>243</v>
      </c>
      <c r="I644" s="8" t="n">
        <v>-357.06</v>
      </c>
    </row>
    <row r="645" customFormat="false" ht="15" hidden="false" customHeight="false" outlineLevel="0" collapsed="false">
      <c r="A645" s="7" t="s">
        <v>137</v>
      </c>
      <c r="B645" s="20" t="n">
        <v>45869</v>
      </c>
      <c r="C645" s="16" t="n">
        <v>2025</v>
      </c>
      <c r="D645" s="7" t="s">
        <v>153</v>
      </c>
      <c r="E645" s="7" t="s">
        <v>229</v>
      </c>
      <c r="F645" s="7" t="s">
        <v>233</v>
      </c>
      <c r="G645" s="7" t="s">
        <v>244</v>
      </c>
      <c r="H645" s="7" t="s">
        <v>245</v>
      </c>
      <c r="I645" s="8" t="n">
        <v>-165</v>
      </c>
    </row>
    <row r="646" customFormat="false" ht="15" hidden="false" customHeight="false" outlineLevel="0" collapsed="false">
      <c r="A646" s="7" t="s">
        <v>137</v>
      </c>
      <c r="B646" s="20" t="n">
        <v>45869</v>
      </c>
      <c r="C646" s="16" t="n">
        <v>2025</v>
      </c>
      <c r="D646" s="7" t="s">
        <v>153</v>
      </c>
      <c r="E646" s="7" t="s">
        <v>219</v>
      </c>
      <c r="F646" s="7" t="s">
        <v>187</v>
      </c>
      <c r="G646" s="7" t="s">
        <v>220</v>
      </c>
      <c r="H646" s="7" t="s">
        <v>187</v>
      </c>
      <c r="I646" s="8" t="n">
        <v>-760.07</v>
      </c>
    </row>
    <row r="647" customFormat="false" ht="15" hidden="false" customHeight="false" outlineLevel="0" collapsed="false">
      <c r="A647" s="7" t="s">
        <v>137</v>
      </c>
      <c r="B647" s="20" t="n">
        <v>45869</v>
      </c>
      <c r="C647" s="16" t="n">
        <v>2025</v>
      </c>
      <c r="D647" s="7" t="s">
        <v>153</v>
      </c>
      <c r="E647" s="7" t="s">
        <v>236</v>
      </c>
      <c r="F647" s="7" t="s">
        <v>189</v>
      </c>
      <c r="G647" s="7" t="s">
        <v>237</v>
      </c>
      <c r="H647" s="7" t="s">
        <v>238</v>
      </c>
      <c r="I647" s="8" t="n">
        <v>-32.27</v>
      </c>
    </row>
    <row r="648" customFormat="false" ht="15" hidden="false" customHeight="false" outlineLevel="0" collapsed="false">
      <c r="A648" s="7" t="s">
        <v>137</v>
      </c>
      <c r="B648" s="20" t="n">
        <v>45869</v>
      </c>
      <c r="C648" s="16" t="n">
        <v>2025</v>
      </c>
      <c r="D648" s="7" t="s">
        <v>153</v>
      </c>
      <c r="E648" s="7" t="s">
        <v>236</v>
      </c>
      <c r="F648" s="7" t="s">
        <v>189</v>
      </c>
      <c r="G648" s="7" t="s">
        <v>246</v>
      </c>
      <c r="H648" s="7" t="s">
        <v>247</v>
      </c>
      <c r="I648" s="8" t="n">
        <v>-1738.66</v>
      </c>
    </row>
    <row r="649" customFormat="false" ht="15" hidden="false" customHeight="false" outlineLevel="0" collapsed="false">
      <c r="A649" s="7" t="s">
        <v>137</v>
      </c>
      <c r="B649" s="20" t="n">
        <v>45869</v>
      </c>
      <c r="C649" s="16" t="n">
        <v>2025</v>
      </c>
      <c r="D649" s="7" t="s">
        <v>144</v>
      </c>
      <c r="E649" s="7" t="s">
        <v>219</v>
      </c>
      <c r="F649" s="7" t="s">
        <v>187</v>
      </c>
      <c r="G649" s="7" t="s">
        <v>220</v>
      </c>
      <c r="H649" s="7" t="s">
        <v>187</v>
      </c>
      <c r="I649" s="8" t="n">
        <v>-1079.42</v>
      </c>
    </row>
    <row r="650" customFormat="false" ht="15" hidden="false" customHeight="false" outlineLevel="0" collapsed="false">
      <c r="A650" s="7" t="s">
        <v>137</v>
      </c>
      <c r="B650" s="20" t="n">
        <v>45869</v>
      </c>
      <c r="C650" s="16" t="n">
        <v>2025</v>
      </c>
      <c r="D650" s="7" t="s">
        <v>146</v>
      </c>
      <c r="E650" s="7" t="s">
        <v>219</v>
      </c>
      <c r="F650" s="7" t="s">
        <v>187</v>
      </c>
      <c r="G650" s="7" t="s">
        <v>220</v>
      </c>
      <c r="H650" s="7" t="s">
        <v>187</v>
      </c>
      <c r="I650" s="8" t="n">
        <v>-614.9</v>
      </c>
    </row>
    <row r="651" customFormat="false" ht="15" hidden="false" customHeight="false" outlineLevel="0" collapsed="false">
      <c r="A651" s="7" t="s">
        <v>137</v>
      </c>
      <c r="B651" s="20" t="n">
        <v>45869</v>
      </c>
      <c r="C651" s="16" t="n">
        <v>2025</v>
      </c>
      <c r="D651" s="7" t="s">
        <v>146</v>
      </c>
      <c r="E651" s="7" t="s">
        <v>225</v>
      </c>
      <c r="F651" s="7" t="s">
        <v>226</v>
      </c>
      <c r="G651" s="7" t="s">
        <v>227</v>
      </c>
      <c r="H651" s="7" t="s">
        <v>228</v>
      </c>
      <c r="I651" s="8" t="n">
        <v>21.2</v>
      </c>
    </row>
    <row r="652" customFormat="false" ht="15" hidden="false" customHeight="false" outlineLevel="0" collapsed="false">
      <c r="A652" s="7" t="s">
        <v>137</v>
      </c>
      <c r="B652" s="20" t="n">
        <v>45900</v>
      </c>
      <c r="C652" s="16" t="n">
        <v>2025</v>
      </c>
      <c r="D652" s="7" t="s">
        <v>141</v>
      </c>
      <c r="E652" s="7" t="s">
        <v>221</v>
      </c>
      <c r="F652" s="7" t="s">
        <v>260</v>
      </c>
      <c r="G652" s="7" t="s">
        <v>261</v>
      </c>
      <c r="H652" s="7" t="s">
        <v>262</v>
      </c>
      <c r="I652" s="8" t="n">
        <v>-2210.4</v>
      </c>
    </row>
    <row r="653" customFormat="false" ht="15" hidden="false" customHeight="false" outlineLevel="0" collapsed="false">
      <c r="A653" s="7" t="s">
        <v>137</v>
      </c>
      <c r="B653" s="20" t="n">
        <v>45900</v>
      </c>
      <c r="C653" s="16" t="n">
        <v>2025</v>
      </c>
      <c r="D653" s="7" t="s">
        <v>141</v>
      </c>
      <c r="E653" s="7" t="s">
        <v>221</v>
      </c>
      <c r="F653" s="7" t="s">
        <v>275</v>
      </c>
      <c r="G653" s="7" t="s">
        <v>276</v>
      </c>
      <c r="H653" s="7" t="s">
        <v>277</v>
      </c>
      <c r="I653" s="8" t="n">
        <v>-4230</v>
      </c>
    </row>
    <row r="654" customFormat="false" ht="15" hidden="false" customHeight="false" outlineLevel="0" collapsed="false">
      <c r="A654" s="7" t="s">
        <v>137</v>
      </c>
      <c r="B654" s="20" t="n">
        <v>45900</v>
      </c>
      <c r="C654" s="16" t="n">
        <v>2025</v>
      </c>
      <c r="D654" s="7" t="s">
        <v>141</v>
      </c>
      <c r="E654" s="7" t="s">
        <v>219</v>
      </c>
      <c r="F654" s="7" t="s">
        <v>187</v>
      </c>
      <c r="G654" s="7" t="s">
        <v>220</v>
      </c>
      <c r="H654" s="7" t="s">
        <v>187</v>
      </c>
      <c r="I654" s="8" t="n">
        <v>-1693.03</v>
      </c>
    </row>
    <row r="655" customFormat="false" ht="15" hidden="false" customHeight="false" outlineLevel="0" collapsed="false">
      <c r="A655" s="7" t="s">
        <v>137</v>
      </c>
      <c r="B655" s="20" t="n">
        <v>45900</v>
      </c>
      <c r="C655" s="16" t="n">
        <v>2025</v>
      </c>
      <c r="D655" s="7" t="s">
        <v>141</v>
      </c>
      <c r="E655" s="7" t="s">
        <v>225</v>
      </c>
      <c r="F655" s="7" t="s">
        <v>226</v>
      </c>
      <c r="G655" s="7" t="s">
        <v>227</v>
      </c>
      <c r="H655" s="7" t="s">
        <v>228</v>
      </c>
      <c r="I655" s="8" t="n">
        <v>4230</v>
      </c>
    </row>
    <row r="656" customFormat="false" ht="15" hidden="false" customHeight="false" outlineLevel="0" collapsed="false">
      <c r="A656" s="7" t="s">
        <v>137</v>
      </c>
      <c r="B656" s="20" t="n">
        <v>45900</v>
      </c>
      <c r="C656" s="16" t="n">
        <v>2025</v>
      </c>
      <c r="D656" s="7" t="s">
        <v>136</v>
      </c>
      <c r="E656" s="7" t="s">
        <v>221</v>
      </c>
      <c r="F656" s="7" t="s">
        <v>257</v>
      </c>
      <c r="G656" s="7" t="s">
        <v>258</v>
      </c>
      <c r="H656" s="7" t="s">
        <v>259</v>
      </c>
      <c r="I656" s="8" t="n">
        <v>-1475.52</v>
      </c>
    </row>
    <row r="657" customFormat="false" ht="15" hidden="false" customHeight="false" outlineLevel="0" collapsed="false">
      <c r="A657" s="7" t="s">
        <v>137</v>
      </c>
      <c r="B657" s="20" t="n">
        <v>45900</v>
      </c>
      <c r="C657" s="16" t="n">
        <v>2025</v>
      </c>
      <c r="D657" s="7" t="s">
        <v>136</v>
      </c>
      <c r="E657" s="7" t="s">
        <v>225</v>
      </c>
      <c r="F657" s="7" t="s">
        <v>226</v>
      </c>
      <c r="G657" s="7" t="s">
        <v>227</v>
      </c>
      <c r="H657" s="7" t="s">
        <v>228</v>
      </c>
      <c r="I657" s="8" t="n">
        <v>1475.52</v>
      </c>
    </row>
    <row r="658" customFormat="false" ht="15" hidden="false" customHeight="false" outlineLevel="0" collapsed="false">
      <c r="A658" s="7" t="s">
        <v>137</v>
      </c>
      <c r="B658" s="20" t="n">
        <v>45900</v>
      </c>
      <c r="C658" s="16" t="n">
        <v>2025</v>
      </c>
      <c r="D658" s="7" t="s">
        <v>149</v>
      </c>
      <c r="E658" s="7" t="s">
        <v>221</v>
      </c>
      <c r="F658" s="7" t="s">
        <v>270</v>
      </c>
      <c r="G658" s="7" t="s">
        <v>271</v>
      </c>
      <c r="H658" s="7" t="s">
        <v>272</v>
      </c>
      <c r="I658" s="8" t="n">
        <v>-1595.85</v>
      </c>
    </row>
    <row r="659" customFormat="false" ht="15" hidden="false" customHeight="false" outlineLevel="0" collapsed="false">
      <c r="A659" s="7" t="s">
        <v>137</v>
      </c>
      <c r="B659" s="20" t="n">
        <v>45900</v>
      </c>
      <c r="C659" s="16" t="n">
        <v>2025</v>
      </c>
      <c r="D659" s="7" t="s">
        <v>149</v>
      </c>
      <c r="E659" s="7" t="s">
        <v>221</v>
      </c>
      <c r="F659" s="7" t="s">
        <v>270</v>
      </c>
      <c r="G659" s="7" t="s">
        <v>273</v>
      </c>
      <c r="H659" s="7" t="s">
        <v>274</v>
      </c>
      <c r="I659" s="8" t="n">
        <v>-234.05</v>
      </c>
    </row>
    <row r="660" customFormat="false" ht="15" hidden="false" customHeight="false" outlineLevel="0" collapsed="false">
      <c r="A660" s="7" t="s">
        <v>137</v>
      </c>
      <c r="B660" s="20" t="n">
        <v>45900</v>
      </c>
      <c r="C660" s="16" t="n">
        <v>2025</v>
      </c>
      <c r="D660" s="7" t="s">
        <v>149</v>
      </c>
      <c r="E660" s="7" t="s">
        <v>221</v>
      </c>
      <c r="F660" s="7" t="s">
        <v>260</v>
      </c>
      <c r="G660" s="7" t="s">
        <v>261</v>
      </c>
      <c r="H660" s="7" t="s">
        <v>262</v>
      </c>
      <c r="I660" s="8" t="n">
        <v>-16209.6</v>
      </c>
    </row>
    <row r="661" customFormat="false" ht="15" hidden="false" customHeight="false" outlineLevel="0" collapsed="false">
      <c r="A661" s="7" t="s">
        <v>137</v>
      </c>
      <c r="B661" s="20" t="n">
        <v>45900</v>
      </c>
      <c r="C661" s="16" t="n">
        <v>2025</v>
      </c>
      <c r="D661" s="7" t="s">
        <v>149</v>
      </c>
      <c r="E661" s="7" t="s">
        <v>219</v>
      </c>
      <c r="F661" s="7" t="s">
        <v>187</v>
      </c>
      <c r="G661" s="7" t="s">
        <v>220</v>
      </c>
      <c r="H661" s="7" t="s">
        <v>187</v>
      </c>
      <c r="I661" s="8" t="n">
        <v>-2266.83</v>
      </c>
    </row>
    <row r="662" customFormat="false" ht="15" hidden="false" customHeight="false" outlineLevel="0" collapsed="false">
      <c r="A662" s="7" t="s">
        <v>137</v>
      </c>
      <c r="B662" s="20" t="n">
        <v>45900</v>
      </c>
      <c r="C662" s="16" t="n">
        <v>2025</v>
      </c>
      <c r="D662" s="7" t="s">
        <v>149</v>
      </c>
      <c r="E662" s="7" t="s">
        <v>236</v>
      </c>
      <c r="F662" s="7" t="s">
        <v>189</v>
      </c>
      <c r="G662" s="7" t="s">
        <v>237</v>
      </c>
      <c r="H662" s="7" t="s">
        <v>238</v>
      </c>
      <c r="I662" s="8" t="n">
        <v>-346.12</v>
      </c>
    </row>
    <row r="663" customFormat="false" ht="15" hidden="false" customHeight="false" outlineLevel="0" collapsed="false">
      <c r="A663" s="7" t="s">
        <v>137</v>
      </c>
      <c r="B663" s="20" t="n">
        <v>45900</v>
      </c>
      <c r="C663" s="16" t="n">
        <v>2025</v>
      </c>
      <c r="D663" s="7" t="s">
        <v>153</v>
      </c>
      <c r="E663" s="7" t="s">
        <v>248</v>
      </c>
      <c r="F663" s="7" t="s">
        <v>286</v>
      </c>
      <c r="G663" s="7" t="s">
        <v>303</v>
      </c>
      <c r="H663" s="7" t="s">
        <v>304</v>
      </c>
      <c r="I663" s="8" t="n">
        <v>6215</v>
      </c>
    </row>
    <row r="664" customFormat="false" ht="15" hidden="false" customHeight="false" outlineLevel="0" collapsed="false">
      <c r="A664" s="7" t="s">
        <v>137</v>
      </c>
      <c r="B664" s="20" t="n">
        <v>45900</v>
      </c>
      <c r="C664" s="16" t="n">
        <v>2025</v>
      </c>
      <c r="D664" s="7" t="s">
        <v>153</v>
      </c>
      <c r="E664" s="7" t="s">
        <v>221</v>
      </c>
      <c r="F664" s="7" t="s">
        <v>270</v>
      </c>
      <c r="G664" s="7" t="s">
        <v>271</v>
      </c>
      <c r="H664" s="7" t="s">
        <v>272</v>
      </c>
      <c r="I664" s="8" t="n">
        <v>-1063.9</v>
      </c>
    </row>
    <row r="665" customFormat="false" ht="15" hidden="false" customHeight="false" outlineLevel="0" collapsed="false">
      <c r="A665" s="7" t="s">
        <v>137</v>
      </c>
      <c r="B665" s="20" t="n">
        <v>45900</v>
      </c>
      <c r="C665" s="16" t="n">
        <v>2025</v>
      </c>
      <c r="D665" s="7" t="s">
        <v>153</v>
      </c>
      <c r="E665" s="7" t="s">
        <v>229</v>
      </c>
      <c r="F665" s="7" t="s">
        <v>239</v>
      </c>
      <c r="G665" s="7" t="s">
        <v>240</v>
      </c>
      <c r="H665" s="7" t="s">
        <v>239</v>
      </c>
      <c r="I665" s="8" t="n">
        <v>-277.19</v>
      </c>
    </row>
    <row r="666" customFormat="false" ht="15" hidden="false" customHeight="false" outlineLevel="0" collapsed="false">
      <c r="A666" s="7" t="s">
        <v>137</v>
      </c>
      <c r="B666" s="20" t="n">
        <v>45900</v>
      </c>
      <c r="C666" s="16" t="n">
        <v>2025</v>
      </c>
      <c r="D666" s="7" t="s">
        <v>153</v>
      </c>
      <c r="E666" s="7" t="s">
        <v>229</v>
      </c>
      <c r="F666" s="7" t="s">
        <v>241</v>
      </c>
      <c r="G666" s="7" t="s">
        <v>242</v>
      </c>
      <c r="H666" s="7" t="s">
        <v>243</v>
      </c>
      <c r="I666" s="8" t="n">
        <v>-249.23</v>
      </c>
    </row>
    <row r="667" customFormat="false" ht="15" hidden="false" customHeight="false" outlineLevel="0" collapsed="false">
      <c r="A667" s="7" t="s">
        <v>137</v>
      </c>
      <c r="B667" s="20" t="n">
        <v>45900</v>
      </c>
      <c r="C667" s="16" t="n">
        <v>2025</v>
      </c>
      <c r="D667" s="7" t="s">
        <v>153</v>
      </c>
      <c r="E667" s="7" t="s">
        <v>229</v>
      </c>
      <c r="F667" s="7" t="s">
        <v>233</v>
      </c>
      <c r="G667" s="7" t="s">
        <v>244</v>
      </c>
      <c r="H667" s="7" t="s">
        <v>245</v>
      </c>
      <c r="I667" s="8" t="n">
        <v>-165</v>
      </c>
    </row>
    <row r="668" customFormat="false" ht="15" hidden="false" customHeight="false" outlineLevel="0" collapsed="false">
      <c r="A668" s="7" t="s">
        <v>137</v>
      </c>
      <c r="B668" s="20" t="n">
        <v>45900</v>
      </c>
      <c r="C668" s="16" t="n">
        <v>2025</v>
      </c>
      <c r="D668" s="7" t="s">
        <v>153</v>
      </c>
      <c r="E668" s="7" t="s">
        <v>219</v>
      </c>
      <c r="F668" s="7" t="s">
        <v>187</v>
      </c>
      <c r="G668" s="7" t="s">
        <v>220</v>
      </c>
      <c r="H668" s="7" t="s">
        <v>187</v>
      </c>
      <c r="I668" s="8" t="n">
        <v>-760.07</v>
      </c>
    </row>
    <row r="669" customFormat="false" ht="15" hidden="false" customHeight="false" outlineLevel="0" collapsed="false">
      <c r="A669" s="7" t="s">
        <v>137</v>
      </c>
      <c r="B669" s="20" t="n">
        <v>45900</v>
      </c>
      <c r="C669" s="16" t="n">
        <v>2025</v>
      </c>
      <c r="D669" s="7" t="s">
        <v>153</v>
      </c>
      <c r="E669" s="7" t="s">
        <v>236</v>
      </c>
      <c r="F669" s="7" t="s">
        <v>189</v>
      </c>
      <c r="G669" s="7" t="s">
        <v>237</v>
      </c>
      <c r="H669" s="7" t="s">
        <v>238</v>
      </c>
      <c r="I669" s="8" t="n">
        <v>-29.63</v>
      </c>
    </row>
    <row r="670" customFormat="false" ht="15" hidden="false" customHeight="false" outlineLevel="0" collapsed="false">
      <c r="A670" s="7" t="s">
        <v>137</v>
      </c>
      <c r="B670" s="20" t="n">
        <v>45900</v>
      </c>
      <c r="C670" s="16" t="n">
        <v>2025</v>
      </c>
      <c r="D670" s="7" t="s">
        <v>153</v>
      </c>
      <c r="E670" s="7" t="s">
        <v>236</v>
      </c>
      <c r="F670" s="7" t="s">
        <v>189</v>
      </c>
      <c r="G670" s="7" t="s">
        <v>246</v>
      </c>
      <c r="H670" s="7" t="s">
        <v>247</v>
      </c>
      <c r="I670" s="8" t="n">
        <v>-1801.07</v>
      </c>
    </row>
    <row r="671" customFormat="false" ht="15" hidden="false" customHeight="false" outlineLevel="0" collapsed="false">
      <c r="A671" s="7" t="s">
        <v>137</v>
      </c>
      <c r="B671" s="20" t="n">
        <v>45900</v>
      </c>
      <c r="C671" s="16" t="n">
        <v>2025</v>
      </c>
      <c r="D671" s="7" t="s">
        <v>144</v>
      </c>
      <c r="E671" s="7" t="s">
        <v>219</v>
      </c>
      <c r="F671" s="7" t="s">
        <v>187</v>
      </c>
      <c r="G671" s="7" t="s">
        <v>220</v>
      </c>
      <c r="H671" s="7" t="s">
        <v>187</v>
      </c>
      <c r="I671" s="8" t="n">
        <v>-1079.42</v>
      </c>
    </row>
    <row r="672" customFormat="false" ht="15" hidden="false" customHeight="false" outlineLevel="0" collapsed="false">
      <c r="A672" s="7" t="s">
        <v>137</v>
      </c>
      <c r="B672" s="20" t="n">
        <v>45900</v>
      </c>
      <c r="C672" s="16" t="n">
        <v>2025</v>
      </c>
      <c r="D672" s="7" t="s">
        <v>146</v>
      </c>
      <c r="E672" s="7" t="s">
        <v>219</v>
      </c>
      <c r="F672" s="7" t="s">
        <v>187</v>
      </c>
      <c r="G672" s="7" t="s">
        <v>220</v>
      </c>
      <c r="H672" s="7" t="s">
        <v>187</v>
      </c>
      <c r="I672" s="8" t="n">
        <v>-614.9</v>
      </c>
    </row>
    <row r="673" customFormat="false" ht="15" hidden="false" customHeight="false" outlineLevel="0" collapsed="false">
      <c r="A673" s="7" t="s">
        <v>137</v>
      </c>
      <c r="B673" s="20" t="n">
        <v>45900</v>
      </c>
      <c r="C673" s="16" t="n">
        <v>2025</v>
      </c>
      <c r="D673" s="7" t="s">
        <v>146</v>
      </c>
      <c r="E673" s="7" t="s">
        <v>225</v>
      </c>
      <c r="F673" s="7" t="s">
        <v>226</v>
      </c>
      <c r="G673" s="7" t="s">
        <v>227</v>
      </c>
      <c r="H673" s="7" t="s">
        <v>228</v>
      </c>
      <c r="I673" s="8" t="n">
        <v>21.2</v>
      </c>
    </row>
    <row r="674" customFormat="false" ht="15" hidden="false" customHeight="false" outlineLevel="0" collapsed="false">
      <c r="A674" s="7" t="s">
        <v>137</v>
      </c>
      <c r="B674" s="20" t="n">
        <v>45930</v>
      </c>
      <c r="C674" s="16" t="n">
        <v>2025</v>
      </c>
      <c r="D674" s="7" t="s">
        <v>141</v>
      </c>
      <c r="E674" s="7" t="s">
        <v>219</v>
      </c>
      <c r="F674" s="7" t="s">
        <v>187</v>
      </c>
      <c r="G674" s="7" t="s">
        <v>220</v>
      </c>
      <c r="H674" s="7" t="s">
        <v>187</v>
      </c>
      <c r="I674" s="8" t="n">
        <v>-1693.01</v>
      </c>
    </row>
    <row r="675" customFormat="false" ht="15" hidden="false" customHeight="false" outlineLevel="0" collapsed="false">
      <c r="A675" s="7" t="s">
        <v>137</v>
      </c>
      <c r="B675" s="20" t="n">
        <v>45930</v>
      </c>
      <c r="C675" s="16" t="n">
        <v>2025</v>
      </c>
      <c r="D675" s="7" t="s">
        <v>136</v>
      </c>
      <c r="E675" s="7" t="s">
        <v>221</v>
      </c>
      <c r="F675" s="7" t="s">
        <v>222</v>
      </c>
      <c r="G675" s="7" t="s">
        <v>223</v>
      </c>
      <c r="H675" s="7" t="s">
        <v>224</v>
      </c>
      <c r="I675" s="8" t="n">
        <v>-127.2</v>
      </c>
    </row>
    <row r="676" customFormat="false" ht="15" hidden="false" customHeight="false" outlineLevel="0" collapsed="false">
      <c r="A676" s="7" t="s">
        <v>137</v>
      </c>
      <c r="B676" s="20" t="n">
        <v>45930</v>
      </c>
      <c r="C676" s="16" t="n">
        <v>2025</v>
      </c>
      <c r="D676" s="7" t="s">
        <v>136</v>
      </c>
      <c r="E676" s="7" t="s">
        <v>225</v>
      </c>
      <c r="F676" s="7" t="s">
        <v>226</v>
      </c>
      <c r="G676" s="7" t="s">
        <v>227</v>
      </c>
      <c r="H676" s="7" t="s">
        <v>228</v>
      </c>
      <c r="I676" s="8" t="n">
        <v>127.2</v>
      </c>
    </row>
    <row r="677" customFormat="false" ht="15" hidden="false" customHeight="false" outlineLevel="0" collapsed="false">
      <c r="A677" s="7" t="s">
        <v>137</v>
      </c>
      <c r="B677" s="20" t="n">
        <v>45930</v>
      </c>
      <c r="C677" s="16" t="n">
        <v>2025</v>
      </c>
      <c r="D677" s="7" t="s">
        <v>149</v>
      </c>
      <c r="E677" s="7" t="s">
        <v>221</v>
      </c>
      <c r="F677" s="7" t="s">
        <v>270</v>
      </c>
      <c r="G677" s="7" t="s">
        <v>271</v>
      </c>
      <c r="H677" s="7" t="s">
        <v>272</v>
      </c>
      <c r="I677" s="8" t="n">
        <v>-2219.31</v>
      </c>
    </row>
    <row r="678" customFormat="false" ht="15" hidden="false" customHeight="false" outlineLevel="0" collapsed="false">
      <c r="A678" s="7" t="s">
        <v>137</v>
      </c>
      <c r="B678" s="20" t="n">
        <v>45930</v>
      </c>
      <c r="C678" s="16" t="n">
        <v>2025</v>
      </c>
      <c r="D678" s="7" t="s">
        <v>149</v>
      </c>
      <c r="E678" s="7" t="s">
        <v>221</v>
      </c>
      <c r="F678" s="7" t="s">
        <v>270</v>
      </c>
      <c r="G678" s="7" t="s">
        <v>273</v>
      </c>
      <c r="H678" s="7" t="s">
        <v>274</v>
      </c>
      <c r="I678" s="8" t="n">
        <v>-325.5</v>
      </c>
    </row>
    <row r="679" customFormat="false" ht="15" hidden="false" customHeight="false" outlineLevel="0" collapsed="false">
      <c r="A679" s="7" t="s">
        <v>137</v>
      </c>
      <c r="B679" s="20" t="n">
        <v>45930</v>
      </c>
      <c r="C679" s="16" t="n">
        <v>2025</v>
      </c>
      <c r="D679" s="7" t="s">
        <v>149</v>
      </c>
      <c r="E679" s="7" t="s">
        <v>221</v>
      </c>
      <c r="F679" s="7" t="s">
        <v>260</v>
      </c>
      <c r="G679" s="7" t="s">
        <v>261</v>
      </c>
      <c r="H679" s="7" t="s">
        <v>262</v>
      </c>
      <c r="I679" s="8" t="n">
        <v>-12657.6</v>
      </c>
    </row>
    <row r="680" customFormat="false" ht="15" hidden="false" customHeight="false" outlineLevel="0" collapsed="false">
      <c r="A680" s="7" t="s">
        <v>137</v>
      </c>
      <c r="B680" s="20" t="n">
        <v>45930</v>
      </c>
      <c r="C680" s="16" t="n">
        <v>2025</v>
      </c>
      <c r="D680" s="7" t="s">
        <v>149</v>
      </c>
      <c r="E680" s="7" t="s">
        <v>221</v>
      </c>
      <c r="F680" s="7" t="s">
        <v>283</v>
      </c>
      <c r="G680" s="7" t="s">
        <v>284</v>
      </c>
      <c r="H680" s="7" t="s">
        <v>285</v>
      </c>
      <c r="I680" s="8" t="n">
        <v>-4300</v>
      </c>
    </row>
    <row r="681" customFormat="false" ht="15" hidden="false" customHeight="false" outlineLevel="0" collapsed="false">
      <c r="A681" s="7" t="s">
        <v>137</v>
      </c>
      <c r="B681" s="20" t="n">
        <v>45930</v>
      </c>
      <c r="C681" s="16" t="n">
        <v>2025</v>
      </c>
      <c r="D681" s="7" t="s">
        <v>149</v>
      </c>
      <c r="E681" s="7" t="s">
        <v>219</v>
      </c>
      <c r="F681" s="7" t="s">
        <v>187</v>
      </c>
      <c r="G681" s="7" t="s">
        <v>220</v>
      </c>
      <c r="H681" s="7" t="s">
        <v>187</v>
      </c>
      <c r="I681" s="8" t="n">
        <v>-2266.82</v>
      </c>
    </row>
    <row r="682" customFormat="false" ht="15" hidden="false" customHeight="false" outlineLevel="0" collapsed="false">
      <c r="A682" s="7" t="s">
        <v>137</v>
      </c>
      <c r="B682" s="20" t="n">
        <v>45930</v>
      </c>
      <c r="C682" s="16" t="n">
        <v>2025</v>
      </c>
      <c r="D682" s="7" t="s">
        <v>149</v>
      </c>
      <c r="E682" s="7" t="s">
        <v>236</v>
      </c>
      <c r="F682" s="7" t="s">
        <v>189</v>
      </c>
      <c r="G682" s="7" t="s">
        <v>237</v>
      </c>
      <c r="H682" s="7" t="s">
        <v>238</v>
      </c>
      <c r="I682" s="8" t="n">
        <v>-337.74</v>
      </c>
    </row>
    <row r="683" customFormat="false" ht="15" hidden="false" customHeight="false" outlineLevel="0" collapsed="false">
      <c r="A683" s="7" t="s">
        <v>137</v>
      </c>
      <c r="B683" s="20" t="n">
        <v>45930</v>
      </c>
      <c r="C683" s="16" t="n">
        <v>2025</v>
      </c>
      <c r="D683" s="7" t="s">
        <v>153</v>
      </c>
      <c r="E683" s="7" t="s">
        <v>221</v>
      </c>
      <c r="F683" s="7" t="s">
        <v>270</v>
      </c>
      <c r="G683" s="7" t="s">
        <v>271</v>
      </c>
      <c r="H683" s="7" t="s">
        <v>272</v>
      </c>
      <c r="I683" s="8" t="n">
        <v>-1479.54</v>
      </c>
    </row>
    <row r="684" customFormat="false" ht="15" hidden="false" customHeight="false" outlineLevel="0" collapsed="false">
      <c r="A684" s="7" t="s">
        <v>137</v>
      </c>
      <c r="B684" s="20" t="n">
        <v>45930</v>
      </c>
      <c r="C684" s="16" t="n">
        <v>2025</v>
      </c>
      <c r="D684" s="7" t="s">
        <v>153</v>
      </c>
      <c r="E684" s="7" t="s">
        <v>229</v>
      </c>
      <c r="F684" s="7" t="s">
        <v>239</v>
      </c>
      <c r="G684" s="7" t="s">
        <v>240</v>
      </c>
      <c r="H684" s="7" t="s">
        <v>239</v>
      </c>
      <c r="I684" s="8" t="n">
        <v>-249.02</v>
      </c>
    </row>
    <row r="685" customFormat="false" ht="15" hidden="false" customHeight="false" outlineLevel="0" collapsed="false">
      <c r="A685" s="7" t="s">
        <v>137</v>
      </c>
      <c r="B685" s="20" t="n">
        <v>45930</v>
      </c>
      <c r="C685" s="16" t="n">
        <v>2025</v>
      </c>
      <c r="D685" s="7" t="s">
        <v>153</v>
      </c>
      <c r="E685" s="7" t="s">
        <v>229</v>
      </c>
      <c r="F685" s="7" t="s">
        <v>241</v>
      </c>
      <c r="G685" s="7" t="s">
        <v>242</v>
      </c>
      <c r="H685" s="7" t="s">
        <v>243</v>
      </c>
      <c r="I685" s="8" t="n">
        <v>-342.47</v>
      </c>
    </row>
    <row r="686" customFormat="false" ht="15" hidden="false" customHeight="false" outlineLevel="0" collapsed="false">
      <c r="A686" s="7" t="s">
        <v>137</v>
      </c>
      <c r="B686" s="20" t="n">
        <v>45930</v>
      </c>
      <c r="C686" s="16" t="n">
        <v>2025</v>
      </c>
      <c r="D686" s="7" t="s">
        <v>153</v>
      </c>
      <c r="E686" s="7" t="s">
        <v>229</v>
      </c>
      <c r="F686" s="7" t="s">
        <v>233</v>
      </c>
      <c r="G686" s="7" t="s">
        <v>244</v>
      </c>
      <c r="H686" s="7" t="s">
        <v>245</v>
      </c>
      <c r="I686" s="8" t="n">
        <v>-165</v>
      </c>
    </row>
    <row r="687" customFormat="false" ht="15" hidden="false" customHeight="false" outlineLevel="0" collapsed="false">
      <c r="A687" s="7" t="s">
        <v>137</v>
      </c>
      <c r="B687" s="20" t="n">
        <v>45930</v>
      </c>
      <c r="C687" s="16" t="n">
        <v>2025</v>
      </c>
      <c r="D687" s="7" t="s">
        <v>153</v>
      </c>
      <c r="E687" s="7" t="s">
        <v>219</v>
      </c>
      <c r="F687" s="7" t="s">
        <v>187</v>
      </c>
      <c r="G687" s="7" t="s">
        <v>220</v>
      </c>
      <c r="H687" s="7" t="s">
        <v>187</v>
      </c>
      <c r="I687" s="8" t="n">
        <v>-760.07</v>
      </c>
    </row>
    <row r="688" customFormat="false" ht="15" hidden="false" customHeight="false" outlineLevel="0" collapsed="false">
      <c r="A688" s="7" t="s">
        <v>137</v>
      </c>
      <c r="B688" s="20" t="n">
        <v>45930</v>
      </c>
      <c r="C688" s="16" t="n">
        <v>2025</v>
      </c>
      <c r="D688" s="7" t="s">
        <v>153</v>
      </c>
      <c r="E688" s="7" t="s">
        <v>236</v>
      </c>
      <c r="F688" s="7" t="s">
        <v>189</v>
      </c>
      <c r="G688" s="7" t="s">
        <v>237</v>
      </c>
      <c r="H688" s="7" t="s">
        <v>238</v>
      </c>
      <c r="I688" s="8" t="n">
        <v>-26.98</v>
      </c>
    </row>
    <row r="689" customFormat="false" ht="15" hidden="false" customHeight="false" outlineLevel="0" collapsed="false">
      <c r="A689" s="7" t="s">
        <v>137</v>
      </c>
      <c r="B689" s="20" t="n">
        <v>45930</v>
      </c>
      <c r="C689" s="16" t="n">
        <v>2025</v>
      </c>
      <c r="D689" s="7" t="s">
        <v>153</v>
      </c>
      <c r="E689" s="7" t="s">
        <v>236</v>
      </c>
      <c r="F689" s="7" t="s">
        <v>189</v>
      </c>
      <c r="G689" s="7" t="s">
        <v>246</v>
      </c>
      <c r="H689" s="7" t="s">
        <v>247</v>
      </c>
      <c r="I689" s="8" t="n">
        <v>-1498.56</v>
      </c>
    </row>
    <row r="690" customFormat="false" ht="15" hidden="false" customHeight="false" outlineLevel="0" collapsed="false">
      <c r="A690" s="7" t="s">
        <v>137</v>
      </c>
      <c r="B690" s="20" t="n">
        <v>45930</v>
      </c>
      <c r="C690" s="16" t="n">
        <v>2025</v>
      </c>
      <c r="D690" s="7" t="s">
        <v>144</v>
      </c>
      <c r="E690" s="7" t="s">
        <v>219</v>
      </c>
      <c r="F690" s="7" t="s">
        <v>187</v>
      </c>
      <c r="G690" s="7" t="s">
        <v>220</v>
      </c>
      <c r="H690" s="7" t="s">
        <v>187</v>
      </c>
      <c r="I690" s="8" t="n">
        <v>-1079.41</v>
      </c>
    </row>
    <row r="691" customFormat="false" ht="15" hidden="false" customHeight="false" outlineLevel="0" collapsed="false">
      <c r="A691" s="7" t="s">
        <v>137</v>
      </c>
      <c r="B691" s="20" t="n">
        <v>45930</v>
      </c>
      <c r="C691" s="16" t="n">
        <v>2025</v>
      </c>
      <c r="D691" s="7" t="s">
        <v>146</v>
      </c>
      <c r="E691" s="7" t="s">
        <v>219</v>
      </c>
      <c r="F691" s="7" t="s">
        <v>187</v>
      </c>
      <c r="G691" s="7" t="s">
        <v>220</v>
      </c>
      <c r="H691" s="7" t="s">
        <v>187</v>
      </c>
      <c r="I691" s="8" t="n">
        <v>-614.91</v>
      </c>
    </row>
    <row r="692" customFormat="false" ht="15" hidden="false" customHeight="false" outlineLevel="0" collapsed="false">
      <c r="A692" s="7" t="s">
        <v>137</v>
      </c>
      <c r="B692" s="20" t="n">
        <v>45930</v>
      </c>
      <c r="C692" s="16" t="n">
        <v>2025</v>
      </c>
      <c r="D692" s="7" t="s">
        <v>146</v>
      </c>
      <c r="E692" s="7" t="s">
        <v>225</v>
      </c>
      <c r="F692" s="7" t="s">
        <v>226</v>
      </c>
      <c r="G692" s="7" t="s">
        <v>227</v>
      </c>
      <c r="H692" s="7" t="s">
        <v>228</v>
      </c>
      <c r="I692" s="8" t="n">
        <v>42.4</v>
      </c>
    </row>
    <row r="693" customFormat="false" ht="15" hidden="false" customHeight="false" outlineLevel="0" collapsed="false">
      <c r="A693" s="7" t="s">
        <v>137</v>
      </c>
      <c r="B693" s="20" t="n">
        <v>45961</v>
      </c>
      <c r="C693" s="16" t="n">
        <v>2025</v>
      </c>
      <c r="D693" s="7" t="s">
        <v>141</v>
      </c>
      <c r="E693" s="7" t="s">
        <v>248</v>
      </c>
      <c r="F693" s="7" t="s">
        <v>249</v>
      </c>
      <c r="G693" s="7" t="s">
        <v>250</v>
      </c>
      <c r="H693" s="7" t="s">
        <v>251</v>
      </c>
      <c r="I693" s="8" t="n">
        <v>39211.28</v>
      </c>
    </row>
    <row r="694" customFormat="false" ht="15" hidden="false" customHeight="false" outlineLevel="0" collapsed="false">
      <c r="A694" s="7" t="s">
        <v>137</v>
      </c>
      <c r="B694" s="20" t="n">
        <v>45961</v>
      </c>
      <c r="C694" s="16" t="n">
        <v>2025</v>
      </c>
      <c r="D694" s="7" t="s">
        <v>141</v>
      </c>
      <c r="E694" s="7" t="s">
        <v>221</v>
      </c>
      <c r="F694" s="7" t="s">
        <v>267</v>
      </c>
      <c r="G694" s="7" t="s">
        <v>268</v>
      </c>
      <c r="H694" s="7" t="s">
        <v>269</v>
      </c>
      <c r="I694" s="8" t="n">
        <v>-1309</v>
      </c>
    </row>
    <row r="695" customFormat="false" ht="15" hidden="false" customHeight="false" outlineLevel="0" collapsed="false">
      <c r="A695" s="7" t="s">
        <v>137</v>
      </c>
      <c r="B695" s="20" t="n">
        <v>45961</v>
      </c>
      <c r="C695" s="16" t="n">
        <v>2025</v>
      </c>
      <c r="D695" s="7" t="s">
        <v>141</v>
      </c>
      <c r="E695" s="7" t="s">
        <v>221</v>
      </c>
      <c r="F695" s="7" t="s">
        <v>260</v>
      </c>
      <c r="G695" s="7" t="s">
        <v>261</v>
      </c>
      <c r="H695" s="7" t="s">
        <v>262</v>
      </c>
      <c r="I695" s="8" t="n">
        <v>-4479.38</v>
      </c>
    </row>
    <row r="696" customFormat="false" ht="15" hidden="false" customHeight="false" outlineLevel="0" collapsed="false">
      <c r="A696" s="7" t="s">
        <v>137</v>
      </c>
      <c r="B696" s="20" t="n">
        <v>45961</v>
      </c>
      <c r="C696" s="16" t="n">
        <v>2025</v>
      </c>
      <c r="D696" s="7" t="s">
        <v>141</v>
      </c>
      <c r="E696" s="7" t="s">
        <v>219</v>
      </c>
      <c r="F696" s="7" t="s">
        <v>187</v>
      </c>
      <c r="G696" s="7" t="s">
        <v>220</v>
      </c>
      <c r="H696" s="7" t="s">
        <v>187</v>
      </c>
      <c r="I696" s="8" t="n">
        <v>-1693.02</v>
      </c>
    </row>
    <row r="697" customFormat="false" ht="15" hidden="false" customHeight="false" outlineLevel="0" collapsed="false">
      <c r="A697" s="7" t="s">
        <v>137</v>
      </c>
      <c r="B697" s="20" t="n">
        <v>45961</v>
      </c>
      <c r="C697" s="16" t="n">
        <v>2025</v>
      </c>
      <c r="D697" s="7" t="s">
        <v>141</v>
      </c>
      <c r="E697" s="7" t="s">
        <v>225</v>
      </c>
      <c r="F697" s="7" t="s">
        <v>226</v>
      </c>
      <c r="G697" s="7" t="s">
        <v>227</v>
      </c>
      <c r="H697" s="7" t="s">
        <v>228</v>
      </c>
      <c r="I697" s="8" t="n">
        <v>9529.43</v>
      </c>
    </row>
    <row r="698" customFormat="false" ht="15" hidden="false" customHeight="false" outlineLevel="0" collapsed="false">
      <c r="A698" s="7" t="s">
        <v>137</v>
      </c>
      <c r="B698" s="20" t="n">
        <v>45961</v>
      </c>
      <c r="C698" s="16" t="n">
        <v>2025</v>
      </c>
      <c r="D698" s="7" t="s">
        <v>136</v>
      </c>
      <c r="E698" s="7" t="s">
        <v>248</v>
      </c>
      <c r="F698" s="7" t="s">
        <v>286</v>
      </c>
      <c r="G698" s="7" t="s">
        <v>303</v>
      </c>
      <c r="H698" s="7" t="s">
        <v>304</v>
      </c>
      <c r="I698" s="8" t="n">
        <v>2944</v>
      </c>
    </row>
    <row r="699" customFormat="false" ht="15" hidden="false" customHeight="false" outlineLevel="0" collapsed="false">
      <c r="A699" s="7" t="s">
        <v>137</v>
      </c>
      <c r="B699" s="20" t="n">
        <v>45961</v>
      </c>
      <c r="C699" s="16" t="n">
        <v>2025</v>
      </c>
      <c r="D699" s="7" t="s">
        <v>136</v>
      </c>
      <c r="E699" s="7" t="s">
        <v>221</v>
      </c>
      <c r="F699" s="7" t="s">
        <v>263</v>
      </c>
      <c r="G699" s="7" t="s">
        <v>264</v>
      </c>
      <c r="H699" s="7" t="s">
        <v>263</v>
      </c>
      <c r="I699" s="8" t="n">
        <v>-1831.68</v>
      </c>
    </row>
    <row r="700" customFormat="false" ht="15" hidden="false" customHeight="false" outlineLevel="0" collapsed="false">
      <c r="A700" s="7" t="s">
        <v>137</v>
      </c>
      <c r="B700" s="20" t="n">
        <v>45961</v>
      </c>
      <c r="C700" s="16" t="n">
        <v>2025</v>
      </c>
      <c r="D700" s="7" t="s">
        <v>136</v>
      </c>
      <c r="E700" s="7" t="s">
        <v>221</v>
      </c>
      <c r="F700" s="7" t="s">
        <v>222</v>
      </c>
      <c r="G700" s="7" t="s">
        <v>223</v>
      </c>
      <c r="H700" s="7" t="s">
        <v>224</v>
      </c>
      <c r="I700" s="8" t="n">
        <v>-915.84</v>
      </c>
    </row>
    <row r="701" customFormat="false" ht="15" hidden="false" customHeight="false" outlineLevel="0" collapsed="false">
      <c r="A701" s="7" t="s">
        <v>137</v>
      </c>
      <c r="B701" s="20" t="n">
        <v>45961</v>
      </c>
      <c r="C701" s="16" t="n">
        <v>2025</v>
      </c>
      <c r="D701" s="7" t="s">
        <v>136</v>
      </c>
      <c r="E701" s="7" t="s">
        <v>225</v>
      </c>
      <c r="F701" s="7" t="s">
        <v>226</v>
      </c>
      <c r="G701" s="7" t="s">
        <v>227</v>
      </c>
      <c r="H701" s="7" t="s">
        <v>228</v>
      </c>
      <c r="I701" s="8" t="n">
        <v>2747.52</v>
      </c>
    </row>
    <row r="702" customFormat="false" ht="15" hidden="false" customHeight="false" outlineLevel="0" collapsed="false">
      <c r="A702" s="7" t="s">
        <v>137</v>
      </c>
      <c r="B702" s="20" t="n">
        <v>45961</v>
      </c>
      <c r="C702" s="16" t="n">
        <v>2025</v>
      </c>
      <c r="D702" s="7" t="s">
        <v>149</v>
      </c>
      <c r="E702" s="7" t="s">
        <v>248</v>
      </c>
      <c r="F702" s="7" t="s">
        <v>278</v>
      </c>
      <c r="G702" s="7" t="s">
        <v>279</v>
      </c>
      <c r="H702" s="7" t="s">
        <v>280</v>
      </c>
      <c r="I702" s="8" t="n">
        <v>124843</v>
      </c>
    </row>
    <row r="703" customFormat="false" ht="15" hidden="false" customHeight="false" outlineLevel="0" collapsed="false">
      <c r="A703" s="7" t="s">
        <v>137</v>
      </c>
      <c r="B703" s="20" t="n">
        <v>45961</v>
      </c>
      <c r="C703" s="16" t="n">
        <v>2025</v>
      </c>
      <c r="D703" s="7" t="s">
        <v>149</v>
      </c>
      <c r="E703" s="7" t="s">
        <v>248</v>
      </c>
      <c r="F703" s="7" t="s">
        <v>278</v>
      </c>
      <c r="G703" s="7" t="s">
        <v>281</v>
      </c>
      <c r="H703" s="7" t="s">
        <v>282</v>
      </c>
      <c r="I703" s="8" t="n">
        <v>43401.6</v>
      </c>
    </row>
    <row r="704" customFormat="false" ht="15" hidden="false" customHeight="false" outlineLevel="0" collapsed="false">
      <c r="A704" s="7" t="s">
        <v>137</v>
      </c>
      <c r="B704" s="20" t="n">
        <v>45961</v>
      </c>
      <c r="C704" s="16" t="n">
        <v>2025</v>
      </c>
      <c r="D704" s="7" t="s">
        <v>149</v>
      </c>
      <c r="E704" s="7" t="s">
        <v>221</v>
      </c>
      <c r="F704" s="7" t="s">
        <v>270</v>
      </c>
      <c r="G704" s="7" t="s">
        <v>271</v>
      </c>
      <c r="H704" s="7" t="s">
        <v>272</v>
      </c>
      <c r="I704" s="8" t="n">
        <v>-4110.13</v>
      </c>
    </row>
    <row r="705" customFormat="false" ht="15" hidden="false" customHeight="false" outlineLevel="0" collapsed="false">
      <c r="A705" s="7" t="s">
        <v>137</v>
      </c>
      <c r="B705" s="20" t="n">
        <v>45961</v>
      </c>
      <c r="C705" s="16" t="n">
        <v>2025</v>
      </c>
      <c r="D705" s="7" t="s">
        <v>149</v>
      </c>
      <c r="E705" s="7" t="s">
        <v>221</v>
      </c>
      <c r="F705" s="7" t="s">
        <v>270</v>
      </c>
      <c r="G705" s="7" t="s">
        <v>273</v>
      </c>
      <c r="H705" s="7" t="s">
        <v>274</v>
      </c>
      <c r="I705" s="8" t="n">
        <v>-602.82</v>
      </c>
    </row>
    <row r="706" customFormat="false" ht="15" hidden="false" customHeight="false" outlineLevel="0" collapsed="false">
      <c r="A706" s="7" t="s">
        <v>137</v>
      </c>
      <c r="B706" s="20" t="n">
        <v>45961</v>
      </c>
      <c r="C706" s="16" t="n">
        <v>2025</v>
      </c>
      <c r="D706" s="7" t="s">
        <v>149</v>
      </c>
      <c r="E706" s="7" t="s">
        <v>221</v>
      </c>
      <c r="F706" s="7" t="s">
        <v>267</v>
      </c>
      <c r="G706" s="7" t="s">
        <v>268</v>
      </c>
      <c r="H706" s="7" t="s">
        <v>269</v>
      </c>
      <c r="I706" s="8" t="n">
        <v>-7525.98</v>
      </c>
    </row>
    <row r="707" customFormat="false" ht="15" hidden="false" customHeight="false" outlineLevel="0" collapsed="false">
      <c r="A707" s="7" t="s">
        <v>137</v>
      </c>
      <c r="B707" s="20" t="n">
        <v>45961</v>
      </c>
      <c r="C707" s="16" t="n">
        <v>2025</v>
      </c>
      <c r="D707" s="7" t="s">
        <v>149</v>
      </c>
      <c r="E707" s="7" t="s">
        <v>221</v>
      </c>
      <c r="F707" s="7" t="s">
        <v>260</v>
      </c>
      <c r="G707" s="7" t="s">
        <v>261</v>
      </c>
      <c r="H707" s="7" t="s">
        <v>262</v>
      </c>
      <c r="I707" s="8" t="n">
        <v>-1099.1</v>
      </c>
    </row>
    <row r="708" customFormat="false" ht="15" hidden="false" customHeight="false" outlineLevel="0" collapsed="false">
      <c r="A708" s="7" t="s">
        <v>137</v>
      </c>
      <c r="B708" s="20" t="n">
        <v>45961</v>
      </c>
      <c r="C708" s="16" t="n">
        <v>2025</v>
      </c>
      <c r="D708" s="7" t="s">
        <v>149</v>
      </c>
      <c r="E708" s="7" t="s">
        <v>219</v>
      </c>
      <c r="F708" s="7" t="s">
        <v>187</v>
      </c>
      <c r="G708" s="7" t="s">
        <v>220</v>
      </c>
      <c r="H708" s="7" t="s">
        <v>187</v>
      </c>
      <c r="I708" s="8" t="n">
        <v>-2266.83</v>
      </c>
    </row>
    <row r="709" customFormat="false" ht="15" hidden="false" customHeight="false" outlineLevel="0" collapsed="false">
      <c r="A709" s="7" t="s">
        <v>137</v>
      </c>
      <c r="B709" s="20" t="n">
        <v>45961</v>
      </c>
      <c r="C709" s="16" t="n">
        <v>2025</v>
      </c>
      <c r="D709" s="7" t="s">
        <v>149</v>
      </c>
      <c r="E709" s="7" t="s">
        <v>236</v>
      </c>
      <c r="F709" s="7" t="s">
        <v>189</v>
      </c>
      <c r="G709" s="7" t="s">
        <v>237</v>
      </c>
      <c r="H709" s="7" t="s">
        <v>238</v>
      </c>
      <c r="I709" s="8" t="n">
        <v>-329.32</v>
      </c>
    </row>
    <row r="710" customFormat="false" ht="15" hidden="false" customHeight="false" outlineLevel="0" collapsed="false">
      <c r="A710" s="7" t="s">
        <v>137</v>
      </c>
      <c r="B710" s="20" t="n">
        <v>45961</v>
      </c>
      <c r="C710" s="16" t="n">
        <v>2025</v>
      </c>
      <c r="D710" s="7" t="s">
        <v>153</v>
      </c>
      <c r="E710" s="7" t="s">
        <v>221</v>
      </c>
      <c r="F710" s="7" t="s">
        <v>270</v>
      </c>
      <c r="G710" s="7" t="s">
        <v>271</v>
      </c>
      <c r="H710" s="7" t="s">
        <v>272</v>
      </c>
      <c r="I710" s="8" t="n">
        <v>-2740.09</v>
      </c>
    </row>
    <row r="711" customFormat="false" ht="15" hidden="false" customHeight="false" outlineLevel="0" collapsed="false">
      <c r="A711" s="7" t="s">
        <v>137</v>
      </c>
      <c r="B711" s="20" t="n">
        <v>45961</v>
      </c>
      <c r="C711" s="16" t="n">
        <v>2025</v>
      </c>
      <c r="D711" s="7" t="s">
        <v>153</v>
      </c>
      <c r="E711" s="7" t="s">
        <v>229</v>
      </c>
      <c r="F711" s="7" t="s">
        <v>239</v>
      </c>
      <c r="G711" s="7" t="s">
        <v>240</v>
      </c>
      <c r="H711" s="7" t="s">
        <v>239</v>
      </c>
      <c r="I711" s="8" t="n">
        <v>-301</v>
      </c>
    </row>
    <row r="712" customFormat="false" ht="15" hidden="false" customHeight="false" outlineLevel="0" collapsed="false">
      <c r="A712" s="7" t="s">
        <v>137</v>
      </c>
      <c r="B712" s="20" t="n">
        <v>45961</v>
      </c>
      <c r="C712" s="16" t="n">
        <v>2025</v>
      </c>
      <c r="D712" s="7" t="s">
        <v>153</v>
      </c>
      <c r="E712" s="7" t="s">
        <v>229</v>
      </c>
      <c r="F712" s="7" t="s">
        <v>241</v>
      </c>
      <c r="G712" s="7" t="s">
        <v>242</v>
      </c>
      <c r="H712" s="7" t="s">
        <v>243</v>
      </c>
      <c r="I712" s="8" t="n">
        <v>-332.5</v>
      </c>
    </row>
    <row r="713" customFormat="false" ht="15" hidden="false" customHeight="false" outlineLevel="0" collapsed="false">
      <c r="A713" s="7" t="s">
        <v>137</v>
      </c>
      <c r="B713" s="20" t="n">
        <v>45961</v>
      </c>
      <c r="C713" s="16" t="n">
        <v>2025</v>
      </c>
      <c r="D713" s="7" t="s">
        <v>153</v>
      </c>
      <c r="E713" s="7" t="s">
        <v>229</v>
      </c>
      <c r="F713" s="7" t="s">
        <v>233</v>
      </c>
      <c r="G713" s="7" t="s">
        <v>244</v>
      </c>
      <c r="H713" s="7" t="s">
        <v>245</v>
      </c>
      <c r="I713" s="8" t="n">
        <v>-165</v>
      </c>
    </row>
    <row r="714" customFormat="false" ht="15" hidden="false" customHeight="false" outlineLevel="0" collapsed="false">
      <c r="A714" s="7" t="s">
        <v>137</v>
      </c>
      <c r="B714" s="20" t="n">
        <v>45961</v>
      </c>
      <c r="C714" s="16" t="n">
        <v>2025</v>
      </c>
      <c r="D714" s="7" t="s">
        <v>153</v>
      </c>
      <c r="E714" s="7" t="s">
        <v>219</v>
      </c>
      <c r="F714" s="7" t="s">
        <v>187</v>
      </c>
      <c r="G714" s="7" t="s">
        <v>220</v>
      </c>
      <c r="H714" s="7" t="s">
        <v>187</v>
      </c>
      <c r="I714" s="8" t="n">
        <v>-760.07</v>
      </c>
    </row>
    <row r="715" customFormat="false" ht="15" hidden="false" customHeight="false" outlineLevel="0" collapsed="false">
      <c r="A715" s="7" t="s">
        <v>137</v>
      </c>
      <c r="B715" s="20" t="n">
        <v>45961</v>
      </c>
      <c r="C715" s="16" t="n">
        <v>2025</v>
      </c>
      <c r="D715" s="7" t="s">
        <v>153</v>
      </c>
      <c r="E715" s="7" t="s">
        <v>236</v>
      </c>
      <c r="F715" s="7" t="s">
        <v>189</v>
      </c>
      <c r="G715" s="7" t="s">
        <v>237</v>
      </c>
      <c r="H715" s="7" t="s">
        <v>238</v>
      </c>
      <c r="I715" s="8" t="n">
        <v>-24.32</v>
      </c>
    </row>
    <row r="716" customFormat="false" ht="15" hidden="false" customHeight="false" outlineLevel="0" collapsed="false">
      <c r="A716" s="7" t="s">
        <v>137</v>
      </c>
      <c r="B716" s="20" t="n">
        <v>45961</v>
      </c>
      <c r="C716" s="16" t="n">
        <v>2025</v>
      </c>
      <c r="D716" s="7" t="s">
        <v>153</v>
      </c>
      <c r="E716" s="7" t="s">
        <v>236</v>
      </c>
      <c r="F716" s="7" t="s">
        <v>189</v>
      </c>
      <c r="G716" s="7" t="s">
        <v>246</v>
      </c>
      <c r="H716" s="7" t="s">
        <v>247</v>
      </c>
      <c r="I716" s="8" t="n">
        <v>-1501.59</v>
      </c>
    </row>
    <row r="717" customFormat="false" ht="15" hidden="false" customHeight="false" outlineLevel="0" collapsed="false">
      <c r="A717" s="7" t="s">
        <v>137</v>
      </c>
      <c r="B717" s="20" t="n">
        <v>45961</v>
      </c>
      <c r="C717" s="16" t="n">
        <v>2025</v>
      </c>
      <c r="D717" s="7" t="s">
        <v>144</v>
      </c>
      <c r="E717" s="7" t="s">
        <v>248</v>
      </c>
      <c r="F717" s="7" t="s">
        <v>249</v>
      </c>
      <c r="G717" s="7" t="s">
        <v>250</v>
      </c>
      <c r="H717" s="7" t="s">
        <v>251</v>
      </c>
      <c r="I717" s="8" t="n">
        <v>16816.8</v>
      </c>
    </row>
    <row r="718" customFormat="false" ht="15" hidden="false" customHeight="false" outlineLevel="0" collapsed="false">
      <c r="A718" s="7" t="s">
        <v>137</v>
      </c>
      <c r="B718" s="20" t="n">
        <v>45961</v>
      </c>
      <c r="C718" s="16" t="n">
        <v>2025</v>
      </c>
      <c r="D718" s="7" t="s">
        <v>144</v>
      </c>
      <c r="E718" s="7" t="s">
        <v>221</v>
      </c>
      <c r="F718" s="7" t="s">
        <v>267</v>
      </c>
      <c r="G718" s="7" t="s">
        <v>268</v>
      </c>
      <c r="H718" s="7" t="s">
        <v>269</v>
      </c>
      <c r="I718" s="8" t="n">
        <v>-628.32</v>
      </c>
    </row>
    <row r="719" customFormat="false" ht="15" hidden="false" customHeight="false" outlineLevel="0" collapsed="false">
      <c r="A719" s="7" t="s">
        <v>137</v>
      </c>
      <c r="B719" s="20" t="n">
        <v>45961</v>
      </c>
      <c r="C719" s="16" t="n">
        <v>2025</v>
      </c>
      <c r="D719" s="7" t="s">
        <v>144</v>
      </c>
      <c r="E719" s="7" t="s">
        <v>221</v>
      </c>
      <c r="F719" s="7" t="s">
        <v>260</v>
      </c>
      <c r="G719" s="7" t="s">
        <v>261</v>
      </c>
      <c r="H719" s="7" t="s">
        <v>262</v>
      </c>
      <c r="I719" s="8" t="n">
        <v>-1526.4</v>
      </c>
    </row>
    <row r="720" customFormat="false" ht="15" hidden="false" customHeight="false" outlineLevel="0" collapsed="false">
      <c r="A720" s="7" t="s">
        <v>137</v>
      </c>
      <c r="B720" s="20" t="n">
        <v>45961</v>
      </c>
      <c r="C720" s="16" t="n">
        <v>2025</v>
      </c>
      <c r="D720" s="7" t="s">
        <v>144</v>
      </c>
      <c r="E720" s="7" t="s">
        <v>219</v>
      </c>
      <c r="F720" s="7" t="s">
        <v>187</v>
      </c>
      <c r="G720" s="7" t="s">
        <v>220</v>
      </c>
      <c r="H720" s="7" t="s">
        <v>187</v>
      </c>
      <c r="I720" s="8" t="n">
        <v>-1079.42</v>
      </c>
    </row>
    <row r="721" customFormat="false" ht="15" hidden="false" customHeight="false" outlineLevel="0" collapsed="false">
      <c r="A721" s="7" t="s">
        <v>137</v>
      </c>
      <c r="B721" s="20" t="n">
        <v>45961</v>
      </c>
      <c r="C721" s="16" t="n">
        <v>2025</v>
      </c>
      <c r="D721" s="7" t="s">
        <v>144</v>
      </c>
      <c r="E721" s="7" t="s">
        <v>225</v>
      </c>
      <c r="F721" s="7" t="s">
        <v>226</v>
      </c>
      <c r="G721" s="7" t="s">
        <v>227</v>
      </c>
      <c r="H721" s="7" t="s">
        <v>228</v>
      </c>
      <c r="I721" s="8" t="n">
        <v>6808.32</v>
      </c>
    </row>
    <row r="722" customFormat="false" ht="15" hidden="false" customHeight="false" outlineLevel="0" collapsed="false">
      <c r="A722" s="7" t="s">
        <v>137</v>
      </c>
      <c r="B722" s="20" t="n">
        <v>45961</v>
      </c>
      <c r="C722" s="16" t="n">
        <v>2025</v>
      </c>
      <c r="D722" s="7" t="s">
        <v>146</v>
      </c>
      <c r="E722" s="7" t="s">
        <v>221</v>
      </c>
      <c r="F722" s="7" t="s">
        <v>265</v>
      </c>
      <c r="G722" s="7" t="s">
        <v>266</v>
      </c>
      <c r="H722" s="7" t="s">
        <v>265</v>
      </c>
      <c r="I722" s="8" t="n">
        <v>-2408</v>
      </c>
    </row>
    <row r="723" customFormat="false" ht="15" hidden="false" customHeight="false" outlineLevel="0" collapsed="false">
      <c r="A723" s="7" t="s">
        <v>137</v>
      </c>
      <c r="B723" s="20" t="n">
        <v>45961</v>
      </c>
      <c r="C723" s="16" t="n">
        <v>2025</v>
      </c>
      <c r="D723" s="7" t="s">
        <v>146</v>
      </c>
      <c r="E723" s="7" t="s">
        <v>221</v>
      </c>
      <c r="F723" s="7" t="s">
        <v>254</v>
      </c>
      <c r="G723" s="7" t="s">
        <v>255</v>
      </c>
      <c r="H723" s="7" t="s">
        <v>256</v>
      </c>
      <c r="I723" s="8" t="n">
        <v>-2246.4</v>
      </c>
    </row>
    <row r="724" customFormat="false" ht="15" hidden="false" customHeight="false" outlineLevel="0" collapsed="false">
      <c r="A724" s="7" t="s">
        <v>137</v>
      </c>
      <c r="B724" s="20" t="n">
        <v>45961</v>
      </c>
      <c r="C724" s="16" t="n">
        <v>2025</v>
      </c>
      <c r="D724" s="7" t="s">
        <v>146</v>
      </c>
      <c r="E724" s="7" t="s">
        <v>221</v>
      </c>
      <c r="F724" s="7" t="s">
        <v>267</v>
      </c>
      <c r="G724" s="7" t="s">
        <v>268</v>
      </c>
      <c r="H724" s="7" t="s">
        <v>269</v>
      </c>
      <c r="I724" s="8" t="n">
        <v>-435.2</v>
      </c>
    </row>
    <row r="725" customFormat="false" ht="15" hidden="false" customHeight="false" outlineLevel="0" collapsed="false">
      <c r="A725" s="7" t="s">
        <v>137</v>
      </c>
      <c r="B725" s="20" t="n">
        <v>45961</v>
      </c>
      <c r="C725" s="16" t="n">
        <v>2025</v>
      </c>
      <c r="D725" s="7" t="s">
        <v>146</v>
      </c>
      <c r="E725" s="7" t="s">
        <v>219</v>
      </c>
      <c r="F725" s="7" t="s">
        <v>187</v>
      </c>
      <c r="G725" s="7" t="s">
        <v>220</v>
      </c>
      <c r="H725" s="7" t="s">
        <v>187</v>
      </c>
      <c r="I725" s="8" t="n">
        <v>-614.91</v>
      </c>
    </row>
    <row r="726" customFormat="false" ht="15" hidden="false" customHeight="false" outlineLevel="0" collapsed="false">
      <c r="A726" s="7" t="s">
        <v>137</v>
      </c>
      <c r="B726" s="20" t="n">
        <v>45961</v>
      </c>
      <c r="C726" s="16" t="n">
        <v>2025</v>
      </c>
      <c r="D726" s="7" t="s">
        <v>146</v>
      </c>
      <c r="E726" s="7" t="s">
        <v>225</v>
      </c>
      <c r="F726" s="7" t="s">
        <v>226</v>
      </c>
      <c r="G726" s="7" t="s">
        <v>227</v>
      </c>
      <c r="H726" s="7" t="s">
        <v>228</v>
      </c>
      <c r="I726" s="8" t="n">
        <v>5216.8</v>
      </c>
    </row>
    <row r="727" customFormat="false" ht="15" hidden="false" customHeight="false" outlineLevel="0" collapsed="false">
      <c r="A727" s="7" t="s">
        <v>137</v>
      </c>
      <c r="B727" s="20" t="n">
        <v>45991</v>
      </c>
      <c r="C727" s="16" t="n">
        <v>2025</v>
      </c>
      <c r="D727" s="7" t="s">
        <v>141</v>
      </c>
      <c r="E727" s="7" t="s">
        <v>219</v>
      </c>
      <c r="F727" s="7" t="s">
        <v>187</v>
      </c>
      <c r="G727" s="7" t="s">
        <v>220</v>
      </c>
      <c r="H727" s="7" t="s">
        <v>187</v>
      </c>
      <c r="I727" s="8" t="n">
        <v>-1693.02</v>
      </c>
    </row>
    <row r="728" customFormat="false" ht="15" hidden="false" customHeight="false" outlineLevel="0" collapsed="false">
      <c r="A728" s="7" t="s">
        <v>137</v>
      </c>
      <c r="B728" s="20" t="n">
        <v>45991</v>
      </c>
      <c r="C728" s="16" t="n">
        <v>2025</v>
      </c>
      <c r="D728" s="7" t="s">
        <v>141</v>
      </c>
      <c r="E728" s="7" t="s">
        <v>225</v>
      </c>
      <c r="F728" s="7" t="s">
        <v>226</v>
      </c>
      <c r="G728" s="7" t="s">
        <v>227</v>
      </c>
      <c r="H728" s="7" t="s">
        <v>228</v>
      </c>
      <c r="I728" s="8" t="n">
        <v>2252.28</v>
      </c>
    </row>
    <row r="729" customFormat="false" ht="15" hidden="false" customHeight="false" outlineLevel="0" collapsed="false">
      <c r="A729" s="7" t="s">
        <v>137</v>
      </c>
      <c r="B729" s="20" t="n">
        <v>45991</v>
      </c>
      <c r="C729" s="16" t="n">
        <v>2025</v>
      </c>
      <c r="D729" s="7" t="s">
        <v>136</v>
      </c>
      <c r="E729" s="7" t="s">
        <v>221</v>
      </c>
      <c r="F729" s="7" t="s">
        <v>289</v>
      </c>
      <c r="G729" s="7" t="s">
        <v>290</v>
      </c>
      <c r="H729" s="7" t="s">
        <v>291</v>
      </c>
      <c r="I729" s="8" t="n">
        <v>-7200</v>
      </c>
    </row>
    <row r="730" customFormat="false" ht="15" hidden="false" customHeight="false" outlineLevel="0" collapsed="false">
      <c r="A730" s="7" t="s">
        <v>137</v>
      </c>
      <c r="B730" s="20" t="n">
        <v>45991</v>
      </c>
      <c r="C730" s="16" t="n">
        <v>2025</v>
      </c>
      <c r="D730" s="7" t="s">
        <v>136</v>
      </c>
      <c r="E730" s="7" t="s">
        <v>225</v>
      </c>
      <c r="F730" s="7" t="s">
        <v>226</v>
      </c>
      <c r="G730" s="7" t="s">
        <v>227</v>
      </c>
      <c r="H730" s="7" t="s">
        <v>228</v>
      </c>
      <c r="I730" s="8" t="n">
        <v>-32107.68</v>
      </c>
    </row>
    <row r="731" customFormat="false" ht="15" hidden="false" customHeight="false" outlineLevel="0" collapsed="false">
      <c r="A731" s="7" t="s">
        <v>137</v>
      </c>
      <c r="B731" s="20" t="n">
        <v>45991</v>
      </c>
      <c r="C731" s="16" t="n">
        <v>2025</v>
      </c>
      <c r="D731" s="7" t="s">
        <v>149</v>
      </c>
      <c r="E731" s="7" t="s">
        <v>221</v>
      </c>
      <c r="F731" s="7" t="s">
        <v>270</v>
      </c>
      <c r="G731" s="7" t="s">
        <v>271</v>
      </c>
      <c r="H731" s="7" t="s">
        <v>272</v>
      </c>
      <c r="I731" s="8" t="n">
        <v>-718.86</v>
      </c>
    </row>
    <row r="732" customFormat="false" ht="15" hidden="false" customHeight="false" outlineLevel="0" collapsed="false">
      <c r="A732" s="7" t="s">
        <v>137</v>
      </c>
      <c r="B732" s="20" t="n">
        <v>45991</v>
      </c>
      <c r="C732" s="16" t="n">
        <v>2025</v>
      </c>
      <c r="D732" s="7" t="s">
        <v>149</v>
      </c>
      <c r="E732" s="7" t="s">
        <v>221</v>
      </c>
      <c r="F732" s="7" t="s">
        <v>270</v>
      </c>
      <c r="G732" s="7" t="s">
        <v>273</v>
      </c>
      <c r="H732" s="7" t="s">
        <v>274</v>
      </c>
      <c r="I732" s="8" t="n">
        <v>-105.43</v>
      </c>
    </row>
    <row r="733" customFormat="false" ht="15" hidden="false" customHeight="false" outlineLevel="0" collapsed="false">
      <c r="A733" s="7" t="s">
        <v>137</v>
      </c>
      <c r="B733" s="20" t="n">
        <v>45991</v>
      </c>
      <c r="C733" s="16" t="n">
        <v>2025</v>
      </c>
      <c r="D733" s="7" t="s">
        <v>149</v>
      </c>
      <c r="E733" s="7" t="s">
        <v>221</v>
      </c>
      <c r="F733" s="7" t="s">
        <v>267</v>
      </c>
      <c r="G733" s="7" t="s">
        <v>268</v>
      </c>
      <c r="H733" s="7" t="s">
        <v>269</v>
      </c>
      <c r="I733" s="8" t="n">
        <v>-8666.74</v>
      </c>
    </row>
    <row r="734" customFormat="false" ht="15" hidden="false" customHeight="false" outlineLevel="0" collapsed="false">
      <c r="A734" s="7" t="s">
        <v>137</v>
      </c>
      <c r="B734" s="20" t="n">
        <v>45991</v>
      </c>
      <c r="C734" s="16" t="n">
        <v>2025</v>
      </c>
      <c r="D734" s="7" t="s">
        <v>149</v>
      </c>
      <c r="E734" s="7" t="s">
        <v>219</v>
      </c>
      <c r="F734" s="7" t="s">
        <v>187</v>
      </c>
      <c r="G734" s="7" t="s">
        <v>220</v>
      </c>
      <c r="H734" s="7" t="s">
        <v>187</v>
      </c>
      <c r="I734" s="8" t="n">
        <v>-2266.83</v>
      </c>
    </row>
    <row r="735" customFormat="false" ht="15" hidden="false" customHeight="false" outlineLevel="0" collapsed="false">
      <c r="A735" s="7" t="s">
        <v>137</v>
      </c>
      <c r="B735" s="20" t="n">
        <v>45991</v>
      </c>
      <c r="C735" s="16" t="n">
        <v>2025</v>
      </c>
      <c r="D735" s="7" t="s">
        <v>149</v>
      </c>
      <c r="E735" s="7" t="s">
        <v>236</v>
      </c>
      <c r="F735" s="7" t="s">
        <v>189</v>
      </c>
      <c r="G735" s="7" t="s">
        <v>237</v>
      </c>
      <c r="H735" s="7" t="s">
        <v>238</v>
      </c>
      <c r="I735" s="8" t="n">
        <v>-320.84</v>
      </c>
    </row>
    <row r="736" customFormat="false" ht="15" hidden="false" customHeight="false" outlineLevel="0" collapsed="false">
      <c r="A736" s="7" t="s">
        <v>137</v>
      </c>
      <c r="B736" s="20" t="n">
        <v>45991</v>
      </c>
      <c r="C736" s="16" t="n">
        <v>2025</v>
      </c>
      <c r="D736" s="7" t="s">
        <v>153</v>
      </c>
      <c r="E736" s="7" t="s">
        <v>221</v>
      </c>
      <c r="F736" s="7" t="s">
        <v>270</v>
      </c>
      <c r="G736" s="7" t="s">
        <v>271</v>
      </c>
      <c r="H736" s="7" t="s">
        <v>272</v>
      </c>
      <c r="I736" s="8" t="n">
        <v>-479.24</v>
      </c>
    </row>
    <row r="737" customFormat="false" ht="15" hidden="false" customHeight="false" outlineLevel="0" collapsed="false">
      <c r="A737" s="7" t="s">
        <v>137</v>
      </c>
      <c r="B737" s="20" t="n">
        <v>45991</v>
      </c>
      <c r="C737" s="16" t="n">
        <v>2025</v>
      </c>
      <c r="D737" s="7" t="s">
        <v>153</v>
      </c>
      <c r="E737" s="7" t="s">
        <v>221</v>
      </c>
      <c r="F737" s="7" t="s">
        <v>260</v>
      </c>
      <c r="G737" s="7" t="s">
        <v>261</v>
      </c>
      <c r="H737" s="7" t="s">
        <v>262</v>
      </c>
      <c r="I737" s="8" t="n">
        <v>-1796.12</v>
      </c>
    </row>
    <row r="738" customFormat="false" ht="15" hidden="false" customHeight="false" outlineLevel="0" collapsed="false">
      <c r="A738" s="7" t="s">
        <v>137</v>
      </c>
      <c r="B738" s="20" t="n">
        <v>45991</v>
      </c>
      <c r="C738" s="16" t="n">
        <v>2025</v>
      </c>
      <c r="D738" s="7" t="s">
        <v>153</v>
      </c>
      <c r="E738" s="7" t="s">
        <v>229</v>
      </c>
      <c r="F738" s="7" t="s">
        <v>239</v>
      </c>
      <c r="G738" s="7" t="s">
        <v>240</v>
      </c>
      <c r="H738" s="7" t="s">
        <v>239</v>
      </c>
      <c r="I738" s="8" t="n">
        <v>-277.71</v>
      </c>
    </row>
    <row r="739" customFormat="false" ht="15" hidden="false" customHeight="false" outlineLevel="0" collapsed="false">
      <c r="A739" s="7" t="s">
        <v>137</v>
      </c>
      <c r="B739" s="20" t="n">
        <v>45991</v>
      </c>
      <c r="C739" s="16" t="n">
        <v>2025</v>
      </c>
      <c r="D739" s="7" t="s">
        <v>153</v>
      </c>
      <c r="E739" s="7" t="s">
        <v>229</v>
      </c>
      <c r="F739" s="7" t="s">
        <v>241</v>
      </c>
      <c r="G739" s="7" t="s">
        <v>242</v>
      </c>
      <c r="H739" s="7" t="s">
        <v>243</v>
      </c>
      <c r="I739" s="8" t="n">
        <v>-297.26</v>
      </c>
    </row>
    <row r="740" customFormat="false" ht="15" hidden="false" customHeight="false" outlineLevel="0" collapsed="false">
      <c r="A740" s="7" t="s">
        <v>137</v>
      </c>
      <c r="B740" s="20" t="n">
        <v>45991</v>
      </c>
      <c r="C740" s="16" t="n">
        <v>2025</v>
      </c>
      <c r="D740" s="7" t="s">
        <v>153</v>
      </c>
      <c r="E740" s="7" t="s">
        <v>229</v>
      </c>
      <c r="F740" s="7" t="s">
        <v>233</v>
      </c>
      <c r="G740" s="7" t="s">
        <v>244</v>
      </c>
      <c r="H740" s="7" t="s">
        <v>245</v>
      </c>
      <c r="I740" s="8" t="n">
        <v>-165</v>
      </c>
    </row>
    <row r="741" customFormat="false" ht="15" hidden="false" customHeight="false" outlineLevel="0" collapsed="false">
      <c r="A741" s="7" t="s">
        <v>137</v>
      </c>
      <c r="B741" s="20" t="n">
        <v>45991</v>
      </c>
      <c r="C741" s="16" t="n">
        <v>2025</v>
      </c>
      <c r="D741" s="7" t="s">
        <v>153</v>
      </c>
      <c r="E741" s="7" t="s">
        <v>219</v>
      </c>
      <c r="F741" s="7" t="s">
        <v>187</v>
      </c>
      <c r="G741" s="7" t="s">
        <v>220</v>
      </c>
      <c r="H741" s="7" t="s">
        <v>187</v>
      </c>
      <c r="I741" s="8" t="n">
        <v>-760.07</v>
      </c>
    </row>
    <row r="742" customFormat="false" ht="15" hidden="false" customHeight="false" outlineLevel="0" collapsed="false">
      <c r="A742" s="7" t="s">
        <v>137</v>
      </c>
      <c r="B742" s="20" t="n">
        <v>45991</v>
      </c>
      <c r="C742" s="16" t="n">
        <v>2025</v>
      </c>
      <c r="D742" s="7" t="s">
        <v>153</v>
      </c>
      <c r="E742" s="7" t="s">
        <v>236</v>
      </c>
      <c r="F742" s="7" t="s">
        <v>189</v>
      </c>
      <c r="G742" s="7" t="s">
        <v>237</v>
      </c>
      <c r="H742" s="7" t="s">
        <v>238</v>
      </c>
      <c r="I742" s="8" t="n">
        <v>-21.65</v>
      </c>
    </row>
    <row r="743" customFormat="false" ht="15" hidden="false" customHeight="false" outlineLevel="0" collapsed="false">
      <c r="A743" s="7" t="s">
        <v>137</v>
      </c>
      <c r="B743" s="20" t="n">
        <v>45991</v>
      </c>
      <c r="C743" s="16" t="n">
        <v>2025</v>
      </c>
      <c r="D743" s="7" t="s">
        <v>153</v>
      </c>
      <c r="E743" s="7" t="s">
        <v>236</v>
      </c>
      <c r="F743" s="7" t="s">
        <v>189</v>
      </c>
      <c r="G743" s="7" t="s">
        <v>246</v>
      </c>
      <c r="H743" s="7" t="s">
        <v>247</v>
      </c>
      <c r="I743" s="8" t="n">
        <v>-1334.79</v>
      </c>
    </row>
    <row r="744" customFormat="false" ht="15" hidden="false" customHeight="false" outlineLevel="0" collapsed="false">
      <c r="A744" s="7" t="s">
        <v>137</v>
      </c>
      <c r="B744" s="20" t="n">
        <v>45991</v>
      </c>
      <c r="C744" s="16" t="n">
        <v>2025</v>
      </c>
      <c r="D744" s="7" t="s">
        <v>144</v>
      </c>
      <c r="E744" s="7" t="s">
        <v>219</v>
      </c>
      <c r="F744" s="7" t="s">
        <v>187</v>
      </c>
      <c r="G744" s="7" t="s">
        <v>220</v>
      </c>
      <c r="H744" s="7" t="s">
        <v>187</v>
      </c>
      <c r="I744" s="8" t="n">
        <v>-1079.42</v>
      </c>
    </row>
    <row r="745" customFormat="false" ht="15" hidden="false" customHeight="false" outlineLevel="0" collapsed="false">
      <c r="A745" s="7" t="s">
        <v>137</v>
      </c>
      <c r="B745" s="20" t="n">
        <v>45991</v>
      </c>
      <c r="C745" s="16" t="n">
        <v>2025</v>
      </c>
      <c r="D745" s="7" t="s">
        <v>144</v>
      </c>
      <c r="E745" s="7" t="s">
        <v>225</v>
      </c>
      <c r="F745" s="7" t="s">
        <v>226</v>
      </c>
      <c r="G745" s="7" t="s">
        <v>227</v>
      </c>
      <c r="H745" s="7" t="s">
        <v>228</v>
      </c>
      <c r="I745" s="8" t="n">
        <v>218.4</v>
      </c>
    </row>
    <row r="746" customFormat="false" ht="15" hidden="false" customHeight="false" outlineLevel="0" collapsed="false">
      <c r="A746" s="7" t="s">
        <v>137</v>
      </c>
      <c r="B746" s="20" t="n">
        <v>45991</v>
      </c>
      <c r="C746" s="16" t="n">
        <v>2025</v>
      </c>
      <c r="D746" s="7" t="s">
        <v>146</v>
      </c>
      <c r="E746" s="7" t="s">
        <v>219</v>
      </c>
      <c r="F746" s="7" t="s">
        <v>187</v>
      </c>
      <c r="G746" s="7" t="s">
        <v>220</v>
      </c>
      <c r="H746" s="7" t="s">
        <v>187</v>
      </c>
      <c r="I746" s="8" t="n">
        <v>-614.9</v>
      </c>
    </row>
    <row r="747" customFormat="false" ht="15" hidden="false" customHeight="false" outlineLevel="0" collapsed="false">
      <c r="A747" s="7" t="s">
        <v>137</v>
      </c>
      <c r="B747" s="20" t="n">
        <v>45991</v>
      </c>
      <c r="C747" s="16" t="n">
        <v>2025</v>
      </c>
      <c r="D747" s="7" t="s">
        <v>146</v>
      </c>
      <c r="E747" s="7" t="s">
        <v>225</v>
      </c>
      <c r="F747" s="7" t="s">
        <v>226</v>
      </c>
      <c r="G747" s="7" t="s">
        <v>227</v>
      </c>
      <c r="H747" s="7" t="s">
        <v>228</v>
      </c>
      <c r="I747" s="8" t="n">
        <v>127.2</v>
      </c>
    </row>
    <row r="748" customFormat="false" ht="15" hidden="false" customHeight="false" outlineLevel="0" collapsed="false">
      <c r="A748" s="7" t="s">
        <v>137</v>
      </c>
      <c r="B748" s="20" t="n">
        <v>46022</v>
      </c>
      <c r="C748" s="16" t="n">
        <v>2025</v>
      </c>
      <c r="D748" s="7" t="s">
        <v>141</v>
      </c>
      <c r="E748" s="7" t="s">
        <v>219</v>
      </c>
      <c r="F748" s="7" t="s">
        <v>187</v>
      </c>
      <c r="G748" s="7" t="s">
        <v>220</v>
      </c>
      <c r="H748" s="7" t="s">
        <v>187</v>
      </c>
      <c r="I748" s="8" t="n">
        <v>-1693.01</v>
      </c>
    </row>
    <row r="749" customFormat="false" ht="15" hidden="false" customHeight="false" outlineLevel="0" collapsed="false">
      <c r="A749" s="7" t="s">
        <v>137</v>
      </c>
      <c r="B749" s="20" t="n">
        <v>46022</v>
      </c>
      <c r="C749" s="16" t="n">
        <v>2025</v>
      </c>
      <c r="D749" s="7" t="s">
        <v>141</v>
      </c>
      <c r="E749" s="7" t="s">
        <v>225</v>
      </c>
      <c r="F749" s="7" t="s">
        <v>226</v>
      </c>
      <c r="G749" s="7" t="s">
        <v>227</v>
      </c>
      <c r="H749" s="7" t="s">
        <v>228</v>
      </c>
      <c r="I749" s="8" t="n">
        <v>1126.14</v>
      </c>
    </row>
    <row r="750" customFormat="false" ht="15" hidden="false" customHeight="false" outlineLevel="0" collapsed="false">
      <c r="A750" s="7" t="s">
        <v>137</v>
      </c>
      <c r="B750" s="20" t="n">
        <v>46022</v>
      </c>
      <c r="C750" s="16" t="n">
        <v>2025</v>
      </c>
      <c r="D750" s="7" t="s">
        <v>136</v>
      </c>
      <c r="E750" s="7" t="s">
        <v>248</v>
      </c>
      <c r="F750" s="7" t="s">
        <v>249</v>
      </c>
      <c r="G750" s="7" t="s">
        <v>292</v>
      </c>
      <c r="H750" s="7" t="s">
        <v>293</v>
      </c>
      <c r="I750" s="8" t="n">
        <v>30759.85</v>
      </c>
    </row>
    <row r="751" customFormat="false" ht="15" hidden="false" customHeight="false" outlineLevel="0" collapsed="false">
      <c r="A751" s="7" t="s">
        <v>137</v>
      </c>
      <c r="B751" s="20" t="n">
        <v>46022</v>
      </c>
      <c r="C751" s="16" t="n">
        <v>2025</v>
      </c>
      <c r="D751" s="7" t="s">
        <v>136</v>
      </c>
      <c r="E751" s="7" t="s">
        <v>248</v>
      </c>
      <c r="F751" s="7" t="s">
        <v>249</v>
      </c>
      <c r="G751" s="7" t="s">
        <v>294</v>
      </c>
      <c r="H751" s="7" t="s">
        <v>295</v>
      </c>
      <c r="I751" s="8" t="n">
        <v>7457.39</v>
      </c>
    </row>
    <row r="752" customFormat="false" ht="15" hidden="false" customHeight="false" outlineLevel="0" collapsed="false">
      <c r="A752" s="7" t="s">
        <v>137</v>
      </c>
      <c r="B752" s="20" t="n">
        <v>46022</v>
      </c>
      <c r="C752" s="16" t="n">
        <v>2025</v>
      </c>
      <c r="D752" s="7" t="s">
        <v>136</v>
      </c>
      <c r="E752" s="7" t="s">
        <v>221</v>
      </c>
      <c r="F752" s="7" t="s">
        <v>289</v>
      </c>
      <c r="G752" s="7" t="s">
        <v>296</v>
      </c>
      <c r="H752" s="7" t="s">
        <v>297</v>
      </c>
      <c r="I752" s="8" t="n">
        <v>-7102.27</v>
      </c>
    </row>
    <row r="753" customFormat="false" ht="15" hidden="false" customHeight="false" outlineLevel="0" collapsed="false">
      <c r="A753" s="7" t="s">
        <v>137</v>
      </c>
      <c r="B753" s="20" t="n">
        <v>46022</v>
      </c>
      <c r="C753" s="16" t="n">
        <v>2025</v>
      </c>
      <c r="D753" s="7" t="s">
        <v>136</v>
      </c>
      <c r="E753" s="7" t="s">
        <v>229</v>
      </c>
      <c r="F753" s="7" t="s">
        <v>298</v>
      </c>
      <c r="G753" s="7" t="s">
        <v>299</v>
      </c>
      <c r="H753" s="7" t="s">
        <v>298</v>
      </c>
      <c r="I753" s="8" t="n">
        <v>-457.25</v>
      </c>
    </row>
    <row r="754" customFormat="false" ht="15" hidden="false" customHeight="false" outlineLevel="0" collapsed="false">
      <c r="A754" s="7" t="s">
        <v>137</v>
      </c>
      <c r="B754" s="20" t="n">
        <v>46022</v>
      </c>
      <c r="C754" s="16" t="n">
        <v>2025</v>
      </c>
      <c r="D754" s="7" t="s">
        <v>149</v>
      </c>
      <c r="E754" s="7" t="s">
        <v>219</v>
      </c>
      <c r="F754" s="7" t="s">
        <v>187</v>
      </c>
      <c r="G754" s="7" t="s">
        <v>220</v>
      </c>
      <c r="H754" s="7" t="s">
        <v>187</v>
      </c>
      <c r="I754" s="8" t="n">
        <v>-2266.81</v>
      </c>
    </row>
    <row r="755" customFormat="false" ht="15" hidden="false" customHeight="false" outlineLevel="0" collapsed="false">
      <c r="A755" s="7" t="s">
        <v>137</v>
      </c>
      <c r="B755" s="20" t="n">
        <v>46022</v>
      </c>
      <c r="C755" s="16" t="n">
        <v>2025</v>
      </c>
      <c r="D755" s="7" t="s">
        <v>149</v>
      </c>
      <c r="E755" s="7" t="s">
        <v>236</v>
      </c>
      <c r="F755" s="7" t="s">
        <v>189</v>
      </c>
      <c r="G755" s="7" t="s">
        <v>237</v>
      </c>
      <c r="H755" s="7" t="s">
        <v>238</v>
      </c>
      <c r="I755" s="8" t="n">
        <v>-312.31</v>
      </c>
    </row>
    <row r="756" customFormat="false" ht="15" hidden="false" customHeight="false" outlineLevel="0" collapsed="false">
      <c r="A756" s="7" t="s">
        <v>137</v>
      </c>
      <c r="B756" s="20" t="n">
        <v>46022</v>
      </c>
      <c r="C756" s="16" t="n">
        <v>2025</v>
      </c>
      <c r="D756" s="7" t="s">
        <v>153</v>
      </c>
      <c r="E756" s="7" t="s">
        <v>229</v>
      </c>
      <c r="F756" s="7" t="s">
        <v>298</v>
      </c>
      <c r="G756" s="7" t="s">
        <v>299</v>
      </c>
      <c r="H756" s="7" t="s">
        <v>298</v>
      </c>
      <c r="I756" s="8" t="n">
        <v>-7262.9</v>
      </c>
    </row>
    <row r="757" customFormat="false" ht="15" hidden="false" customHeight="false" outlineLevel="0" collapsed="false">
      <c r="A757" s="7" t="s">
        <v>137</v>
      </c>
      <c r="B757" s="20" t="n">
        <v>46022</v>
      </c>
      <c r="C757" s="16" t="n">
        <v>2025</v>
      </c>
      <c r="D757" s="7" t="s">
        <v>153</v>
      </c>
      <c r="E757" s="7" t="s">
        <v>229</v>
      </c>
      <c r="F757" s="7" t="s">
        <v>239</v>
      </c>
      <c r="G757" s="7" t="s">
        <v>240</v>
      </c>
      <c r="H757" s="7" t="s">
        <v>239</v>
      </c>
      <c r="I757" s="8" t="n">
        <v>-403.59</v>
      </c>
    </row>
    <row r="758" customFormat="false" ht="15" hidden="false" customHeight="false" outlineLevel="0" collapsed="false">
      <c r="A758" s="7" t="s">
        <v>137</v>
      </c>
      <c r="B758" s="20" t="n">
        <v>46022</v>
      </c>
      <c r="C758" s="16" t="n">
        <v>2025</v>
      </c>
      <c r="D758" s="7" t="s">
        <v>153</v>
      </c>
      <c r="E758" s="7" t="s">
        <v>229</v>
      </c>
      <c r="F758" s="7" t="s">
        <v>241</v>
      </c>
      <c r="G758" s="7" t="s">
        <v>242</v>
      </c>
      <c r="H758" s="7" t="s">
        <v>243</v>
      </c>
      <c r="I758" s="8" t="n">
        <v>-289.24</v>
      </c>
    </row>
    <row r="759" customFormat="false" ht="15" hidden="false" customHeight="false" outlineLevel="0" collapsed="false">
      <c r="A759" s="7" t="s">
        <v>137</v>
      </c>
      <c r="B759" s="20" t="n">
        <v>46022</v>
      </c>
      <c r="C759" s="16" t="n">
        <v>2025</v>
      </c>
      <c r="D759" s="7" t="s">
        <v>153</v>
      </c>
      <c r="E759" s="7" t="s">
        <v>229</v>
      </c>
      <c r="F759" s="7" t="s">
        <v>233</v>
      </c>
      <c r="G759" s="7" t="s">
        <v>244</v>
      </c>
      <c r="H759" s="7" t="s">
        <v>245</v>
      </c>
      <c r="I759" s="8" t="n">
        <v>-165</v>
      </c>
    </row>
    <row r="760" customFormat="false" ht="15" hidden="false" customHeight="false" outlineLevel="0" collapsed="false">
      <c r="A760" s="7" t="s">
        <v>137</v>
      </c>
      <c r="B760" s="20" t="n">
        <v>46022</v>
      </c>
      <c r="C760" s="16" t="n">
        <v>2025</v>
      </c>
      <c r="D760" s="7" t="s">
        <v>153</v>
      </c>
      <c r="E760" s="7" t="s">
        <v>219</v>
      </c>
      <c r="F760" s="7" t="s">
        <v>187</v>
      </c>
      <c r="G760" s="7" t="s">
        <v>220</v>
      </c>
      <c r="H760" s="7" t="s">
        <v>187</v>
      </c>
      <c r="I760" s="8" t="n">
        <v>-760.06</v>
      </c>
    </row>
    <row r="761" customFormat="false" ht="15" hidden="false" customHeight="false" outlineLevel="0" collapsed="false">
      <c r="A761" s="7" t="s">
        <v>137</v>
      </c>
      <c r="B761" s="20" t="n">
        <v>46022</v>
      </c>
      <c r="C761" s="16" t="n">
        <v>2025</v>
      </c>
      <c r="D761" s="7" t="s">
        <v>153</v>
      </c>
      <c r="E761" s="7" t="s">
        <v>236</v>
      </c>
      <c r="F761" s="7" t="s">
        <v>189</v>
      </c>
      <c r="G761" s="7" t="s">
        <v>237</v>
      </c>
      <c r="H761" s="7" t="s">
        <v>238</v>
      </c>
      <c r="I761" s="8" t="n">
        <v>-14330.32</v>
      </c>
    </row>
    <row r="762" customFormat="false" ht="15" hidden="false" customHeight="false" outlineLevel="0" collapsed="false">
      <c r="A762" s="7" t="s">
        <v>137</v>
      </c>
      <c r="B762" s="20" t="n">
        <v>46022</v>
      </c>
      <c r="C762" s="16" t="n">
        <v>2025</v>
      </c>
      <c r="D762" s="7" t="s">
        <v>153</v>
      </c>
      <c r="E762" s="7" t="s">
        <v>236</v>
      </c>
      <c r="F762" s="7" t="s">
        <v>189</v>
      </c>
      <c r="G762" s="7" t="s">
        <v>246</v>
      </c>
      <c r="H762" s="7" t="s">
        <v>247</v>
      </c>
      <c r="I762" s="8" t="n">
        <v>-1428.34</v>
      </c>
    </row>
    <row r="763" customFormat="false" ht="15" hidden="false" customHeight="false" outlineLevel="0" collapsed="false">
      <c r="A763" s="7" t="s">
        <v>137</v>
      </c>
      <c r="B763" s="20" t="n">
        <v>46022</v>
      </c>
      <c r="C763" s="16" t="n">
        <v>2025</v>
      </c>
      <c r="D763" s="7" t="s">
        <v>144</v>
      </c>
      <c r="E763" s="7" t="s">
        <v>219</v>
      </c>
      <c r="F763" s="7" t="s">
        <v>187</v>
      </c>
      <c r="G763" s="7" t="s">
        <v>220</v>
      </c>
      <c r="H763" s="7" t="s">
        <v>187</v>
      </c>
      <c r="I763" s="8" t="n">
        <v>-1079.42</v>
      </c>
    </row>
    <row r="764" customFormat="false" ht="15" hidden="false" customHeight="false" outlineLevel="0" collapsed="false">
      <c r="A764" s="7" t="s">
        <v>137</v>
      </c>
      <c r="B764" s="20" t="n">
        <v>46022</v>
      </c>
      <c r="C764" s="16" t="n">
        <v>2025</v>
      </c>
      <c r="D764" s="7" t="s">
        <v>144</v>
      </c>
      <c r="E764" s="7" t="s">
        <v>225</v>
      </c>
      <c r="F764" s="7" t="s">
        <v>226</v>
      </c>
      <c r="G764" s="7" t="s">
        <v>227</v>
      </c>
      <c r="H764" s="7" t="s">
        <v>228</v>
      </c>
      <c r="I764" s="8" t="n">
        <v>235.2</v>
      </c>
    </row>
    <row r="765" customFormat="false" ht="15" hidden="false" customHeight="false" outlineLevel="0" collapsed="false">
      <c r="A765" s="7" t="s">
        <v>137</v>
      </c>
      <c r="B765" s="20" t="n">
        <v>46022</v>
      </c>
      <c r="C765" s="16" t="n">
        <v>2025</v>
      </c>
      <c r="D765" s="7" t="s">
        <v>146</v>
      </c>
      <c r="E765" s="7" t="s">
        <v>219</v>
      </c>
      <c r="F765" s="7" t="s">
        <v>187</v>
      </c>
      <c r="G765" s="7" t="s">
        <v>220</v>
      </c>
      <c r="H765" s="7" t="s">
        <v>187</v>
      </c>
      <c r="I765" s="8" t="n">
        <v>-614.92</v>
      </c>
    </row>
    <row r="766" customFormat="false" ht="15" hidden="false" customHeight="false" outlineLevel="0" collapsed="false">
      <c r="A766" s="7" t="s">
        <v>137</v>
      </c>
      <c r="B766" s="20" t="n">
        <v>46022</v>
      </c>
      <c r="C766" s="16" t="n">
        <v>2025</v>
      </c>
      <c r="D766" s="7" t="s">
        <v>146</v>
      </c>
      <c r="E766" s="7" t="s">
        <v>225</v>
      </c>
      <c r="F766" s="7" t="s">
        <v>226</v>
      </c>
      <c r="G766" s="7" t="s">
        <v>227</v>
      </c>
      <c r="H766" s="7" t="s">
        <v>228</v>
      </c>
      <c r="I766" s="8" t="n">
        <v>127.2</v>
      </c>
    </row>
    <row r="767" customFormat="false" ht="15" hidden="false" customHeight="false" outlineLevel="0" collapsed="false">
      <c r="A767" s="7" t="s">
        <v>137</v>
      </c>
      <c r="B767" s="20" t="n">
        <v>46053</v>
      </c>
      <c r="C767" s="16" t="n">
        <v>2026</v>
      </c>
      <c r="D767" s="7" t="s">
        <v>141</v>
      </c>
      <c r="E767" s="7" t="s">
        <v>219</v>
      </c>
      <c r="F767" s="7" t="s">
        <v>187</v>
      </c>
      <c r="G767" s="7" t="s">
        <v>220</v>
      </c>
      <c r="H767" s="7" t="s">
        <v>187</v>
      </c>
      <c r="I767" s="8" t="n">
        <v>-1693.03</v>
      </c>
    </row>
    <row r="768" customFormat="false" ht="15" hidden="false" customHeight="false" outlineLevel="0" collapsed="false">
      <c r="A768" s="7" t="s">
        <v>137</v>
      </c>
      <c r="B768" s="20" t="n">
        <v>46053</v>
      </c>
      <c r="C768" s="16" t="n">
        <v>2026</v>
      </c>
      <c r="D768" s="7" t="s">
        <v>141</v>
      </c>
      <c r="E768" s="7" t="s">
        <v>225</v>
      </c>
      <c r="F768" s="7" t="s">
        <v>226</v>
      </c>
      <c r="G768" s="7" t="s">
        <v>227</v>
      </c>
      <c r="H768" s="7" t="s">
        <v>228</v>
      </c>
      <c r="I768" s="8" t="n">
        <v>938.45</v>
      </c>
    </row>
    <row r="769" customFormat="false" ht="15" hidden="false" customHeight="false" outlineLevel="0" collapsed="false">
      <c r="A769" s="7" t="s">
        <v>137</v>
      </c>
      <c r="B769" s="20" t="n">
        <v>46053</v>
      </c>
      <c r="C769" s="16" t="n">
        <v>2026</v>
      </c>
      <c r="D769" s="7" t="s">
        <v>136</v>
      </c>
      <c r="E769" s="7" t="s">
        <v>221</v>
      </c>
      <c r="F769" s="7" t="s">
        <v>222</v>
      </c>
      <c r="G769" s="7" t="s">
        <v>223</v>
      </c>
      <c r="H769" s="7" t="s">
        <v>224</v>
      </c>
      <c r="I769" s="8" t="n">
        <v>-1464.96</v>
      </c>
    </row>
    <row r="770" customFormat="false" ht="15" hidden="false" customHeight="false" outlineLevel="0" collapsed="false">
      <c r="A770" s="7" t="s">
        <v>137</v>
      </c>
      <c r="B770" s="20" t="n">
        <v>46053</v>
      </c>
      <c r="C770" s="16" t="n">
        <v>2026</v>
      </c>
      <c r="D770" s="7" t="s">
        <v>136</v>
      </c>
      <c r="E770" s="7" t="s">
        <v>225</v>
      </c>
      <c r="F770" s="7" t="s">
        <v>226</v>
      </c>
      <c r="G770" s="7" t="s">
        <v>227</v>
      </c>
      <c r="H770" s="7" t="s">
        <v>228</v>
      </c>
      <c r="I770" s="8" t="n">
        <v>1464.96</v>
      </c>
    </row>
    <row r="771" customFormat="false" ht="15" hidden="false" customHeight="false" outlineLevel="0" collapsed="false">
      <c r="A771" s="7" t="s">
        <v>137</v>
      </c>
      <c r="B771" s="20" t="n">
        <v>46053</v>
      </c>
      <c r="C771" s="16" t="n">
        <v>2026</v>
      </c>
      <c r="D771" s="7" t="s">
        <v>149</v>
      </c>
      <c r="E771" s="7" t="s">
        <v>229</v>
      </c>
      <c r="F771" s="7" t="s">
        <v>230</v>
      </c>
      <c r="G771" s="7" t="s">
        <v>231</v>
      </c>
      <c r="H771" s="7" t="s">
        <v>232</v>
      </c>
      <c r="I771" s="8" t="n">
        <v>-8460</v>
      </c>
    </row>
    <row r="772" customFormat="false" ht="15" hidden="false" customHeight="false" outlineLevel="0" collapsed="false">
      <c r="A772" s="7" t="s">
        <v>137</v>
      </c>
      <c r="B772" s="20" t="n">
        <v>46053</v>
      </c>
      <c r="C772" s="16" t="n">
        <v>2026</v>
      </c>
      <c r="D772" s="7" t="s">
        <v>149</v>
      </c>
      <c r="E772" s="7" t="s">
        <v>229</v>
      </c>
      <c r="F772" s="7" t="s">
        <v>233</v>
      </c>
      <c r="G772" s="7" t="s">
        <v>234</v>
      </c>
      <c r="H772" s="7" t="s">
        <v>235</v>
      </c>
      <c r="I772" s="8" t="n">
        <v>-1085</v>
      </c>
    </row>
    <row r="773" customFormat="false" ht="15" hidden="false" customHeight="false" outlineLevel="0" collapsed="false">
      <c r="A773" s="7" t="s">
        <v>137</v>
      </c>
      <c r="B773" s="20" t="n">
        <v>46053</v>
      </c>
      <c r="C773" s="16" t="n">
        <v>2026</v>
      </c>
      <c r="D773" s="7" t="s">
        <v>149</v>
      </c>
      <c r="E773" s="7" t="s">
        <v>219</v>
      </c>
      <c r="F773" s="7" t="s">
        <v>187</v>
      </c>
      <c r="G773" s="7" t="s">
        <v>220</v>
      </c>
      <c r="H773" s="7" t="s">
        <v>187</v>
      </c>
      <c r="I773" s="8" t="n">
        <v>-2266.83</v>
      </c>
    </row>
    <row r="774" customFormat="false" ht="15" hidden="false" customHeight="false" outlineLevel="0" collapsed="false">
      <c r="A774" s="7" t="s">
        <v>137</v>
      </c>
      <c r="B774" s="20" t="n">
        <v>46053</v>
      </c>
      <c r="C774" s="16" t="n">
        <v>2026</v>
      </c>
      <c r="D774" s="7" t="s">
        <v>149</v>
      </c>
      <c r="E774" s="7" t="s">
        <v>236</v>
      </c>
      <c r="F774" s="7" t="s">
        <v>189</v>
      </c>
      <c r="G774" s="7" t="s">
        <v>237</v>
      </c>
      <c r="H774" s="7" t="s">
        <v>238</v>
      </c>
      <c r="I774" s="8" t="n">
        <v>-8160.75</v>
      </c>
    </row>
    <row r="775" customFormat="false" ht="15" hidden="false" customHeight="false" outlineLevel="0" collapsed="false">
      <c r="A775" s="7" t="s">
        <v>137</v>
      </c>
      <c r="B775" s="20" t="n">
        <v>46053</v>
      </c>
      <c r="C775" s="16" t="n">
        <v>2026</v>
      </c>
      <c r="D775" s="7" t="s">
        <v>153</v>
      </c>
      <c r="E775" s="7" t="s">
        <v>229</v>
      </c>
      <c r="F775" s="7" t="s">
        <v>230</v>
      </c>
      <c r="G775" s="7" t="s">
        <v>231</v>
      </c>
      <c r="H775" s="7" t="s">
        <v>232</v>
      </c>
      <c r="I775" s="8" t="n">
        <v>-9870</v>
      </c>
    </row>
    <row r="776" customFormat="false" ht="15" hidden="false" customHeight="false" outlineLevel="0" collapsed="false">
      <c r="A776" s="7" t="s">
        <v>137</v>
      </c>
      <c r="B776" s="20" t="n">
        <v>46053</v>
      </c>
      <c r="C776" s="16" t="n">
        <v>2026</v>
      </c>
      <c r="D776" s="7" t="s">
        <v>153</v>
      </c>
      <c r="E776" s="7" t="s">
        <v>229</v>
      </c>
      <c r="F776" s="7" t="s">
        <v>239</v>
      </c>
      <c r="G776" s="7" t="s">
        <v>240</v>
      </c>
      <c r="H776" s="7" t="s">
        <v>239</v>
      </c>
      <c r="I776" s="8" t="n">
        <v>-376.25</v>
      </c>
    </row>
    <row r="777" customFormat="false" ht="15" hidden="false" customHeight="false" outlineLevel="0" collapsed="false">
      <c r="A777" s="7" t="s">
        <v>137</v>
      </c>
      <c r="B777" s="20" t="n">
        <v>46053</v>
      </c>
      <c r="C777" s="16" t="n">
        <v>2026</v>
      </c>
      <c r="D777" s="7" t="s">
        <v>153</v>
      </c>
      <c r="E777" s="7" t="s">
        <v>229</v>
      </c>
      <c r="F777" s="7" t="s">
        <v>241</v>
      </c>
      <c r="G777" s="7" t="s">
        <v>242</v>
      </c>
      <c r="H777" s="7" t="s">
        <v>243</v>
      </c>
      <c r="I777" s="8" t="n">
        <v>-319.05</v>
      </c>
    </row>
    <row r="778" customFormat="false" ht="15" hidden="false" customHeight="false" outlineLevel="0" collapsed="false">
      <c r="A778" s="7" t="s">
        <v>137</v>
      </c>
      <c r="B778" s="20" t="n">
        <v>46053</v>
      </c>
      <c r="C778" s="16" t="n">
        <v>2026</v>
      </c>
      <c r="D778" s="7" t="s">
        <v>153</v>
      </c>
      <c r="E778" s="7" t="s">
        <v>229</v>
      </c>
      <c r="F778" s="7" t="s">
        <v>233</v>
      </c>
      <c r="G778" s="7" t="s">
        <v>244</v>
      </c>
      <c r="H778" s="7" t="s">
        <v>245</v>
      </c>
      <c r="I778" s="8" t="n">
        <v>-165</v>
      </c>
    </row>
    <row r="779" customFormat="false" ht="15" hidden="false" customHeight="false" outlineLevel="0" collapsed="false">
      <c r="A779" s="7" t="s">
        <v>137</v>
      </c>
      <c r="B779" s="20" t="n">
        <v>46053</v>
      </c>
      <c r="C779" s="16" t="n">
        <v>2026</v>
      </c>
      <c r="D779" s="7" t="s">
        <v>153</v>
      </c>
      <c r="E779" s="7" t="s">
        <v>219</v>
      </c>
      <c r="F779" s="7" t="s">
        <v>187</v>
      </c>
      <c r="G779" s="7" t="s">
        <v>220</v>
      </c>
      <c r="H779" s="7" t="s">
        <v>187</v>
      </c>
      <c r="I779" s="8" t="n">
        <v>-760.07</v>
      </c>
    </row>
    <row r="780" customFormat="false" ht="15" hidden="false" customHeight="false" outlineLevel="0" collapsed="false">
      <c r="A780" s="7" t="s">
        <v>137</v>
      </c>
      <c r="B780" s="20" t="n">
        <v>46053</v>
      </c>
      <c r="C780" s="16" t="n">
        <v>2026</v>
      </c>
      <c r="D780" s="7" t="s">
        <v>153</v>
      </c>
      <c r="E780" s="7" t="s">
        <v>236</v>
      </c>
      <c r="F780" s="7" t="s">
        <v>189</v>
      </c>
      <c r="G780" s="7" t="s">
        <v>237</v>
      </c>
      <c r="H780" s="7" t="s">
        <v>238</v>
      </c>
      <c r="I780" s="8" t="n">
        <v>-16.29</v>
      </c>
    </row>
    <row r="781" customFormat="false" ht="15" hidden="false" customHeight="false" outlineLevel="0" collapsed="false">
      <c r="A781" s="7" t="s">
        <v>137</v>
      </c>
      <c r="B781" s="20" t="n">
        <v>46053</v>
      </c>
      <c r="C781" s="16" t="n">
        <v>2026</v>
      </c>
      <c r="D781" s="7" t="s">
        <v>153</v>
      </c>
      <c r="E781" s="7" t="s">
        <v>236</v>
      </c>
      <c r="F781" s="7" t="s">
        <v>189</v>
      </c>
      <c r="G781" s="7" t="s">
        <v>246</v>
      </c>
      <c r="H781" s="7" t="s">
        <v>247</v>
      </c>
      <c r="I781" s="8" t="n">
        <v>-1297.12</v>
      </c>
    </row>
    <row r="782" customFormat="false" ht="15" hidden="false" customHeight="false" outlineLevel="0" collapsed="false">
      <c r="A782" s="7" t="s">
        <v>137</v>
      </c>
      <c r="B782" s="20" t="n">
        <v>46053</v>
      </c>
      <c r="C782" s="16" t="n">
        <v>2026</v>
      </c>
      <c r="D782" s="7" t="s">
        <v>144</v>
      </c>
      <c r="E782" s="7" t="s">
        <v>248</v>
      </c>
      <c r="F782" s="7" t="s">
        <v>249</v>
      </c>
      <c r="G782" s="7" t="s">
        <v>250</v>
      </c>
      <c r="H782" s="7" t="s">
        <v>251</v>
      </c>
      <c r="I782" s="8" t="n">
        <v>17371.2</v>
      </c>
    </row>
    <row r="783" customFormat="false" ht="15" hidden="false" customHeight="false" outlineLevel="0" collapsed="false">
      <c r="A783" s="7" t="s">
        <v>137</v>
      </c>
      <c r="B783" s="20" t="n">
        <v>46053</v>
      </c>
      <c r="C783" s="16" t="n">
        <v>2026</v>
      </c>
      <c r="D783" s="7" t="s">
        <v>144</v>
      </c>
      <c r="E783" s="7" t="s">
        <v>219</v>
      </c>
      <c r="F783" s="7" t="s">
        <v>187</v>
      </c>
      <c r="G783" s="7" t="s">
        <v>220</v>
      </c>
      <c r="H783" s="7" t="s">
        <v>187</v>
      </c>
      <c r="I783" s="8" t="n">
        <v>-1079.42</v>
      </c>
    </row>
    <row r="784" customFormat="false" ht="15" hidden="false" customHeight="false" outlineLevel="0" collapsed="false">
      <c r="A784" s="7" t="s">
        <v>137</v>
      </c>
      <c r="B784" s="20" t="n">
        <v>46053</v>
      </c>
      <c r="C784" s="16" t="n">
        <v>2026</v>
      </c>
      <c r="D784" s="7" t="s">
        <v>144</v>
      </c>
      <c r="E784" s="7" t="s">
        <v>225</v>
      </c>
      <c r="F784" s="7" t="s">
        <v>226</v>
      </c>
      <c r="G784" s="7" t="s">
        <v>227</v>
      </c>
      <c r="H784" s="7" t="s">
        <v>228</v>
      </c>
      <c r="I784" s="8" t="n">
        <v>-17388</v>
      </c>
    </row>
    <row r="785" customFormat="false" ht="15" hidden="false" customHeight="false" outlineLevel="0" collapsed="false">
      <c r="A785" s="7" t="s">
        <v>137</v>
      </c>
      <c r="B785" s="20" t="n">
        <v>46053</v>
      </c>
      <c r="C785" s="16" t="n">
        <v>2026</v>
      </c>
      <c r="D785" s="7" t="s">
        <v>146</v>
      </c>
      <c r="E785" s="7" t="s">
        <v>219</v>
      </c>
      <c r="F785" s="7" t="s">
        <v>187</v>
      </c>
      <c r="G785" s="7" t="s">
        <v>220</v>
      </c>
      <c r="H785" s="7" t="s">
        <v>187</v>
      </c>
      <c r="I785" s="8" t="n">
        <v>-614.9</v>
      </c>
    </row>
    <row r="786" customFormat="false" ht="15" hidden="false" customHeight="false" outlineLevel="0" collapsed="false">
      <c r="A786" s="7" t="s">
        <v>137</v>
      </c>
      <c r="B786" s="20" t="n">
        <v>46053</v>
      </c>
      <c r="C786" s="16" t="n">
        <v>2026</v>
      </c>
      <c r="D786" s="7" t="s">
        <v>146</v>
      </c>
      <c r="E786" s="7" t="s">
        <v>225</v>
      </c>
      <c r="F786" s="7" t="s">
        <v>226</v>
      </c>
      <c r="G786" s="7" t="s">
        <v>227</v>
      </c>
      <c r="H786" s="7" t="s">
        <v>228</v>
      </c>
      <c r="I786" s="8" t="n">
        <v>127.2</v>
      </c>
    </row>
    <row r="787" customFormat="false" ht="15" hidden="false" customHeight="false" outlineLevel="0" collapsed="false">
      <c r="A787" s="7" t="s">
        <v>137</v>
      </c>
      <c r="B787" s="20" t="n">
        <v>46081</v>
      </c>
      <c r="C787" s="16" t="n">
        <v>2026</v>
      </c>
      <c r="D787" s="7" t="s">
        <v>141</v>
      </c>
      <c r="E787" s="7" t="s">
        <v>248</v>
      </c>
      <c r="F787" s="7" t="s">
        <v>249</v>
      </c>
      <c r="G787" s="7" t="s">
        <v>250</v>
      </c>
      <c r="H787" s="7" t="s">
        <v>251</v>
      </c>
      <c r="I787" s="8" t="n">
        <v>42748.38</v>
      </c>
    </row>
    <row r="788" customFormat="false" ht="15" hidden="false" customHeight="false" outlineLevel="0" collapsed="false">
      <c r="A788" s="7" t="s">
        <v>137</v>
      </c>
      <c r="B788" s="20" t="n">
        <v>46081</v>
      </c>
      <c r="C788" s="16" t="n">
        <v>2026</v>
      </c>
      <c r="D788" s="7" t="s">
        <v>141</v>
      </c>
      <c r="E788" s="7" t="s">
        <v>248</v>
      </c>
      <c r="F788" s="7" t="s">
        <v>286</v>
      </c>
      <c r="G788" s="7" t="s">
        <v>303</v>
      </c>
      <c r="H788" s="7" t="s">
        <v>304</v>
      </c>
      <c r="I788" s="8" t="n">
        <v>5545</v>
      </c>
    </row>
    <row r="789" customFormat="false" ht="15" hidden="false" customHeight="false" outlineLevel="0" collapsed="false">
      <c r="A789" s="7" t="s">
        <v>137</v>
      </c>
      <c r="B789" s="20" t="n">
        <v>46081</v>
      </c>
      <c r="C789" s="16" t="n">
        <v>2026</v>
      </c>
      <c r="D789" s="7" t="s">
        <v>141</v>
      </c>
      <c r="E789" s="7" t="s">
        <v>219</v>
      </c>
      <c r="F789" s="7" t="s">
        <v>187</v>
      </c>
      <c r="G789" s="7" t="s">
        <v>220</v>
      </c>
      <c r="H789" s="7" t="s">
        <v>187</v>
      </c>
      <c r="I789" s="8" t="n">
        <v>-1693.02</v>
      </c>
    </row>
    <row r="790" customFormat="false" ht="15" hidden="false" customHeight="false" outlineLevel="0" collapsed="false">
      <c r="A790" s="7" t="s">
        <v>137</v>
      </c>
      <c r="B790" s="20" t="n">
        <v>46081</v>
      </c>
      <c r="C790" s="16" t="n">
        <v>2026</v>
      </c>
      <c r="D790" s="7" t="s">
        <v>141</v>
      </c>
      <c r="E790" s="7" t="s">
        <v>225</v>
      </c>
      <c r="F790" s="7" t="s">
        <v>226</v>
      </c>
      <c r="G790" s="7" t="s">
        <v>227</v>
      </c>
      <c r="H790" s="7" t="s">
        <v>228</v>
      </c>
      <c r="I790" s="8" t="n">
        <v>-42098.68</v>
      </c>
    </row>
    <row r="791" customFormat="false" ht="15" hidden="false" customHeight="false" outlineLevel="0" collapsed="false">
      <c r="A791" s="7" t="s">
        <v>137</v>
      </c>
      <c r="B791" s="20" t="n">
        <v>46081</v>
      </c>
      <c r="C791" s="16" t="n">
        <v>2026</v>
      </c>
      <c r="D791" s="7" t="s">
        <v>136</v>
      </c>
      <c r="E791" s="7" t="s">
        <v>248</v>
      </c>
      <c r="F791" s="7" t="s">
        <v>286</v>
      </c>
      <c r="G791" s="7" t="s">
        <v>303</v>
      </c>
      <c r="H791" s="7" t="s">
        <v>304</v>
      </c>
      <c r="I791" s="8" t="n">
        <v>11265.6</v>
      </c>
    </row>
    <row r="792" customFormat="false" ht="15" hidden="false" customHeight="false" outlineLevel="0" collapsed="false">
      <c r="A792" s="7" t="s">
        <v>137</v>
      </c>
      <c r="B792" s="20" t="n">
        <v>46081</v>
      </c>
      <c r="C792" s="16" t="n">
        <v>2026</v>
      </c>
      <c r="D792" s="7" t="s">
        <v>149</v>
      </c>
      <c r="E792" s="7" t="s">
        <v>219</v>
      </c>
      <c r="F792" s="7" t="s">
        <v>187</v>
      </c>
      <c r="G792" s="7" t="s">
        <v>220</v>
      </c>
      <c r="H792" s="7" t="s">
        <v>187</v>
      </c>
      <c r="I792" s="8" t="n">
        <v>-2266.83</v>
      </c>
    </row>
    <row r="793" customFormat="false" ht="15" hidden="false" customHeight="false" outlineLevel="0" collapsed="false">
      <c r="A793" s="7" t="s">
        <v>137</v>
      </c>
      <c r="B793" s="20" t="n">
        <v>46081</v>
      </c>
      <c r="C793" s="16" t="n">
        <v>2026</v>
      </c>
      <c r="D793" s="7" t="s">
        <v>149</v>
      </c>
      <c r="E793" s="7" t="s">
        <v>236</v>
      </c>
      <c r="F793" s="7" t="s">
        <v>189</v>
      </c>
      <c r="G793" s="7" t="s">
        <v>237</v>
      </c>
      <c r="H793" s="7" t="s">
        <v>238</v>
      </c>
      <c r="I793" s="8" t="n">
        <v>-295.1</v>
      </c>
    </row>
    <row r="794" customFormat="false" ht="15" hidden="false" customHeight="false" outlineLevel="0" collapsed="false">
      <c r="A794" s="7" t="s">
        <v>137</v>
      </c>
      <c r="B794" s="20" t="n">
        <v>46081</v>
      </c>
      <c r="C794" s="16" t="n">
        <v>2026</v>
      </c>
      <c r="D794" s="7" t="s">
        <v>153</v>
      </c>
      <c r="E794" s="7" t="s">
        <v>229</v>
      </c>
      <c r="F794" s="7" t="s">
        <v>239</v>
      </c>
      <c r="G794" s="7" t="s">
        <v>240</v>
      </c>
      <c r="H794" s="7" t="s">
        <v>239</v>
      </c>
      <c r="I794" s="8" t="n">
        <v>-395.62</v>
      </c>
    </row>
    <row r="795" customFormat="false" ht="15" hidden="false" customHeight="false" outlineLevel="0" collapsed="false">
      <c r="A795" s="7" t="s">
        <v>137</v>
      </c>
      <c r="B795" s="20" t="n">
        <v>46081</v>
      </c>
      <c r="C795" s="16" t="n">
        <v>2026</v>
      </c>
      <c r="D795" s="7" t="s">
        <v>153</v>
      </c>
      <c r="E795" s="7" t="s">
        <v>229</v>
      </c>
      <c r="F795" s="7" t="s">
        <v>241</v>
      </c>
      <c r="G795" s="7" t="s">
        <v>242</v>
      </c>
      <c r="H795" s="7" t="s">
        <v>243</v>
      </c>
      <c r="I795" s="8" t="n">
        <v>-238.75</v>
      </c>
    </row>
    <row r="796" customFormat="false" ht="15" hidden="false" customHeight="false" outlineLevel="0" collapsed="false">
      <c r="A796" s="7" t="s">
        <v>137</v>
      </c>
      <c r="B796" s="20" t="n">
        <v>46081</v>
      </c>
      <c r="C796" s="16" t="n">
        <v>2026</v>
      </c>
      <c r="D796" s="7" t="s">
        <v>153</v>
      </c>
      <c r="E796" s="7" t="s">
        <v>229</v>
      </c>
      <c r="F796" s="7" t="s">
        <v>233</v>
      </c>
      <c r="G796" s="7" t="s">
        <v>252</v>
      </c>
      <c r="H796" s="7" t="s">
        <v>253</v>
      </c>
      <c r="I796" s="8" t="n">
        <v>-3850</v>
      </c>
    </row>
    <row r="797" customFormat="false" ht="15" hidden="false" customHeight="false" outlineLevel="0" collapsed="false">
      <c r="A797" s="7" t="s">
        <v>137</v>
      </c>
      <c r="B797" s="20" t="n">
        <v>46081</v>
      </c>
      <c r="C797" s="16" t="n">
        <v>2026</v>
      </c>
      <c r="D797" s="7" t="s">
        <v>153</v>
      </c>
      <c r="E797" s="7" t="s">
        <v>229</v>
      </c>
      <c r="F797" s="7" t="s">
        <v>233</v>
      </c>
      <c r="G797" s="7" t="s">
        <v>244</v>
      </c>
      <c r="H797" s="7" t="s">
        <v>245</v>
      </c>
      <c r="I797" s="8" t="n">
        <v>-165</v>
      </c>
    </row>
    <row r="798" customFormat="false" ht="15" hidden="false" customHeight="false" outlineLevel="0" collapsed="false">
      <c r="A798" s="7" t="s">
        <v>137</v>
      </c>
      <c r="B798" s="20" t="n">
        <v>46081</v>
      </c>
      <c r="C798" s="16" t="n">
        <v>2026</v>
      </c>
      <c r="D798" s="7" t="s">
        <v>153</v>
      </c>
      <c r="E798" s="7" t="s">
        <v>219</v>
      </c>
      <c r="F798" s="7" t="s">
        <v>187</v>
      </c>
      <c r="G798" s="7" t="s">
        <v>220</v>
      </c>
      <c r="H798" s="7" t="s">
        <v>187</v>
      </c>
      <c r="I798" s="8" t="n">
        <v>-760.07</v>
      </c>
    </row>
    <row r="799" customFormat="false" ht="15" hidden="false" customHeight="false" outlineLevel="0" collapsed="false">
      <c r="A799" s="7" t="s">
        <v>137</v>
      </c>
      <c r="B799" s="20" t="n">
        <v>46081</v>
      </c>
      <c r="C799" s="16" t="n">
        <v>2026</v>
      </c>
      <c r="D799" s="7" t="s">
        <v>153</v>
      </c>
      <c r="E799" s="7" t="s">
        <v>236</v>
      </c>
      <c r="F799" s="7" t="s">
        <v>189</v>
      </c>
      <c r="G799" s="7" t="s">
        <v>237</v>
      </c>
      <c r="H799" s="7" t="s">
        <v>238</v>
      </c>
      <c r="I799" s="8" t="n">
        <v>-13.6</v>
      </c>
    </row>
    <row r="800" customFormat="false" ht="15" hidden="false" customHeight="false" outlineLevel="0" collapsed="false">
      <c r="A800" s="7" t="s">
        <v>137</v>
      </c>
      <c r="B800" s="20" t="n">
        <v>46081</v>
      </c>
      <c r="C800" s="16" t="n">
        <v>2026</v>
      </c>
      <c r="D800" s="7" t="s">
        <v>153</v>
      </c>
      <c r="E800" s="7" t="s">
        <v>236</v>
      </c>
      <c r="F800" s="7" t="s">
        <v>189</v>
      </c>
      <c r="G800" s="7" t="s">
        <v>246</v>
      </c>
      <c r="H800" s="7" t="s">
        <v>247</v>
      </c>
      <c r="I800" s="8" t="n">
        <v>-1171.21</v>
      </c>
    </row>
    <row r="801" customFormat="false" ht="15" hidden="false" customHeight="false" outlineLevel="0" collapsed="false">
      <c r="A801" s="7" t="s">
        <v>137</v>
      </c>
      <c r="B801" s="20" t="n">
        <v>46081</v>
      </c>
      <c r="C801" s="16" t="n">
        <v>2026</v>
      </c>
      <c r="D801" s="7" t="s">
        <v>144</v>
      </c>
      <c r="E801" s="7" t="s">
        <v>248</v>
      </c>
      <c r="F801" s="7" t="s">
        <v>286</v>
      </c>
      <c r="G801" s="7" t="s">
        <v>303</v>
      </c>
      <c r="H801" s="7" t="s">
        <v>304</v>
      </c>
      <c r="I801" s="8" t="n">
        <v>2470.4</v>
      </c>
    </row>
    <row r="802" customFormat="false" ht="15" hidden="false" customHeight="false" outlineLevel="0" collapsed="false">
      <c r="A802" s="7" t="s">
        <v>137</v>
      </c>
      <c r="B802" s="20" t="n">
        <v>46081</v>
      </c>
      <c r="C802" s="16" t="n">
        <v>2026</v>
      </c>
      <c r="D802" s="7" t="s">
        <v>144</v>
      </c>
      <c r="E802" s="7" t="s">
        <v>219</v>
      </c>
      <c r="F802" s="7" t="s">
        <v>187</v>
      </c>
      <c r="G802" s="7" t="s">
        <v>220</v>
      </c>
      <c r="H802" s="7" t="s">
        <v>187</v>
      </c>
      <c r="I802" s="8" t="n">
        <v>-1079.41</v>
      </c>
    </row>
    <row r="803" customFormat="false" ht="15" hidden="false" customHeight="false" outlineLevel="0" collapsed="false">
      <c r="A803" s="7" t="s">
        <v>137</v>
      </c>
      <c r="B803" s="20" t="n">
        <v>46081</v>
      </c>
      <c r="C803" s="16" t="n">
        <v>2026</v>
      </c>
      <c r="D803" s="7" t="s">
        <v>146</v>
      </c>
      <c r="E803" s="7" t="s">
        <v>248</v>
      </c>
      <c r="F803" s="7" t="s">
        <v>286</v>
      </c>
      <c r="G803" s="7" t="s">
        <v>303</v>
      </c>
      <c r="H803" s="7" t="s">
        <v>304</v>
      </c>
      <c r="I803" s="8" t="n">
        <v>3148</v>
      </c>
    </row>
    <row r="804" customFormat="false" ht="15" hidden="false" customHeight="false" outlineLevel="0" collapsed="false">
      <c r="A804" s="7" t="s">
        <v>137</v>
      </c>
      <c r="B804" s="20" t="n">
        <v>46081</v>
      </c>
      <c r="C804" s="16" t="n">
        <v>2026</v>
      </c>
      <c r="D804" s="7" t="s">
        <v>146</v>
      </c>
      <c r="E804" s="7" t="s">
        <v>219</v>
      </c>
      <c r="F804" s="7" t="s">
        <v>187</v>
      </c>
      <c r="G804" s="7" t="s">
        <v>220</v>
      </c>
      <c r="H804" s="7" t="s">
        <v>187</v>
      </c>
      <c r="I804" s="8" t="n">
        <v>-614.9</v>
      </c>
    </row>
    <row r="805" customFormat="false" ht="15" hidden="false" customHeight="false" outlineLevel="0" collapsed="false">
      <c r="A805" s="7" t="s">
        <v>137</v>
      </c>
      <c r="B805" s="20" t="n">
        <v>46081</v>
      </c>
      <c r="C805" s="16" t="n">
        <v>2026</v>
      </c>
      <c r="D805" s="7" t="s">
        <v>146</v>
      </c>
      <c r="E805" s="7" t="s">
        <v>225</v>
      </c>
      <c r="F805" s="7" t="s">
        <v>226</v>
      </c>
      <c r="G805" s="7" t="s">
        <v>227</v>
      </c>
      <c r="H805" s="7" t="s">
        <v>228</v>
      </c>
      <c r="I805" s="8" t="n">
        <v>106</v>
      </c>
    </row>
    <row r="806" customFormat="false" ht="15" hidden="false" customHeight="false" outlineLevel="0" collapsed="false">
      <c r="A806" s="7" t="s">
        <v>137</v>
      </c>
      <c r="B806" s="20" t="n">
        <v>46112</v>
      </c>
      <c r="C806" s="16" t="n">
        <v>2026</v>
      </c>
      <c r="D806" s="7" t="s">
        <v>141</v>
      </c>
      <c r="E806" s="7" t="s">
        <v>221</v>
      </c>
      <c r="F806" s="7" t="s">
        <v>257</v>
      </c>
      <c r="G806" s="7" t="s">
        <v>258</v>
      </c>
      <c r="H806" s="7" t="s">
        <v>259</v>
      </c>
      <c r="I806" s="8" t="n">
        <v>-1760</v>
      </c>
    </row>
    <row r="807" customFormat="false" ht="15" hidden="false" customHeight="false" outlineLevel="0" collapsed="false">
      <c r="A807" s="7" t="s">
        <v>137</v>
      </c>
      <c r="B807" s="20" t="n">
        <v>46112</v>
      </c>
      <c r="C807" s="16" t="n">
        <v>2026</v>
      </c>
      <c r="D807" s="7" t="s">
        <v>141</v>
      </c>
      <c r="E807" s="7" t="s">
        <v>219</v>
      </c>
      <c r="F807" s="7" t="s">
        <v>187</v>
      </c>
      <c r="G807" s="7" t="s">
        <v>220</v>
      </c>
      <c r="H807" s="7" t="s">
        <v>187</v>
      </c>
      <c r="I807" s="8" t="n">
        <v>-1693.01</v>
      </c>
    </row>
    <row r="808" customFormat="false" ht="15" hidden="false" customHeight="false" outlineLevel="0" collapsed="false">
      <c r="A808" s="7" t="s">
        <v>137</v>
      </c>
      <c r="B808" s="20" t="n">
        <v>46112</v>
      </c>
      <c r="C808" s="16" t="n">
        <v>2026</v>
      </c>
      <c r="D808" s="7" t="s">
        <v>141</v>
      </c>
      <c r="E808" s="7" t="s">
        <v>225</v>
      </c>
      <c r="F808" s="7" t="s">
        <v>226</v>
      </c>
      <c r="G808" s="7" t="s">
        <v>227</v>
      </c>
      <c r="H808" s="7" t="s">
        <v>228</v>
      </c>
      <c r="I808" s="8" t="n">
        <v>519.78</v>
      </c>
    </row>
    <row r="809" customFormat="false" ht="15" hidden="false" customHeight="false" outlineLevel="0" collapsed="false">
      <c r="A809" s="7" t="s">
        <v>137</v>
      </c>
      <c r="B809" s="20" t="n">
        <v>46112</v>
      </c>
      <c r="C809" s="16" t="n">
        <v>2026</v>
      </c>
      <c r="D809" s="7" t="s">
        <v>136</v>
      </c>
      <c r="E809" s="7" t="s">
        <v>221</v>
      </c>
      <c r="F809" s="7" t="s">
        <v>222</v>
      </c>
      <c r="G809" s="7" t="s">
        <v>223</v>
      </c>
      <c r="H809" s="7" t="s">
        <v>224</v>
      </c>
      <c r="I809" s="8" t="n">
        <v>-2511.36</v>
      </c>
    </row>
    <row r="810" customFormat="false" ht="15" hidden="false" customHeight="false" outlineLevel="0" collapsed="false">
      <c r="A810" s="7" t="s">
        <v>137</v>
      </c>
      <c r="B810" s="20" t="n">
        <v>46112</v>
      </c>
      <c r="C810" s="16" t="n">
        <v>2026</v>
      </c>
      <c r="D810" s="7" t="s">
        <v>136</v>
      </c>
      <c r="E810" s="7" t="s">
        <v>225</v>
      </c>
      <c r="F810" s="7" t="s">
        <v>226</v>
      </c>
      <c r="G810" s="7" t="s">
        <v>227</v>
      </c>
      <c r="H810" s="7" t="s">
        <v>228</v>
      </c>
      <c r="I810" s="8" t="n">
        <v>2511.36</v>
      </c>
    </row>
    <row r="811" customFormat="false" ht="15" hidden="false" customHeight="false" outlineLevel="0" collapsed="false">
      <c r="A811" s="7" t="s">
        <v>137</v>
      </c>
      <c r="B811" s="20" t="n">
        <v>46112</v>
      </c>
      <c r="C811" s="16" t="n">
        <v>2026</v>
      </c>
      <c r="D811" s="7" t="s">
        <v>149</v>
      </c>
      <c r="E811" s="7" t="s">
        <v>219</v>
      </c>
      <c r="F811" s="7" t="s">
        <v>187</v>
      </c>
      <c r="G811" s="7" t="s">
        <v>220</v>
      </c>
      <c r="H811" s="7" t="s">
        <v>187</v>
      </c>
      <c r="I811" s="8" t="n">
        <v>-2266.82</v>
      </c>
    </row>
    <row r="812" customFormat="false" ht="15" hidden="false" customHeight="false" outlineLevel="0" collapsed="false">
      <c r="A812" s="7" t="s">
        <v>137</v>
      </c>
      <c r="B812" s="20" t="n">
        <v>46112</v>
      </c>
      <c r="C812" s="16" t="n">
        <v>2026</v>
      </c>
      <c r="D812" s="7" t="s">
        <v>149</v>
      </c>
      <c r="E812" s="7" t="s">
        <v>236</v>
      </c>
      <c r="F812" s="7" t="s">
        <v>189</v>
      </c>
      <c r="G812" s="7" t="s">
        <v>237</v>
      </c>
      <c r="H812" s="7" t="s">
        <v>238</v>
      </c>
      <c r="I812" s="8" t="n">
        <v>-286.41</v>
      </c>
    </row>
    <row r="813" customFormat="false" ht="15" hidden="false" customHeight="false" outlineLevel="0" collapsed="false">
      <c r="A813" s="7" t="s">
        <v>137</v>
      </c>
      <c r="B813" s="20" t="n">
        <v>46112</v>
      </c>
      <c r="C813" s="16" t="n">
        <v>2026</v>
      </c>
      <c r="D813" s="7" t="s">
        <v>153</v>
      </c>
      <c r="E813" s="7" t="s">
        <v>221</v>
      </c>
      <c r="F813" s="7" t="s">
        <v>260</v>
      </c>
      <c r="G813" s="7" t="s">
        <v>261</v>
      </c>
      <c r="H813" s="7" t="s">
        <v>262</v>
      </c>
      <c r="I813" s="8" t="n">
        <v>-1461.68</v>
      </c>
    </row>
    <row r="814" customFormat="false" ht="15" hidden="false" customHeight="false" outlineLevel="0" collapsed="false">
      <c r="A814" s="7" t="s">
        <v>137</v>
      </c>
      <c r="B814" s="20" t="n">
        <v>46112</v>
      </c>
      <c r="C814" s="16" t="n">
        <v>2026</v>
      </c>
      <c r="D814" s="7" t="s">
        <v>153</v>
      </c>
      <c r="E814" s="7" t="s">
        <v>229</v>
      </c>
      <c r="F814" s="7" t="s">
        <v>239</v>
      </c>
      <c r="G814" s="7" t="s">
        <v>240</v>
      </c>
      <c r="H814" s="7" t="s">
        <v>239</v>
      </c>
      <c r="I814" s="8" t="n">
        <v>-246.96</v>
      </c>
    </row>
    <row r="815" customFormat="false" ht="15" hidden="false" customHeight="false" outlineLevel="0" collapsed="false">
      <c r="A815" s="7" t="s">
        <v>137</v>
      </c>
      <c r="B815" s="20" t="n">
        <v>46112</v>
      </c>
      <c r="C815" s="16" t="n">
        <v>2026</v>
      </c>
      <c r="D815" s="7" t="s">
        <v>153</v>
      </c>
      <c r="E815" s="7" t="s">
        <v>229</v>
      </c>
      <c r="F815" s="7" t="s">
        <v>241</v>
      </c>
      <c r="G815" s="7" t="s">
        <v>242</v>
      </c>
      <c r="H815" s="7" t="s">
        <v>243</v>
      </c>
      <c r="I815" s="8" t="n">
        <v>-317.54</v>
      </c>
    </row>
    <row r="816" customFormat="false" ht="15" hidden="false" customHeight="false" outlineLevel="0" collapsed="false">
      <c r="A816" s="7" t="s">
        <v>137</v>
      </c>
      <c r="B816" s="20" t="n">
        <v>46112</v>
      </c>
      <c r="C816" s="16" t="n">
        <v>2026</v>
      </c>
      <c r="D816" s="7" t="s">
        <v>153</v>
      </c>
      <c r="E816" s="7" t="s">
        <v>229</v>
      </c>
      <c r="F816" s="7" t="s">
        <v>233</v>
      </c>
      <c r="G816" s="7" t="s">
        <v>244</v>
      </c>
      <c r="H816" s="7" t="s">
        <v>245</v>
      </c>
      <c r="I816" s="8" t="n">
        <v>-165</v>
      </c>
    </row>
    <row r="817" customFormat="false" ht="15" hidden="false" customHeight="false" outlineLevel="0" collapsed="false">
      <c r="A817" s="7" t="s">
        <v>137</v>
      </c>
      <c r="B817" s="20" t="n">
        <v>46112</v>
      </c>
      <c r="C817" s="16" t="n">
        <v>2026</v>
      </c>
      <c r="D817" s="7" t="s">
        <v>153</v>
      </c>
      <c r="E817" s="7" t="s">
        <v>219</v>
      </c>
      <c r="F817" s="7" t="s">
        <v>187</v>
      </c>
      <c r="G817" s="7" t="s">
        <v>220</v>
      </c>
      <c r="H817" s="7" t="s">
        <v>187</v>
      </c>
      <c r="I817" s="8" t="n">
        <v>-760.08</v>
      </c>
    </row>
    <row r="818" customFormat="false" ht="15" hidden="false" customHeight="false" outlineLevel="0" collapsed="false">
      <c r="A818" s="7" t="s">
        <v>137</v>
      </c>
      <c r="B818" s="20" t="n">
        <v>46112</v>
      </c>
      <c r="C818" s="16" t="n">
        <v>2026</v>
      </c>
      <c r="D818" s="7" t="s">
        <v>153</v>
      </c>
      <c r="E818" s="7" t="s">
        <v>236</v>
      </c>
      <c r="F818" s="7" t="s">
        <v>189</v>
      </c>
      <c r="G818" s="7" t="s">
        <v>237</v>
      </c>
      <c r="H818" s="7" t="s">
        <v>238</v>
      </c>
      <c r="I818" s="8" t="n">
        <v>-12369.4</v>
      </c>
    </row>
    <row r="819" customFormat="false" ht="15" hidden="false" customHeight="false" outlineLevel="0" collapsed="false">
      <c r="A819" s="7" t="s">
        <v>137</v>
      </c>
      <c r="B819" s="20" t="n">
        <v>46112</v>
      </c>
      <c r="C819" s="16" t="n">
        <v>2026</v>
      </c>
      <c r="D819" s="7" t="s">
        <v>153</v>
      </c>
      <c r="E819" s="7" t="s">
        <v>236</v>
      </c>
      <c r="F819" s="7" t="s">
        <v>189</v>
      </c>
      <c r="G819" s="7" t="s">
        <v>246</v>
      </c>
      <c r="H819" s="7" t="s">
        <v>247</v>
      </c>
      <c r="I819" s="8" t="n">
        <v>-1125.55</v>
      </c>
    </row>
    <row r="820" customFormat="false" ht="15" hidden="false" customHeight="false" outlineLevel="0" collapsed="false">
      <c r="A820" s="7" t="s">
        <v>137</v>
      </c>
      <c r="B820" s="20" t="n">
        <v>46112</v>
      </c>
      <c r="C820" s="16" t="n">
        <v>2026</v>
      </c>
      <c r="D820" s="7" t="s">
        <v>144</v>
      </c>
      <c r="E820" s="7" t="s">
        <v>221</v>
      </c>
      <c r="F820" s="7" t="s">
        <v>257</v>
      </c>
      <c r="G820" s="7" t="s">
        <v>258</v>
      </c>
      <c r="H820" s="7" t="s">
        <v>259</v>
      </c>
      <c r="I820" s="8" t="n">
        <v>-1750</v>
      </c>
    </row>
    <row r="821" customFormat="false" ht="15" hidden="false" customHeight="false" outlineLevel="0" collapsed="false">
      <c r="A821" s="7" t="s">
        <v>137</v>
      </c>
      <c r="B821" s="20" t="n">
        <v>46112</v>
      </c>
      <c r="C821" s="16" t="n">
        <v>2026</v>
      </c>
      <c r="D821" s="7" t="s">
        <v>144</v>
      </c>
      <c r="E821" s="7" t="s">
        <v>219</v>
      </c>
      <c r="F821" s="7" t="s">
        <v>187</v>
      </c>
      <c r="G821" s="7" t="s">
        <v>220</v>
      </c>
      <c r="H821" s="7" t="s">
        <v>187</v>
      </c>
      <c r="I821" s="8" t="n">
        <v>-1079.42</v>
      </c>
    </row>
    <row r="822" customFormat="false" ht="15" hidden="false" customHeight="false" outlineLevel="0" collapsed="false">
      <c r="A822" s="7" t="s">
        <v>137</v>
      </c>
      <c r="B822" s="20" t="n">
        <v>46112</v>
      </c>
      <c r="C822" s="16" t="n">
        <v>2026</v>
      </c>
      <c r="D822" s="7" t="s">
        <v>146</v>
      </c>
      <c r="E822" s="7" t="s">
        <v>248</v>
      </c>
      <c r="F822" s="7" t="s">
        <v>249</v>
      </c>
      <c r="G822" s="7" t="s">
        <v>250</v>
      </c>
      <c r="H822" s="7" t="s">
        <v>251</v>
      </c>
      <c r="I822" s="8" t="n">
        <v>11087.6</v>
      </c>
    </row>
    <row r="823" customFormat="false" ht="15" hidden="false" customHeight="false" outlineLevel="0" collapsed="false">
      <c r="A823" s="7" t="s">
        <v>137</v>
      </c>
      <c r="B823" s="20" t="n">
        <v>46112</v>
      </c>
      <c r="C823" s="16" t="n">
        <v>2026</v>
      </c>
      <c r="D823" s="7" t="s">
        <v>146</v>
      </c>
      <c r="E823" s="7" t="s">
        <v>221</v>
      </c>
      <c r="F823" s="7" t="s">
        <v>254</v>
      </c>
      <c r="G823" s="7" t="s">
        <v>255</v>
      </c>
      <c r="H823" s="7" t="s">
        <v>256</v>
      </c>
      <c r="I823" s="8" t="n">
        <v>-3968</v>
      </c>
    </row>
    <row r="824" customFormat="false" ht="15" hidden="false" customHeight="false" outlineLevel="0" collapsed="false">
      <c r="A824" s="7" t="s">
        <v>137</v>
      </c>
      <c r="B824" s="20" t="n">
        <v>46112</v>
      </c>
      <c r="C824" s="16" t="n">
        <v>2026</v>
      </c>
      <c r="D824" s="7" t="s">
        <v>146</v>
      </c>
      <c r="E824" s="7" t="s">
        <v>221</v>
      </c>
      <c r="F824" s="7" t="s">
        <v>263</v>
      </c>
      <c r="G824" s="7" t="s">
        <v>264</v>
      </c>
      <c r="H824" s="7" t="s">
        <v>263</v>
      </c>
      <c r="I824" s="8" t="n">
        <v>-1204</v>
      </c>
    </row>
    <row r="825" customFormat="false" ht="15" hidden="false" customHeight="false" outlineLevel="0" collapsed="false">
      <c r="A825" s="7" t="s">
        <v>137</v>
      </c>
      <c r="B825" s="20" t="n">
        <v>46112</v>
      </c>
      <c r="C825" s="16" t="n">
        <v>2026</v>
      </c>
      <c r="D825" s="7" t="s">
        <v>146</v>
      </c>
      <c r="E825" s="7" t="s">
        <v>221</v>
      </c>
      <c r="F825" s="7" t="s">
        <v>257</v>
      </c>
      <c r="G825" s="7" t="s">
        <v>258</v>
      </c>
      <c r="H825" s="7" t="s">
        <v>259</v>
      </c>
      <c r="I825" s="8" t="n">
        <v>-1440</v>
      </c>
    </row>
    <row r="826" customFormat="false" ht="15" hidden="false" customHeight="false" outlineLevel="0" collapsed="false">
      <c r="A826" s="7" t="s">
        <v>137</v>
      </c>
      <c r="B826" s="20" t="n">
        <v>46112</v>
      </c>
      <c r="C826" s="16" t="n">
        <v>2026</v>
      </c>
      <c r="D826" s="7" t="s">
        <v>146</v>
      </c>
      <c r="E826" s="7" t="s">
        <v>219</v>
      </c>
      <c r="F826" s="7" t="s">
        <v>187</v>
      </c>
      <c r="G826" s="7" t="s">
        <v>220</v>
      </c>
      <c r="H826" s="7" t="s">
        <v>187</v>
      </c>
      <c r="I826" s="8" t="n">
        <v>-614.92</v>
      </c>
    </row>
    <row r="827" customFormat="false" ht="15" hidden="false" customHeight="false" outlineLevel="0" collapsed="false">
      <c r="A827" s="7" t="s">
        <v>137</v>
      </c>
      <c r="B827" s="20" t="n">
        <v>46112</v>
      </c>
      <c r="C827" s="16" t="n">
        <v>2026</v>
      </c>
      <c r="D827" s="7" t="s">
        <v>146</v>
      </c>
      <c r="E827" s="7" t="s">
        <v>225</v>
      </c>
      <c r="F827" s="7" t="s">
        <v>226</v>
      </c>
      <c r="G827" s="7" t="s">
        <v>227</v>
      </c>
      <c r="H827" s="7" t="s">
        <v>228</v>
      </c>
      <c r="I827" s="8" t="n">
        <v>-4284.8</v>
      </c>
    </row>
    <row r="828" customFormat="false" ht="15" hidden="false" customHeight="false" outlineLevel="0" collapsed="false">
      <c r="A828" s="7" t="s">
        <v>137</v>
      </c>
      <c r="B828" s="20" t="n">
        <v>46142</v>
      </c>
      <c r="C828" s="16" t="n">
        <v>2026</v>
      </c>
      <c r="D828" s="7" t="s">
        <v>141</v>
      </c>
      <c r="E828" s="7" t="s">
        <v>248</v>
      </c>
      <c r="F828" s="7" t="s">
        <v>249</v>
      </c>
      <c r="G828" s="7" t="s">
        <v>250</v>
      </c>
      <c r="H828" s="7" t="s">
        <v>251</v>
      </c>
      <c r="I828" s="8" t="n">
        <v>37073.36</v>
      </c>
    </row>
    <row r="829" customFormat="false" ht="15" hidden="false" customHeight="false" outlineLevel="0" collapsed="false">
      <c r="A829" s="7" t="s">
        <v>137</v>
      </c>
      <c r="B829" s="20" t="n">
        <v>46142</v>
      </c>
      <c r="C829" s="16" t="n">
        <v>2026</v>
      </c>
      <c r="D829" s="7" t="s">
        <v>141</v>
      </c>
      <c r="E829" s="7" t="s">
        <v>221</v>
      </c>
      <c r="F829" s="7" t="s">
        <v>265</v>
      </c>
      <c r="G829" s="7" t="s">
        <v>266</v>
      </c>
      <c r="H829" s="7" t="s">
        <v>265</v>
      </c>
      <c r="I829" s="8" t="n">
        <v>-6708</v>
      </c>
    </row>
    <row r="830" customFormat="false" ht="15" hidden="false" customHeight="false" outlineLevel="0" collapsed="false">
      <c r="A830" s="7" t="s">
        <v>137</v>
      </c>
      <c r="B830" s="20" t="n">
        <v>46142</v>
      </c>
      <c r="C830" s="16" t="n">
        <v>2026</v>
      </c>
      <c r="D830" s="7" t="s">
        <v>141</v>
      </c>
      <c r="E830" s="7" t="s">
        <v>221</v>
      </c>
      <c r="F830" s="7" t="s">
        <v>254</v>
      </c>
      <c r="G830" s="7" t="s">
        <v>255</v>
      </c>
      <c r="H830" s="7" t="s">
        <v>256</v>
      </c>
      <c r="I830" s="8" t="n">
        <v>-7875.2</v>
      </c>
    </row>
    <row r="831" customFormat="false" ht="15" hidden="false" customHeight="false" outlineLevel="0" collapsed="false">
      <c r="A831" s="7" t="s">
        <v>137</v>
      </c>
      <c r="B831" s="20" t="n">
        <v>46142</v>
      </c>
      <c r="C831" s="16" t="n">
        <v>2026</v>
      </c>
      <c r="D831" s="7" t="s">
        <v>141</v>
      </c>
      <c r="E831" s="7" t="s">
        <v>221</v>
      </c>
      <c r="F831" s="7" t="s">
        <v>263</v>
      </c>
      <c r="G831" s="7" t="s">
        <v>264</v>
      </c>
      <c r="H831" s="7" t="s">
        <v>263</v>
      </c>
      <c r="I831" s="8" t="n">
        <v>-2365</v>
      </c>
    </row>
    <row r="832" customFormat="false" ht="15" hidden="false" customHeight="false" outlineLevel="0" collapsed="false">
      <c r="A832" s="7" t="s">
        <v>137</v>
      </c>
      <c r="B832" s="20" t="n">
        <v>46142</v>
      </c>
      <c r="C832" s="16" t="n">
        <v>2026</v>
      </c>
      <c r="D832" s="7" t="s">
        <v>141</v>
      </c>
      <c r="E832" s="7" t="s">
        <v>221</v>
      </c>
      <c r="F832" s="7" t="s">
        <v>267</v>
      </c>
      <c r="G832" s="7" t="s">
        <v>268</v>
      </c>
      <c r="H832" s="7" t="s">
        <v>269</v>
      </c>
      <c r="I832" s="8" t="n">
        <v>-766.08</v>
      </c>
    </row>
    <row r="833" customFormat="false" ht="15" hidden="false" customHeight="false" outlineLevel="0" collapsed="false">
      <c r="A833" s="7" t="s">
        <v>137</v>
      </c>
      <c r="B833" s="20" t="n">
        <v>46142</v>
      </c>
      <c r="C833" s="16" t="n">
        <v>2026</v>
      </c>
      <c r="D833" s="7" t="s">
        <v>141</v>
      </c>
      <c r="E833" s="7" t="s">
        <v>219</v>
      </c>
      <c r="F833" s="7" t="s">
        <v>187</v>
      </c>
      <c r="G833" s="7" t="s">
        <v>220</v>
      </c>
      <c r="H833" s="7" t="s">
        <v>187</v>
      </c>
      <c r="I833" s="8" t="n">
        <v>-1693.01</v>
      </c>
    </row>
    <row r="834" customFormat="false" ht="15" hidden="false" customHeight="false" outlineLevel="0" collapsed="false">
      <c r="A834" s="7" t="s">
        <v>137</v>
      </c>
      <c r="B834" s="20" t="n">
        <v>46142</v>
      </c>
      <c r="C834" s="16" t="n">
        <v>2026</v>
      </c>
      <c r="D834" s="7" t="s">
        <v>141</v>
      </c>
      <c r="E834" s="7" t="s">
        <v>225</v>
      </c>
      <c r="F834" s="7" t="s">
        <v>226</v>
      </c>
      <c r="G834" s="7" t="s">
        <v>227</v>
      </c>
      <c r="H834" s="7" t="s">
        <v>228</v>
      </c>
      <c r="I834" s="8" t="n">
        <v>-17772.34</v>
      </c>
    </row>
    <row r="835" customFormat="false" ht="15" hidden="false" customHeight="false" outlineLevel="0" collapsed="false">
      <c r="A835" s="7" t="s">
        <v>137</v>
      </c>
      <c r="B835" s="20" t="n">
        <v>46142</v>
      </c>
      <c r="C835" s="16" t="n">
        <v>2026</v>
      </c>
      <c r="D835" s="7" t="s">
        <v>136</v>
      </c>
      <c r="E835" s="7" t="s">
        <v>221</v>
      </c>
      <c r="F835" s="7" t="s">
        <v>254</v>
      </c>
      <c r="G835" s="7" t="s">
        <v>255</v>
      </c>
      <c r="H835" s="7" t="s">
        <v>256</v>
      </c>
      <c r="I835" s="8" t="n">
        <v>-4143.36</v>
      </c>
    </row>
    <row r="836" customFormat="false" ht="15" hidden="false" customHeight="false" outlineLevel="0" collapsed="false">
      <c r="A836" s="7" t="s">
        <v>137</v>
      </c>
      <c r="B836" s="20" t="n">
        <v>46142</v>
      </c>
      <c r="C836" s="16" t="n">
        <v>2026</v>
      </c>
      <c r="D836" s="7" t="s">
        <v>136</v>
      </c>
      <c r="E836" s="7" t="s">
        <v>221</v>
      </c>
      <c r="F836" s="7" t="s">
        <v>263</v>
      </c>
      <c r="G836" s="7" t="s">
        <v>264</v>
      </c>
      <c r="H836" s="7" t="s">
        <v>263</v>
      </c>
      <c r="I836" s="8" t="n">
        <v>-2302.08</v>
      </c>
    </row>
    <row r="837" customFormat="false" ht="15" hidden="false" customHeight="false" outlineLevel="0" collapsed="false">
      <c r="A837" s="7" t="s">
        <v>137</v>
      </c>
      <c r="B837" s="20" t="n">
        <v>46142</v>
      </c>
      <c r="C837" s="16" t="n">
        <v>2026</v>
      </c>
      <c r="D837" s="7" t="s">
        <v>136</v>
      </c>
      <c r="E837" s="7" t="s">
        <v>221</v>
      </c>
      <c r="F837" s="7" t="s">
        <v>222</v>
      </c>
      <c r="G837" s="7" t="s">
        <v>223</v>
      </c>
      <c r="H837" s="7" t="s">
        <v>224</v>
      </c>
      <c r="I837" s="8" t="n">
        <v>-941.76</v>
      </c>
    </row>
    <row r="838" customFormat="false" ht="15" hidden="false" customHeight="false" outlineLevel="0" collapsed="false">
      <c r="A838" s="7" t="s">
        <v>137</v>
      </c>
      <c r="B838" s="20" t="n">
        <v>46142</v>
      </c>
      <c r="C838" s="16" t="n">
        <v>2026</v>
      </c>
      <c r="D838" s="7" t="s">
        <v>136</v>
      </c>
      <c r="E838" s="7" t="s">
        <v>225</v>
      </c>
      <c r="F838" s="7" t="s">
        <v>226</v>
      </c>
      <c r="G838" s="7" t="s">
        <v>227</v>
      </c>
      <c r="H838" s="7" t="s">
        <v>228</v>
      </c>
      <c r="I838" s="8" t="n">
        <v>7387.2</v>
      </c>
    </row>
    <row r="839" customFormat="false" ht="15" hidden="false" customHeight="false" outlineLevel="0" collapsed="false">
      <c r="A839" s="7" t="s">
        <v>137</v>
      </c>
      <c r="B839" s="20" t="n">
        <v>46142</v>
      </c>
      <c r="C839" s="16" t="n">
        <v>2026</v>
      </c>
      <c r="D839" s="7" t="s">
        <v>149</v>
      </c>
      <c r="E839" s="7" t="s">
        <v>221</v>
      </c>
      <c r="F839" s="7" t="s">
        <v>260</v>
      </c>
      <c r="G839" s="7" t="s">
        <v>261</v>
      </c>
      <c r="H839" s="7" t="s">
        <v>262</v>
      </c>
      <c r="I839" s="8" t="n">
        <v>-1574.36</v>
      </c>
    </row>
    <row r="840" customFormat="false" ht="15" hidden="false" customHeight="false" outlineLevel="0" collapsed="false">
      <c r="A840" s="7" t="s">
        <v>137</v>
      </c>
      <c r="B840" s="20" t="n">
        <v>46142</v>
      </c>
      <c r="C840" s="16" t="n">
        <v>2026</v>
      </c>
      <c r="D840" s="7" t="s">
        <v>149</v>
      </c>
      <c r="E840" s="7" t="s">
        <v>219</v>
      </c>
      <c r="F840" s="7" t="s">
        <v>187</v>
      </c>
      <c r="G840" s="7" t="s">
        <v>220</v>
      </c>
      <c r="H840" s="7" t="s">
        <v>187</v>
      </c>
      <c r="I840" s="8" t="n">
        <v>-2266.82</v>
      </c>
    </row>
    <row r="841" customFormat="false" ht="15" hidden="false" customHeight="false" outlineLevel="0" collapsed="false">
      <c r="A841" s="7" t="s">
        <v>137</v>
      </c>
      <c r="B841" s="20" t="n">
        <v>46142</v>
      </c>
      <c r="C841" s="16" t="n">
        <v>2026</v>
      </c>
      <c r="D841" s="7" t="s">
        <v>149</v>
      </c>
      <c r="E841" s="7" t="s">
        <v>236</v>
      </c>
      <c r="F841" s="7" t="s">
        <v>189</v>
      </c>
      <c r="G841" s="7" t="s">
        <v>237</v>
      </c>
      <c r="H841" s="7" t="s">
        <v>238</v>
      </c>
      <c r="I841" s="8" t="n">
        <v>-277.68</v>
      </c>
    </row>
    <row r="842" customFormat="false" ht="15" hidden="false" customHeight="false" outlineLevel="0" collapsed="false">
      <c r="A842" s="7" t="s">
        <v>137</v>
      </c>
      <c r="B842" s="20" t="n">
        <v>46142</v>
      </c>
      <c r="C842" s="16" t="n">
        <v>2026</v>
      </c>
      <c r="D842" s="7" t="s">
        <v>153</v>
      </c>
      <c r="E842" s="7" t="s">
        <v>229</v>
      </c>
      <c r="F842" s="7" t="s">
        <v>239</v>
      </c>
      <c r="G842" s="7" t="s">
        <v>240</v>
      </c>
      <c r="H842" s="7" t="s">
        <v>239</v>
      </c>
      <c r="I842" s="8" t="n">
        <v>-241.31</v>
      </c>
    </row>
    <row r="843" customFormat="false" ht="15" hidden="false" customHeight="false" outlineLevel="0" collapsed="false">
      <c r="A843" s="7" t="s">
        <v>137</v>
      </c>
      <c r="B843" s="20" t="n">
        <v>46142</v>
      </c>
      <c r="C843" s="16" t="n">
        <v>2026</v>
      </c>
      <c r="D843" s="7" t="s">
        <v>153</v>
      </c>
      <c r="E843" s="7" t="s">
        <v>229</v>
      </c>
      <c r="F843" s="7" t="s">
        <v>241</v>
      </c>
      <c r="G843" s="7" t="s">
        <v>242</v>
      </c>
      <c r="H843" s="7" t="s">
        <v>243</v>
      </c>
      <c r="I843" s="8" t="n">
        <v>-312.95</v>
      </c>
    </row>
    <row r="844" customFormat="false" ht="15" hidden="false" customHeight="false" outlineLevel="0" collapsed="false">
      <c r="A844" s="7" t="s">
        <v>137</v>
      </c>
      <c r="B844" s="20" t="n">
        <v>46142</v>
      </c>
      <c r="C844" s="16" t="n">
        <v>2026</v>
      </c>
      <c r="D844" s="7" t="s">
        <v>153</v>
      </c>
      <c r="E844" s="7" t="s">
        <v>229</v>
      </c>
      <c r="F844" s="7" t="s">
        <v>233</v>
      </c>
      <c r="G844" s="7" t="s">
        <v>234</v>
      </c>
      <c r="H844" s="7" t="s">
        <v>235</v>
      </c>
      <c r="I844" s="8" t="n">
        <v>-480</v>
      </c>
    </row>
    <row r="845" customFormat="false" ht="15" hidden="false" customHeight="false" outlineLevel="0" collapsed="false">
      <c r="A845" s="7" t="s">
        <v>137</v>
      </c>
      <c r="B845" s="20" t="n">
        <v>46142</v>
      </c>
      <c r="C845" s="16" t="n">
        <v>2026</v>
      </c>
      <c r="D845" s="7" t="s">
        <v>153</v>
      </c>
      <c r="E845" s="7" t="s">
        <v>229</v>
      </c>
      <c r="F845" s="7" t="s">
        <v>233</v>
      </c>
      <c r="G845" s="7" t="s">
        <v>244</v>
      </c>
      <c r="H845" s="7" t="s">
        <v>245</v>
      </c>
      <c r="I845" s="8" t="n">
        <v>-165</v>
      </c>
    </row>
    <row r="846" customFormat="false" ht="15" hidden="false" customHeight="false" outlineLevel="0" collapsed="false">
      <c r="A846" s="7" t="s">
        <v>137</v>
      </c>
      <c r="B846" s="20" t="n">
        <v>46142</v>
      </c>
      <c r="C846" s="16" t="n">
        <v>2026</v>
      </c>
      <c r="D846" s="7" t="s">
        <v>153</v>
      </c>
      <c r="E846" s="7" t="s">
        <v>219</v>
      </c>
      <c r="F846" s="7" t="s">
        <v>187</v>
      </c>
      <c r="G846" s="7" t="s">
        <v>220</v>
      </c>
      <c r="H846" s="7" t="s">
        <v>187</v>
      </c>
      <c r="I846" s="8" t="n">
        <v>-760.07</v>
      </c>
    </row>
    <row r="847" customFormat="false" ht="15" hidden="false" customHeight="false" outlineLevel="0" collapsed="false">
      <c r="A847" s="7" t="s">
        <v>137</v>
      </c>
      <c r="B847" s="20" t="n">
        <v>46142</v>
      </c>
      <c r="C847" s="16" t="n">
        <v>2026</v>
      </c>
      <c r="D847" s="7" t="s">
        <v>153</v>
      </c>
      <c r="E847" s="7" t="s">
        <v>236</v>
      </c>
      <c r="F847" s="7" t="s">
        <v>189</v>
      </c>
      <c r="G847" s="7" t="s">
        <v>237</v>
      </c>
      <c r="H847" s="7" t="s">
        <v>238</v>
      </c>
      <c r="I847" s="8" t="n">
        <v>-8.19</v>
      </c>
    </row>
    <row r="848" customFormat="false" ht="15" hidden="false" customHeight="false" outlineLevel="0" collapsed="false">
      <c r="A848" s="7" t="s">
        <v>137</v>
      </c>
      <c r="B848" s="20" t="n">
        <v>46142</v>
      </c>
      <c r="C848" s="16" t="n">
        <v>2026</v>
      </c>
      <c r="D848" s="7" t="s">
        <v>153</v>
      </c>
      <c r="E848" s="7" t="s">
        <v>236</v>
      </c>
      <c r="F848" s="7" t="s">
        <v>189</v>
      </c>
      <c r="G848" s="7" t="s">
        <v>246</v>
      </c>
      <c r="H848" s="7" t="s">
        <v>247</v>
      </c>
      <c r="I848" s="8" t="n">
        <v>-1127.47</v>
      </c>
    </row>
    <row r="849" customFormat="false" ht="15" hidden="false" customHeight="false" outlineLevel="0" collapsed="false">
      <c r="A849" s="7" t="s">
        <v>137</v>
      </c>
      <c r="B849" s="20" t="n">
        <v>46142</v>
      </c>
      <c r="C849" s="16" t="n">
        <v>2026</v>
      </c>
      <c r="D849" s="7" t="s">
        <v>144</v>
      </c>
      <c r="E849" s="7" t="s">
        <v>221</v>
      </c>
      <c r="F849" s="7" t="s">
        <v>265</v>
      </c>
      <c r="G849" s="7" t="s">
        <v>266</v>
      </c>
      <c r="H849" s="7" t="s">
        <v>265</v>
      </c>
      <c r="I849" s="8" t="n">
        <v>-9406.25</v>
      </c>
    </row>
    <row r="850" customFormat="false" ht="15" hidden="false" customHeight="false" outlineLevel="0" collapsed="false">
      <c r="A850" s="7" t="s">
        <v>137</v>
      </c>
      <c r="B850" s="20" t="n">
        <v>46142</v>
      </c>
      <c r="C850" s="16" t="n">
        <v>2026</v>
      </c>
      <c r="D850" s="7" t="s">
        <v>144</v>
      </c>
      <c r="E850" s="7" t="s">
        <v>221</v>
      </c>
      <c r="F850" s="7" t="s">
        <v>254</v>
      </c>
      <c r="G850" s="7" t="s">
        <v>255</v>
      </c>
      <c r="H850" s="7" t="s">
        <v>256</v>
      </c>
      <c r="I850" s="8" t="n">
        <v>-4050</v>
      </c>
    </row>
    <row r="851" customFormat="false" ht="15" hidden="false" customHeight="false" outlineLevel="0" collapsed="false">
      <c r="A851" s="7" t="s">
        <v>137</v>
      </c>
      <c r="B851" s="20" t="n">
        <v>46142</v>
      </c>
      <c r="C851" s="16" t="n">
        <v>2026</v>
      </c>
      <c r="D851" s="7" t="s">
        <v>144</v>
      </c>
      <c r="E851" s="7" t="s">
        <v>219</v>
      </c>
      <c r="F851" s="7" t="s">
        <v>187</v>
      </c>
      <c r="G851" s="7" t="s">
        <v>220</v>
      </c>
      <c r="H851" s="7" t="s">
        <v>187</v>
      </c>
      <c r="I851" s="8" t="n">
        <v>-1079.42</v>
      </c>
    </row>
    <row r="852" customFormat="false" ht="15" hidden="false" customHeight="false" outlineLevel="0" collapsed="false">
      <c r="A852" s="7" t="s">
        <v>137</v>
      </c>
      <c r="B852" s="20" t="n">
        <v>46142</v>
      </c>
      <c r="C852" s="16" t="n">
        <v>2026</v>
      </c>
      <c r="D852" s="7" t="s">
        <v>146</v>
      </c>
      <c r="E852" s="7" t="s">
        <v>219</v>
      </c>
      <c r="F852" s="7" t="s">
        <v>187</v>
      </c>
      <c r="G852" s="7" t="s">
        <v>220</v>
      </c>
      <c r="H852" s="7" t="s">
        <v>187</v>
      </c>
      <c r="I852" s="8" t="n">
        <v>-614.9</v>
      </c>
    </row>
    <row r="853" customFormat="false" ht="15" hidden="false" customHeight="false" outlineLevel="0" collapsed="false">
      <c r="A853" s="7" t="s">
        <v>137</v>
      </c>
      <c r="B853" s="20" t="n">
        <v>46173</v>
      </c>
      <c r="C853" s="16" t="n">
        <v>2026</v>
      </c>
      <c r="D853" s="7" t="s">
        <v>141</v>
      </c>
      <c r="E853" s="7" t="s">
        <v>221</v>
      </c>
      <c r="F853" s="7" t="s">
        <v>260</v>
      </c>
      <c r="G853" s="7" t="s">
        <v>261</v>
      </c>
      <c r="H853" s="7" t="s">
        <v>262</v>
      </c>
      <c r="I853" s="8" t="n">
        <v>-916.8</v>
      </c>
    </row>
    <row r="854" customFormat="false" ht="15" hidden="false" customHeight="false" outlineLevel="0" collapsed="false">
      <c r="A854" s="7" t="s">
        <v>137</v>
      </c>
      <c r="B854" s="20" t="n">
        <v>46173</v>
      </c>
      <c r="C854" s="16" t="n">
        <v>2026</v>
      </c>
      <c r="D854" s="7" t="s">
        <v>141</v>
      </c>
      <c r="E854" s="7" t="s">
        <v>219</v>
      </c>
      <c r="F854" s="7" t="s">
        <v>187</v>
      </c>
      <c r="G854" s="7" t="s">
        <v>220</v>
      </c>
      <c r="H854" s="7" t="s">
        <v>187</v>
      </c>
      <c r="I854" s="8" t="n">
        <v>-1693.03</v>
      </c>
    </row>
    <row r="855" customFormat="false" ht="15" hidden="false" customHeight="false" outlineLevel="0" collapsed="false">
      <c r="A855" s="7" t="s">
        <v>137</v>
      </c>
      <c r="B855" s="20" t="n">
        <v>46173</v>
      </c>
      <c r="C855" s="16" t="n">
        <v>2026</v>
      </c>
      <c r="D855" s="7" t="s">
        <v>141</v>
      </c>
      <c r="E855" s="7" t="s">
        <v>225</v>
      </c>
      <c r="F855" s="7" t="s">
        <v>226</v>
      </c>
      <c r="G855" s="7" t="s">
        <v>227</v>
      </c>
      <c r="H855" s="7" t="s">
        <v>228</v>
      </c>
      <c r="I855" s="8" t="n">
        <v>-0.03</v>
      </c>
    </row>
    <row r="856" customFormat="false" ht="15" hidden="false" customHeight="false" outlineLevel="0" collapsed="false">
      <c r="A856" s="7" t="s">
        <v>137</v>
      </c>
      <c r="B856" s="20" t="n">
        <v>46173</v>
      </c>
      <c r="C856" s="16" t="n">
        <v>2026</v>
      </c>
      <c r="D856" s="7" t="s">
        <v>136</v>
      </c>
      <c r="E856" s="7" t="s">
        <v>221</v>
      </c>
      <c r="F856" s="7" t="s">
        <v>265</v>
      </c>
      <c r="G856" s="7" t="s">
        <v>266</v>
      </c>
      <c r="H856" s="7" t="s">
        <v>265</v>
      </c>
      <c r="I856" s="8" t="n">
        <v>-8580.48</v>
      </c>
    </row>
    <row r="857" customFormat="false" ht="15" hidden="false" customHeight="false" outlineLevel="0" collapsed="false">
      <c r="A857" s="7" t="s">
        <v>137</v>
      </c>
      <c r="B857" s="20" t="n">
        <v>46173</v>
      </c>
      <c r="C857" s="16" t="n">
        <v>2026</v>
      </c>
      <c r="D857" s="7" t="s">
        <v>136</v>
      </c>
      <c r="E857" s="7" t="s">
        <v>221</v>
      </c>
      <c r="F857" s="7" t="s">
        <v>263</v>
      </c>
      <c r="G857" s="7" t="s">
        <v>264</v>
      </c>
      <c r="H857" s="7" t="s">
        <v>263</v>
      </c>
      <c r="I857" s="8" t="n">
        <v>-1883.52</v>
      </c>
    </row>
    <row r="858" customFormat="false" ht="15" hidden="false" customHeight="false" outlineLevel="0" collapsed="false">
      <c r="A858" s="7" t="s">
        <v>137</v>
      </c>
      <c r="B858" s="20" t="n">
        <v>46173</v>
      </c>
      <c r="C858" s="16" t="n">
        <v>2026</v>
      </c>
      <c r="D858" s="7" t="s">
        <v>136</v>
      </c>
      <c r="E858" s="7" t="s">
        <v>221</v>
      </c>
      <c r="F858" s="7" t="s">
        <v>222</v>
      </c>
      <c r="G858" s="7" t="s">
        <v>223</v>
      </c>
      <c r="H858" s="7" t="s">
        <v>224</v>
      </c>
      <c r="I858" s="8" t="n">
        <v>-2511.36</v>
      </c>
    </row>
    <row r="859" customFormat="false" ht="15" hidden="false" customHeight="false" outlineLevel="0" collapsed="false">
      <c r="A859" s="7" t="s">
        <v>137</v>
      </c>
      <c r="B859" s="20" t="n">
        <v>46173</v>
      </c>
      <c r="C859" s="16" t="n">
        <v>2026</v>
      </c>
      <c r="D859" s="7" t="s">
        <v>136</v>
      </c>
      <c r="E859" s="7" t="s">
        <v>225</v>
      </c>
      <c r="F859" s="7" t="s">
        <v>226</v>
      </c>
      <c r="G859" s="7" t="s">
        <v>227</v>
      </c>
      <c r="H859" s="7" t="s">
        <v>228</v>
      </c>
      <c r="I859" s="8" t="n">
        <v>12975.36</v>
      </c>
    </row>
    <row r="860" customFormat="false" ht="15" hidden="false" customHeight="false" outlineLevel="0" collapsed="false">
      <c r="A860" s="7" t="s">
        <v>137</v>
      </c>
      <c r="B860" s="20" t="n">
        <v>46173</v>
      </c>
      <c r="C860" s="16" t="n">
        <v>2026</v>
      </c>
      <c r="D860" s="7" t="s">
        <v>149</v>
      </c>
      <c r="E860" s="7" t="s">
        <v>221</v>
      </c>
      <c r="F860" s="7" t="s">
        <v>270</v>
      </c>
      <c r="G860" s="7" t="s">
        <v>271</v>
      </c>
      <c r="H860" s="7" t="s">
        <v>272</v>
      </c>
      <c r="I860" s="8" t="n">
        <v>-1648.93</v>
      </c>
    </row>
    <row r="861" customFormat="false" ht="15" hidden="false" customHeight="false" outlineLevel="0" collapsed="false">
      <c r="A861" s="7" t="s">
        <v>137</v>
      </c>
      <c r="B861" s="20" t="n">
        <v>46173</v>
      </c>
      <c r="C861" s="16" t="n">
        <v>2026</v>
      </c>
      <c r="D861" s="7" t="s">
        <v>149</v>
      </c>
      <c r="E861" s="7" t="s">
        <v>221</v>
      </c>
      <c r="F861" s="7" t="s">
        <v>270</v>
      </c>
      <c r="G861" s="7" t="s">
        <v>273</v>
      </c>
      <c r="H861" s="7" t="s">
        <v>274</v>
      </c>
      <c r="I861" s="8" t="n">
        <v>-241.85</v>
      </c>
    </row>
    <row r="862" customFormat="false" ht="15" hidden="false" customHeight="false" outlineLevel="0" collapsed="false">
      <c r="A862" s="7" t="s">
        <v>137</v>
      </c>
      <c r="B862" s="20" t="n">
        <v>46173</v>
      </c>
      <c r="C862" s="16" t="n">
        <v>2026</v>
      </c>
      <c r="D862" s="7" t="s">
        <v>149</v>
      </c>
      <c r="E862" s="7" t="s">
        <v>221</v>
      </c>
      <c r="F862" s="7" t="s">
        <v>260</v>
      </c>
      <c r="G862" s="7" t="s">
        <v>261</v>
      </c>
      <c r="H862" s="7" t="s">
        <v>262</v>
      </c>
      <c r="I862" s="8" t="n">
        <v>-6723.2</v>
      </c>
    </row>
    <row r="863" customFormat="false" ht="15" hidden="false" customHeight="false" outlineLevel="0" collapsed="false">
      <c r="A863" s="7" t="s">
        <v>137</v>
      </c>
      <c r="B863" s="20" t="n">
        <v>46173</v>
      </c>
      <c r="C863" s="16" t="n">
        <v>2026</v>
      </c>
      <c r="D863" s="7" t="s">
        <v>149</v>
      </c>
      <c r="E863" s="7" t="s">
        <v>219</v>
      </c>
      <c r="F863" s="7" t="s">
        <v>187</v>
      </c>
      <c r="G863" s="7" t="s">
        <v>220</v>
      </c>
      <c r="H863" s="7" t="s">
        <v>187</v>
      </c>
      <c r="I863" s="8" t="n">
        <v>-2266.83</v>
      </c>
    </row>
    <row r="864" customFormat="false" ht="15" hidden="false" customHeight="false" outlineLevel="0" collapsed="false">
      <c r="A864" s="7" t="s">
        <v>137</v>
      </c>
      <c r="B864" s="20" t="n">
        <v>46173</v>
      </c>
      <c r="C864" s="16" t="n">
        <v>2026</v>
      </c>
      <c r="D864" s="7" t="s">
        <v>149</v>
      </c>
      <c r="E864" s="7" t="s">
        <v>236</v>
      </c>
      <c r="F864" s="7" t="s">
        <v>189</v>
      </c>
      <c r="G864" s="7" t="s">
        <v>237</v>
      </c>
      <c r="H864" s="7" t="s">
        <v>238</v>
      </c>
      <c r="I864" s="8" t="n">
        <v>-268.89</v>
      </c>
    </row>
    <row r="865" customFormat="false" ht="15" hidden="false" customHeight="false" outlineLevel="0" collapsed="false">
      <c r="A865" s="7" t="s">
        <v>137</v>
      </c>
      <c r="B865" s="20" t="n">
        <v>46173</v>
      </c>
      <c r="C865" s="16" t="n">
        <v>2026</v>
      </c>
      <c r="D865" s="7" t="s">
        <v>153</v>
      </c>
      <c r="E865" s="7" t="s">
        <v>221</v>
      </c>
      <c r="F865" s="7" t="s">
        <v>270</v>
      </c>
      <c r="G865" s="7" t="s">
        <v>271</v>
      </c>
      <c r="H865" s="7" t="s">
        <v>272</v>
      </c>
      <c r="I865" s="8" t="n">
        <v>-1099.29</v>
      </c>
    </row>
    <row r="866" customFormat="false" ht="15" hidden="false" customHeight="false" outlineLevel="0" collapsed="false">
      <c r="A866" s="7" t="s">
        <v>137</v>
      </c>
      <c r="B866" s="20" t="n">
        <v>46173</v>
      </c>
      <c r="C866" s="16" t="n">
        <v>2026</v>
      </c>
      <c r="D866" s="7" t="s">
        <v>153</v>
      </c>
      <c r="E866" s="7" t="s">
        <v>229</v>
      </c>
      <c r="F866" s="7" t="s">
        <v>239</v>
      </c>
      <c r="G866" s="7" t="s">
        <v>240</v>
      </c>
      <c r="H866" s="7" t="s">
        <v>239</v>
      </c>
      <c r="I866" s="8" t="n">
        <v>-235.2</v>
      </c>
    </row>
    <row r="867" customFormat="false" ht="15" hidden="false" customHeight="false" outlineLevel="0" collapsed="false">
      <c r="A867" s="7" t="s">
        <v>137</v>
      </c>
      <c r="B867" s="20" t="n">
        <v>46173</v>
      </c>
      <c r="C867" s="16" t="n">
        <v>2026</v>
      </c>
      <c r="D867" s="7" t="s">
        <v>153</v>
      </c>
      <c r="E867" s="7" t="s">
        <v>229</v>
      </c>
      <c r="F867" s="7" t="s">
        <v>241</v>
      </c>
      <c r="G867" s="7" t="s">
        <v>242</v>
      </c>
      <c r="H867" s="7" t="s">
        <v>243</v>
      </c>
      <c r="I867" s="8" t="n">
        <v>-274.1</v>
      </c>
    </row>
    <row r="868" customFormat="false" ht="15" hidden="false" customHeight="false" outlineLevel="0" collapsed="false">
      <c r="A868" s="7" t="s">
        <v>137</v>
      </c>
      <c r="B868" s="20" t="n">
        <v>46173</v>
      </c>
      <c r="C868" s="16" t="n">
        <v>2026</v>
      </c>
      <c r="D868" s="7" t="s">
        <v>153</v>
      </c>
      <c r="E868" s="7" t="s">
        <v>229</v>
      </c>
      <c r="F868" s="7" t="s">
        <v>233</v>
      </c>
      <c r="G868" s="7" t="s">
        <v>244</v>
      </c>
      <c r="H868" s="7" t="s">
        <v>245</v>
      </c>
      <c r="I868" s="8" t="n">
        <v>-165</v>
      </c>
    </row>
    <row r="869" customFormat="false" ht="15" hidden="false" customHeight="false" outlineLevel="0" collapsed="false">
      <c r="A869" s="7" t="s">
        <v>137</v>
      </c>
      <c r="B869" s="20" t="n">
        <v>46173</v>
      </c>
      <c r="C869" s="16" t="n">
        <v>2026</v>
      </c>
      <c r="D869" s="7" t="s">
        <v>153</v>
      </c>
      <c r="E869" s="7" t="s">
        <v>219</v>
      </c>
      <c r="F869" s="7" t="s">
        <v>187</v>
      </c>
      <c r="G869" s="7" t="s">
        <v>220</v>
      </c>
      <c r="H869" s="7" t="s">
        <v>187</v>
      </c>
      <c r="I869" s="8" t="n">
        <v>-760.06</v>
      </c>
    </row>
    <row r="870" customFormat="false" ht="15" hidden="false" customHeight="false" outlineLevel="0" collapsed="false">
      <c r="A870" s="7" t="s">
        <v>137</v>
      </c>
      <c r="B870" s="20" t="n">
        <v>46173</v>
      </c>
      <c r="C870" s="16" t="n">
        <v>2026</v>
      </c>
      <c r="D870" s="7" t="s">
        <v>153</v>
      </c>
      <c r="E870" s="7" t="s">
        <v>236</v>
      </c>
      <c r="F870" s="7" t="s">
        <v>189</v>
      </c>
      <c r="G870" s="7" t="s">
        <v>237</v>
      </c>
      <c r="H870" s="7" t="s">
        <v>238</v>
      </c>
      <c r="I870" s="8" t="n">
        <v>-5.47</v>
      </c>
    </row>
    <row r="871" customFormat="false" ht="15" hidden="false" customHeight="false" outlineLevel="0" collapsed="false">
      <c r="A871" s="7" t="s">
        <v>137</v>
      </c>
      <c r="B871" s="20" t="n">
        <v>46173</v>
      </c>
      <c r="C871" s="16" t="n">
        <v>2026</v>
      </c>
      <c r="D871" s="7" t="s">
        <v>153</v>
      </c>
      <c r="E871" s="7" t="s">
        <v>236</v>
      </c>
      <c r="F871" s="7" t="s">
        <v>189</v>
      </c>
      <c r="G871" s="7" t="s">
        <v>246</v>
      </c>
      <c r="H871" s="7" t="s">
        <v>247</v>
      </c>
      <c r="I871" s="8" t="n">
        <v>-1174.6</v>
      </c>
    </row>
    <row r="872" customFormat="false" ht="15" hidden="false" customHeight="false" outlineLevel="0" collapsed="false">
      <c r="A872" s="7" t="s">
        <v>137</v>
      </c>
      <c r="B872" s="20" t="n">
        <v>46173</v>
      </c>
      <c r="C872" s="16" t="n">
        <v>2026</v>
      </c>
      <c r="D872" s="7" t="s">
        <v>144</v>
      </c>
      <c r="E872" s="7" t="s">
        <v>221</v>
      </c>
      <c r="F872" s="7" t="s">
        <v>263</v>
      </c>
      <c r="G872" s="7" t="s">
        <v>264</v>
      </c>
      <c r="H872" s="7" t="s">
        <v>263</v>
      </c>
      <c r="I872" s="8" t="n">
        <v>-3547.5</v>
      </c>
    </row>
    <row r="873" customFormat="false" ht="15" hidden="false" customHeight="false" outlineLevel="0" collapsed="false">
      <c r="A873" s="7" t="s">
        <v>137</v>
      </c>
      <c r="B873" s="20" t="n">
        <v>46173</v>
      </c>
      <c r="C873" s="16" t="n">
        <v>2026</v>
      </c>
      <c r="D873" s="7" t="s">
        <v>144</v>
      </c>
      <c r="E873" s="7" t="s">
        <v>221</v>
      </c>
      <c r="F873" s="7" t="s">
        <v>267</v>
      </c>
      <c r="G873" s="7" t="s">
        <v>268</v>
      </c>
      <c r="H873" s="7" t="s">
        <v>269</v>
      </c>
      <c r="I873" s="8" t="n">
        <v>-897.75</v>
      </c>
    </row>
    <row r="874" customFormat="false" ht="15" hidden="false" customHeight="false" outlineLevel="0" collapsed="false">
      <c r="A874" s="7" t="s">
        <v>137</v>
      </c>
      <c r="B874" s="20" t="n">
        <v>46173</v>
      </c>
      <c r="C874" s="16" t="n">
        <v>2026</v>
      </c>
      <c r="D874" s="7" t="s">
        <v>144</v>
      </c>
      <c r="E874" s="7" t="s">
        <v>219</v>
      </c>
      <c r="F874" s="7" t="s">
        <v>187</v>
      </c>
      <c r="G874" s="7" t="s">
        <v>220</v>
      </c>
      <c r="H874" s="7" t="s">
        <v>187</v>
      </c>
      <c r="I874" s="8" t="n">
        <v>-1079.42</v>
      </c>
    </row>
    <row r="875" customFormat="false" ht="15" hidden="false" customHeight="false" outlineLevel="0" collapsed="false">
      <c r="A875" s="7" t="s">
        <v>137</v>
      </c>
      <c r="B875" s="20" t="n">
        <v>46173</v>
      </c>
      <c r="C875" s="16" t="n">
        <v>2026</v>
      </c>
      <c r="D875" s="7" t="s">
        <v>144</v>
      </c>
      <c r="E875" s="7" t="s">
        <v>225</v>
      </c>
      <c r="F875" s="7" t="s">
        <v>226</v>
      </c>
      <c r="G875" s="7" t="s">
        <v>227</v>
      </c>
      <c r="H875" s="7" t="s">
        <v>228</v>
      </c>
      <c r="I875" s="8" t="n">
        <v>19651.5</v>
      </c>
    </row>
    <row r="876" customFormat="false" ht="15" hidden="false" customHeight="false" outlineLevel="0" collapsed="false">
      <c r="A876" s="7" t="s">
        <v>137</v>
      </c>
      <c r="B876" s="20" t="n">
        <v>46173</v>
      </c>
      <c r="C876" s="16" t="n">
        <v>2026</v>
      </c>
      <c r="D876" s="7" t="s">
        <v>146</v>
      </c>
      <c r="E876" s="7" t="s">
        <v>219</v>
      </c>
      <c r="F876" s="7" t="s">
        <v>187</v>
      </c>
      <c r="G876" s="7" t="s">
        <v>220</v>
      </c>
      <c r="H876" s="7" t="s">
        <v>187</v>
      </c>
      <c r="I876" s="8" t="n">
        <v>-614.9</v>
      </c>
    </row>
    <row r="877" customFormat="false" ht="15" hidden="false" customHeight="false" outlineLevel="0" collapsed="false">
      <c r="A877" s="7" t="s">
        <v>137</v>
      </c>
      <c r="B877" s="20" t="n">
        <v>46203</v>
      </c>
      <c r="C877" s="16" t="n">
        <v>2026</v>
      </c>
      <c r="D877" s="7" t="s">
        <v>141</v>
      </c>
      <c r="E877" s="7" t="s">
        <v>221</v>
      </c>
      <c r="F877" s="7" t="s">
        <v>263</v>
      </c>
      <c r="G877" s="7" t="s">
        <v>264</v>
      </c>
      <c r="H877" s="7" t="s">
        <v>263</v>
      </c>
      <c r="I877" s="8" t="n">
        <v>-1935</v>
      </c>
    </row>
    <row r="878" customFormat="false" ht="15" hidden="false" customHeight="false" outlineLevel="0" collapsed="false">
      <c r="A878" s="7" t="s">
        <v>137</v>
      </c>
      <c r="B878" s="20" t="n">
        <v>46203</v>
      </c>
      <c r="C878" s="16" t="n">
        <v>2026</v>
      </c>
      <c r="D878" s="7" t="s">
        <v>141</v>
      </c>
      <c r="E878" s="7" t="s">
        <v>219</v>
      </c>
      <c r="F878" s="7" t="s">
        <v>187</v>
      </c>
      <c r="G878" s="7" t="s">
        <v>220</v>
      </c>
      <c r="H878" s="7" t="s">
        <v>187</v>
      </c>
      <c r="I878" s="8" t="n">
        <v>-1693.01</v>
      </c>
    </row>
    <row r="879" customFormat="false" ht="15" hidden="false" customHeight="false" outlineLevel="0" collapsed="false">
      <c r="A879" s="7" t="s">
        <v>137</v>
      </c>
      <c r="B879" s="20" t="n">
        <v>46203</v>
      </c>
      <c r="C879" s="16" t="n">
        <v>2026</v>
      </c>
      <c r="D879" s="7" t="s">
        <v>141</v>
      </c>
      <c r="E879" s="7" t="s">
        <v>225</v>
      </c>
      <c r="F879" s="7" t="s">
        <v>226</v>
      </c>
      <c r="G879" s="7" t="s">
        <v>227</v>
      </c>
      <c r="H879" s="7" t="s">
        <v>228</v>
      </c>
      <c r="I879" s="8" t="n">
        <v>1934.94</v>
      </c>
    </row>
    <row r="880" customFormat="false" ht="15" hidden="false" customHeight="false" outlineLevel="0" collapsed="false">
      <c r="A880" s="7" t="s">
        <v>137</v>
      </c>
      <c r="B880" s="20" t="n">
        <v>46203</v>
      </c>
      <c r="C880" s="16" t="n">
        <v>2026</v>
      </c>
      <c r="D880" s="7" t="s">
        <v>136</v>
      </c>
      <c r="E880" s="7" t="s">
        <v>221</v>
      </c>
      <c r="F880" s="7" t="s">
        <v>263</v>
      </c>
      <c r="G880" s="7" t="s">
        <v>264</v>
      </c>
      <c r="H880" s="7" t="s">
        <v>263</v>
      </c>
      <c r="I880" s="8" t="n">
        <v>-1464.96</v>
      </c>
    </row>
    <row r="881" customFormat="false" ht="15" hidden="false" customHeight="false" outlineLevel="0" collapsed="false">
      <c r="A881" s="7" t="s">
        <v>137</v>
      </c>
      <c r="B881" s="20" t="n">
        <v>46203</v>
      </c>
      <c r="C881" s="16" t="n">
        <v>2026</v>
      </c>
      <c r="D881" s="7" t="s">
        <v>136</v>
      </c>
      <c r="E881" s="7" t="s">
        <v>221</v>
      </c>
      <c r="F881" s="7" t="s">
        <v>222</v>
      </c>
      <c r="G881" s="7" t="s">
        <v>223</v>
      </c>
      <c r="H881" s="7" t="s">
        <v>224</v>
      </c>
      <c r="I881" s="8" t="n">
        <v>-941.76</v>
      </c>
    </row>
    <row r="882" customFormat="false" ht="15" hidden="false" customHeight="false" outlineLevel="0" collapsed="false">
      <c r="A882" s="7" t="s">
        <v>137</v>
      </c>
      <c r="B882" s="20" t="n">
        <v>46203</v>
      </c>
      <c r="C882" s="16" t="n">
        <v>2026</v>
      </c>
      <c r="D882" s="7" t="s">
        <v>136</v>
      </c>
      <c r="E882" s="7" t="s">
        <v>225</v>
      </c>
      <c r="F882" s="7" t="s">
        <v>226</v>
      </c>
      <c r="G882" s="7" t="s">
        <v>227</v>
      </c>
      <c r="H882" s="7" t="s">
        <v>228</v>
      </c>
      <c r="I882" s="8" t="n">
        <v>2406.72</v>
      </c>
    </row>
    <row r="883" customFormat="false" ht="15" hidden="false" customHeight="false" outlineLevel="0" collapsed="false">
      <c r="A883" s="7" t="s">
        <v>137</v>
      </c>
      <c r="B883" s="20" t="n">
        <v>46203</v>
      </c>
      <c r="C883" s="16" t="n">
        <v>2026</v>
      </c>
      <c r="D883" s="7" t="s">
        <v>149</v>
      </c>
      <c r="E883" s="7" t="s">
        <v>248</v>
      </c>
      <c r="F883" s="7" t="s">
        <v>278</v>
      </c>
      <c r="G883" s="7" t="s">
        <v>279</v>
      </c>
      <c r="H883" s="7" t="s">
        <v>280</v>
      </c>
      <c r="I883" s="8" t="n">
        <v>23478</v>
      </c>
    </row>
    <row r="884" customFormat="false" ht="15" hidden="false" customHeight="false" outlineLevel="0" collapsed="false">
      <c r="A884" s="7" t="s">
        <v>137</v>
      </c>
      <c r="B884" s="20" t="n">
        <v>46203</v>
      </c>
      <c r="C884" s="16" t="n">
        <v>2026</v>
      </c>
      <c r="D884" s="7" t="s">
        <v>149</v>
      </c>
      <c r="E884" s="7" t="s">
        <v>248</v>
      </c>
      <c r="F884" s="7" t="s">
        <v>278</v>
      </c>
      <c r="G884" s="7" t="s">
        <v>281</v>
      </c>
      <c r="H884" s="7" t="s">
        <v>282</v>
      </c>
      <c r="I884" s="8" t="n">
        <v>3009.83</v>
      </c>
    </row>
    <row r="885" customFormat="false" ht="15" hidden="false" customHeight="false" outlineLevel="0" collapsed="false">
      <c r="A885" s="7" t="s">
        <v>137</v>
      </c>
      <c r="B885" s="20" t="n">
        <v>46203</v>
      </c>
      <c r="C885" s="16" t="n">
        <v>2026</v>
      </c>
      <c r="D885" s="7" t="s">
        <v>149</v>
      </c>
      <c r="E885" s="7" t="s">
        <v>221</v>
      </c>
      <c r="F885" s="7" t="s">
        <v>270</v>
      </c>
      <c r="G885" s="7" t="s">
        <v>271</v>
      </c>
      <c r="H885" s="7" t="s">
        <v>272</v>
      </c>
      <c r="I885" s="8" t="n">
        <v>-2801.15</v>
      </c>
    </row>
    <row r="886" customFormat="false" ht="15" hidden="false" customHeight="false" outlineLevel="0" collapsed="false">
      <c r="A886" s="7" t="s">
        <v>137</v>
      </c>
      <c r="B886" s="20" t="n">
        <v>46203</v>
      </c>
      <c r="C886" s="16" t="n">
        <v>2026</v>
      </c>
      <c r="D886" s="7" t="s">
        <v>149</v>
      </c>
      <c r="E886" s="7" t="s">
        <v>221</v>
      </c>
      <c r="F886" s="7" t="s">
        <v>270</v>
      </c>
      <c r="G886" s="7" t="s">
        <v>273</v>
      </c>
      <c r="H886" s="7" t="s">
        <v>274</v>
      </c>
      <c r="I886" s="8" t="n">
        <v>-410.84</v>
      </c>
    </row>
    <row r="887" customFormat="false" ht="15" hidden="false" customHeight="false" outlineLevel="0" collapsed="false">
      <c r="A887" s="7" t="s">
        <v>137</v>
      </c>
      <c r="B887" s="20" t="n">
        <v>46203</v>
      </c>
      <c r="C887" s="16" t="n">
        <v>2026</v>
      </c>
      <c r="D887" s="7" t="s">
        <v>149</v>
      </c>
      <c r="E887" s="7" t="s">
        <v>221</v>
      </c>
      <c r="F887" s="7" t="s">
        <v>260</v>
      </c>
      <c r="G887" s="7" t="s">
        <v>261</v>
      </c>
      <c r="H887" s="7" t="s">
        <v>262</v>
      </c>
      <c r="I887" s="8" t="n">
        <v>-4798.08</v>
      </c>
    </row>
    <row r="888" customFormat="false" ht="15" hidden="false" customHeight="false" outlineLevel="0" collapsed="false">
      <c r="A888" s="7" t="s">
        <v>137</v>
      </c>
      <c r="B888" s="20" t="n">
        <v>46203</v>
      </c>
      <c r="C888" s="16" t="n">
        <v>2026</v>
      </c>
      <c r="D888" s="7" t="s">
        <v>149</v>
      </c>
      <c r="E888" s="7" t="s">
        <v>221</v>
      </c>
      <c r="F888" s="7" t="s">
        <v>283</v>
      </c>
      <c r="G888" s="7" t="s">
        <v>284</v>
      </c>
      <c r="H888" s="7" t="s">
        <v>285</v>
      </c>
      <c r="I888" s="8" t="n">
        <v>-2300</v>
      </c>
    </row>
    <row r="889" customFormat="false" ht="15" hidden="false" customHeight="false" outlineLevel="0" collapsed="false">
      <c r="A889" s="7" t="s">
        <v>137</v>
      </c>
      <c r="B889" s="20" t="n">
        <v>46203</v>
      </c>
      <c r="C889" s="16" t="n">
        <v>2026</v>
      </c>
      <c r="D889" s="7" t="s">
        <v>149</v>
      </c>
      <c r="E889" s="7" t="s">
        <v>219</v>
      </c>
      <c r="F889" s="7" t="s">
        <v>187</v>
      </c>
      <c r="G889" s="7" t="s">
        <v>220</v>
      </c>
      <c r="H889" s="7" t="s">
        <v>187</v>
      </c>
      <c r="I889" s="8" t="n">
        <v>-2266.82</v>
      </c>
    </row>
    <row r="890" customFormat="false" ht="15" hidden="false" customHeight="false" outlineLevel="0" collapsed="false">
      <c r="A890" s="7" t="s">
        <v>137</v>
      </c>
      <c r="B890" s="20" t="n">
        <v>46203</v>
      </c>
      <c r="C890" s="16" t="n">
        <v>2026</v>
      </c>
      <c r="D890" s="7" t="s">
        <v>149</v>
      </c>
      <c r="E890" s="7" t="s">
        <v>236</v>
      </c>
      <c r="F890" s="7" t="s">
        <v>189</v>
      </c>
      <c r="G890" s="7" t="s">
        <v>237</v>
      </c>
      <c r="H890" s="7" t="s">
        <v>238</v>
      </c>
      <c r="I890" s="8" t="n">
        <v>-260.04</v>
      </c>
    </row>
    <row r="891" customFormat="false" ht="15" hidden="false" customHeight="false" outlineLevel="0" collapsed="false">
      <c r="A891" s="7" t="s">
        <v>137</v>
      </c>
      <c r="B891" s="20" t="n">
        <v>46203</v>
      </c>
      <c r="C891" s="16" t="n">
        <v>2026</v>
      </c>
      <c r="D891" s="7" t="s">
        <v>153</v>
      </c>
      <c r="E891" s="7" t="s">
        <v>221</v>
      </c>
      <c r="F891" s="7" t="s">
        <v>270</v>
      </c>
      <c r="G891" s="7" t="s">
        <v>271</v>
      </c>
      <c r="H891" s="7" t="s">
        <v>272</v>
      </c>
      <c r="I891" s="8" t="n">
        <v>-1867.43</v>
      </c>
    </row>
    <row r="892" customFormat="false" ht="15" hidden="false" customHeight="false" outlineLevel="0" collapsed="false">
      <c r="A892" s="7" t="s">
        <v>137</v>
      </c>
      <c r="B892" s="20" t="n">
        <v>46203</v>
      </c>
      <c r="C892" s="16" t="n">
        <v>2026</v>
      </c>
      <c r="D892" s="7" t="s">
        <v>153</v>
      </c>
      <c r="E892" s="7" t="s">
        <v>229</v>
      </c>
      <c r="F892" s="7" t="s">
        <v>239</v>
      </c>
      <c r="G892" s="7" t="s">
        <v>240</v>
      </c>
      <c r="H892" s="7" t="s">
        <v>239</v>
      </c>
      <c r="I892" s="8" t="n">
        <v>-252.11</v>
      </c>
    </row>
    <row r="893" customFormat="false" ht="15" hidden="false" customHeight="false" outlineLevel="0" collapsed="false">
      <c r="A893" s="7" t="s">
        <v>137</v>
      </c>
      <c r="B893" s="20" t="n">
        <v>46203</v>
      </c>
      <c r="C893" s="16" t="n">
        <v>2026</v>
      </c>
      <c r="D893" s="7" t="s">
        <v>153</v>
      </c>
      <c r="E893" s="7" t="s">
        <v>229</v>
      </c>
      <c r="F893" s="7" t="s">
        <v>241</v>
      </c>
      <c r="G893" s="7" t="s">
        <v>242</v>
      </c>
      <c r="H893" s="7" t="s">
        <v>243</v>
      </c>
      <c r="I893" s="8" t="n">
        <v>-325.93</v>
      </c>
    </row>
    <row r="894" customFormat="false" ht="15" hidden="false" customHeight="false" outlineLevel="0" collapsed="false">
      <c r="A894" s="7" t="s">
        <v>137</v>
      </c>
      <c r="B894" s="20" t="n">
        <v>46203</v>
      </c>
      <c r="C894" s="16" t="n">
        <v>2026</v>
      </c>
      <c r="D894" s="7" t="s">
        <v>153</v>
      </c>
      <c r="E894" s="7" t="s">
        <v>229</v>
      </c>
      <c r="F894" s="7" t="s">
        <v>233</v>
      </c>
      <c r="G894" s="7" t="s">
        <v>244</v>
      </c>
      <c r="H894" s="7" t="s">
        <v>245</v>
      </c>
      <c r="I894" s="8" t="n">
        <v>-165</v>
      </c>
    </row>
    <row r="895" customFormat="false" ht="15" hidden="false" customHeight="false" outlineLevel="0" collapsed="false">
      <c r="A895" s="7" t="s">
        <v>137</v>
      </c>
      <c r="B895" s="20" t="n">
        <v>46203</v>
      </c>
      <c r="C895" s="16" t="n">
        <v>2026</v>
      </c>
      <c r="D895" s="7" t="s">
        <v>153</v>
      </c>
      <c r="E895" s="7" t="s">
        <v>219</v>
      </c>
      <c r="F895" s="7" t="s">
        <v>187</v>
      </c>
      <c r="G895" s="7" t="s">
        <v>220</v>
      </c>
      <c r="H895" s="7" t="s">
        <v>187</v>
      </c>
      <c r="I895" s="8" t="n">
        <v>-760.07</v>
      </c>
    </row>
    <row r="896" customFormat="false" ht="15" hidden="false" customHeight="false" outlineLevel="0" collapsed="false">
      <c r="A896" s="7" t="s">
        <v>137</v>
      </c>
      <c r="B896" s="20" t="n">
        <v>46203</v>
      </c>
      <c r="C896" s="16" t="n">
        <v>2026</v>
      </c>
      <c r="D896" s="7" t="s">
        <v>153</v>
      </c>
      <c r="E896" s="7" t="s">
        <v>236</v>
      </c>
      <c r="F896" s="7" t="s">
        <v>189</v>
      </c>
      <c r="G896" s="7" t="s">
        <v>237</v>
      </c>
      <c r="H896" s="7" t="s">
        <v>238</v>
      </c>
      <c r="I896" s="8" t="n">
        <v>-2.74</v>
      </c>
    </row>
    <row r="897" customFormat="false" ht="15" hidden="false" customHeight="false" outlineLevel="0" collapsed="false">
      <c r="A897" s="7" t="s">
        <v>137</v>
      </c>
      <c r="B897" s="20" t="n">
        <v>46203</v>
      </c>
      <c r="C897" s="16" t="n">
        <v>2026</v>
      </c>
      <c r="D897" s="7" t="s">
        <v>153</v>
      </c>
      <c r="E897" s="7" t="s">
        <v>236</v>
      </c>
      <c r="F897" s="7" t="s">
        <v>189</v>
      </c>
      <c r="G897" s="7" t="s">
        <v>246</v>
      </c>
      <c r="H897" s="7" t="s">
        <v>247</v>
      </c>
      <c r="I897" s="8" t="n">
        <v>-1324.93</v>
      </c>
    </row>
    <row r="898" customFormat="false" ht="15" hidden="false" customHeight="false" outlineLevel="0" collapsed="false">
      <c r="A898" s="7" t="s">
        <v>137</v>
      </c>
      <c r="B898" s="20" t="n">
        <v>46203</v>
      </c>
      <c r="C898" s="16" t="n">
        <v>2026</v>
      </c>
      <c r="D898" s="7" t="s">
        <v>144</v>
      </c>
      <c r="E898" s="7" t="s">
        <v>221</v>
      </c>
      <c r="F898" s="7" t="s">
        <v>263</v>
      </c>
      <c r="G898" s="7" t="s">
        <v>264</v>
      </c>
      <c r="H898" s="7" t="s">
        <v>263</v>
      </c>
      <c r="I898" s="8" t="n">
        <v>-2902.5</v>
      </c>
    </row>
    <row r="899" customFormat="false" ht="15" hidden="false" customHeight="false" outlineLevel="0" collapsed="false">
      <c r="A899" s="7" t="s">
        <v>137</v>
      </c>
      <c r="B899" s="20" t="n">
        <v>46203</v>
      </c>
      <c r="C899" s="16" t="n">
        <v>2026</v>
      </c>
      <c r="D899" s="7" t="s">
        <v>144</v>
      </c>
      <c r="E899" s="7" t="s">
        <v>219</v>
      </c>
      <c r="F899" s="7" t="s">
        <v>187</v>
      </c>
      <c r="G899" s="7" t="s">
        <v>220</v>
      </c>
      <c r="H899" s="7" t="s">
        <v>187</v>
      </c>
      <c r="I899" s="8" t="n">
        <v>-1079.41</v>
      </c>
    </row>
    <row r="900" customFormat="false" ht="15" hidden="false" customHeight="false" outlineLevel="0" collapsed="false">
      <c r="A900" s="7" t="s">
        <v>137</v>
      </c>
      <c r="B900" s="20" t="n">
        <v>46203</v>
      </c>
      <c r="C900" s="16" t="n">
        <v>2026</v>
      </c>
      <c r="D900" s="7" t="s">
        <v>144</v>
      </c>
      <c r="E900" s="7" t="s">
        <v>225</v>
      </c>
      <c r="F900" s="7" t="s">
        <v>226</v>
      </c>
      <c r="G900" s="7" t="s">
        <v>227</v>
      </c>
      <c r="H900" s="7" t="s">
        <v>228</v>
      </c>
      <c r="I900" s="8" t="n">
        <v>2902.5</v>
      </c>
    </row>
    <row r="901" customFormat="false" ht="15" hidden="false" customHeight="false" outlineLevel="0" collapsed="false">
      <c r="A901" s="7" t="s">
        <v>137</v>
      </c>
      <c r="B901" s="20" t="n">
        <v>46203</v>
      </c>
      <c r="C901" s="16" t="n">
        <v>2026</v>
      </c>
      <c r="D901" s="7" t="s">
        <v>146</v>
      </c>
      <c r="E901" s="7" t="s">
        <v>248</v>
      </c>
      <c r="F901" s="7" t="s">
        <v>249</v>
      </c>
      <c r="G901" s="7" t="s">
        <v>250</v>
      </c>
      <c r="H901" s="7" t="s">
        <v>251</v>
      </c>
      <c r="I901" s="8" t="n">
        <v>11551.68</v>
      </c>
    </row>
    <row r="902" customFormat="false" ht="15" hidden="false" customHeight="false" outlineLevel="0" collapsed="false">
      <c r="A902" s="7" t="s">
        <v>137</v>
      </c>
      <c r="B902" s="20" t="n">
        <v>46203</v>
      </c>
      <c r="C902" s="16" t="n">
        <v>2026</v>
      </c>
      <c r="D902" s="7" t="s">
        <v>146</v>
      </c>
      <c r="E902" s="7" t="s">
        <v>221</v>
      </c>
      <c r="F902" s="7" t="s">
        <v>267</v>
      </c>
      <c r="G902" s="7" t="s">
        <v>268</v>
      </c>
      <c r="H902" s="7" t="s">
        <v>269</v>
      </c>
      <c r="I902" s="8" t="n">
        <v>-635.36</v>
      </c>
    </row>
    <row r="903" customFormat="false" ht="15" hidden="false" customHeight="false" outlineLevel="0" collapsed="false">
      <c r="A903" s="7" t="s">
        <v>137</v>
      </c>
      <c r="B903" s="20" t="n">
        <v>46203</v>
      </c>
      <c r="C903" s="16" t="n">
        <v>2026</v>
      </c>
      <c r="D903" s="7" t="s">
        <v>146</v>
      </c>
      <c r="E903" s="7" t="s">
        <v>221</v>
      </c>
      <c r="F903" s="7" t="s">
        <v>260</v>
      </c>
      <c r="G903" s="7" t="s">
        <v>261</v>
      </c>
      <c r="H903" s="7" t="s">
        <v>262</v>
      </c>
      <c r="I903" s="8" t="n">
        <v>-1395.2</v>
      </c>
    </row>
    <row r="904" customFormat="false" ht="15" hidden="false" customHeight="false" outlineLevel="0" collapsed="false">
      <c r="A904" s="7" t="s">
        <v>137</v>
      </c>
      <c r="B904" s="20" t="n">
        <v>46203</v>
      </c>
      <c r="C904" s="16" t="n">
        <v>2026</v>
      </c>
      <c r="D904" s="7" t="s">
        <v>146</v>
      </c>
      <c r="E904" s="7" t="s">
        <v>219</v>
      </c>
      <c r="F904" s="7" t="s">
        <v>187</v>
      </c>
      <c r="G904" s="7" t="s">
        <v>220</v>
      </c>
      <c r="H904" s="7" t="s">
        <v>187</v>
      </c>
      <c r="I904" s="8" t="n">
        <v>-614.91</v>
      </c>
    </row>
    <row r="905" customFormat="false" ht="15" hidden="false" customHeight="false" outlineLevel="0" collapsed="false">
      <c r="A905" s="7" t="s">
        <v>137</v>
      </c>
      <c r="B905" s="20" t="n">
        <v>46203</v>
      </c>
      <c r="C905" s="16" t="n">
        <v>2026</v>
      </c>
      <c r="D905" s="7" t="s">
        <v>146</v>
      </c>
      <c r="E905" s="7" t="s">
        <v>225</v>
      </c>
      <c r="F905" s="7" t="s">
        <v>226</v>
      </c>
      <c r="G905" s="7" t="s">
        <v>227</v>
      </c>
      <c r="H905" s="7" t="s">
        <v>228</v>
      </c>
      <c r="I905" s="8" t="n">
        <v>-6768.16</v>
      </c>
    </row>
    <row r="906" customFormat="false" ht="15" hidden="false" customHeight="false" outlineLevel="0" collapsed="false">
      <c r="A906" s="7" t="s">
        <v>137</v>
      </c>
      <c r="B906" s="20" t="n">
        <v>46234</v>
      </c>
      <c r="C906" s="16" t="n">
        <v>2026</v>
      </c>
      <c r="D906" s="7" t="s">
        <v>141</v>
      </c>
      <c r="E906" s="7" t="s">
        <v>219</v>
      </c>
      <c r="F906" s="7" t="s">
        <v>187</v>
      </c>
      <c r="G906" s="7" t="s">
        <v>220</v>
      </c>
      <c r="H906" s="7" t="s">
        <v>187</v>
      </c>
      <c r="I906" s="8" t="n">
        <v>-1693.02</v>
      </c>
    </row>
    <row r="907" customFormat="false" ht="15" hidden="false" customHeight="false" outlineLevel="0" collapsed="false">
      <c r="A907" s="7" t="s">
        <v>137</v>
      </c>
      <c r="B907" s="20" t="n">
        <v>46234</v>
      </c>
      <c r="C907" s="16" t="n">
        <v>2026</v>
      </c>
      <c r="D907" s="7" t="s">
        <v>141</v>
      </c>
      <c r="E907" s="7" t="s">
        <v>225</v>
      </c>
      <c r="F907" s="7" t="s">
        <v>226</v>
      </c>
      <c r="G907" s="7" t="s">
        <v>227</v>
      </c>
      <c r="H907" s="7" t="s">
        <v>228</v>
      </c>
      <c r="I907" s="8" t="n">
        <v>-0.07</v>
      </c>
    </row>
    <row r="908" customFormat="false" ht="15" hidden="false" customHeight="false" outlineLevel="0" collapsed="false">
      <c r="A908" s="7" t="s">
        <v>137</v>
      </c>
      <c r="B908" s="20" t="n">
        <v>46234</v>
      </c>
      <c r="C908" s="16" t="n">
        <v>2026</v>
      </c>
      <c r="D908" s="7" t="s">
        <v>136</v>
      </c>
      <c r="E908" s="7" t="s">
        <v>221</v>
      </c>
      <c r="F908" s="7" t="s">
        <v>263</v>
      </c>
      <c r="G908" s="7" t="s">
        <v>264</v>
      </c>
      <c r="H908" s="7" t="s">
        <v>263</v>
      </c>
      <c r="I908" s="8" t="n">
        <v>-1464.96</v>
      </c>
    </row>
    <row r="909" customFormat="false" ht="15" hidden="false" customHeight="false" outlineLevel="0" collapsed="false">
      <c r="A909" s="7" t="s">
        <v>137</v>
      </c>
      <c r="B909" s="20" t="n">
        <v>46234</v>
      </c>
      <c r="C909" s="16" t="n">
        <v>2026</v>
      </c>
      <c r="D909" s="7" t="s">
        <v>136</v>
      </c>
      <c r="E909" s="7" t="s">
        <v>221</v>
      </c>
      <c r="F909" s="7" t="s">
        <v>222</v>
      </c>
      <c r="G909" s="7" t="s">
        <v>223</v>
      </c>
      <c r="H909" s="7" t="s">
        <v>224</v>
      </c>
      <c r="I909" s="8" t="n">
        <v>-941.76</v>
      </c>
    </row>
    <row r="910" customFormat="false" ht="15" hidden="false" customHeight="false" outlineLevel="0" collapsed="false">
      <c r="A910" s="7" t="s">
        <v>137</v>
      </c>
      <c r="B910" s="20" t="n">
        <v>46234</v>
      </c>
      <c r="C910" s="16" t="n">
        <v>2026</v>
      </c>
      <c r="D910" s="7" t="s">
        <v>136</v>
      </c>
      <c r="E910" s="7" t="s">
        <v>225</v>
      </c>
      <c r="F910" s="7" t="s">
        <v>226</v>
      </c>
      <c r="G910" s="7" t="s">
        <v>227</v>
      </c>
      <c r="H910" s="7" t="s">
        <v>228</v>
      </c>
      <c r="I910" s="8" t="n">
        <v>2406.72</v>
      </c>
    </row>
    <row r="911" customFormat="false" ht="15" hidden="false" customHeight="false" outlineLevel="0" collapsed="false">
      <c r="A911" s="7" t="s">
        <v>137</v>
      </c>
      <c r="B911" s="20" t="n">
        <v>46234</v>
      </c>
      <c r="C911" s="16" t="n">
        <v>2026</v>
      </c>
      <c r="D911" s="7" t="s">
        <v>149</v>
      </c>
      <c r="E911" s="7" t="s">
        <v>248</v>
      </c>
      <c r="F911" s="7" t="s">
        <v>278</v>
      </c>
      <c r="G911" s="7" t="s">
        <v>279</v>
      </c>
      <c r="H911" s="7" t="s">
        <v>280</v>
      </c>
      <c r="I911" s="8" t="n">
        <v>29799</v>
      </c>
    </row>
    <row r="912" customFormat="false" ht="15" hidden="false" customHeight="false" outlineLevel="0" collapsed="false">
      <c r="A912" s="7" t="s">
        <v>137</v>
      </c>
      <c r="B912" s="20" t="n">
        <v>46234</v>
      </c>
      <c r="C912" s="16" t="n">
        <v>2026</v>
      </c>
      <c r="D912" s="7" t="s">
        <v>149</v>
      </c>
      <c r="E912" s="7" t="s">
        <v>248</v>
      </c>
      <c r="F912" s="7" t="s">
        <v>278</v>
      </c>
      <c r="G912" s="7" t="s">
        <v>281</v>
      </c>
      <c r="H912" s="7" t="s">
        <v>282</v>
      </c>
      <c r="I912" s="8" t="n">
        <v>3820.16</v>
      </c>
    </row>
    <row r="913" customFormat="false" ht="15" hidden="false" customHeight="false" outlineLevel="0" collapsed="false">
      <c r="A913" s="7" t="s">
        <v>137</v>
      </c>
      <c r="B913" s="20" t="n">
        <v>46234</v>
      </c>
      <c r="C913" s="16" t="n">
        <v>2026</v>
      </c>
      <c r="D913" s="7" t="s">
        <v>149</v>
      </c>
      <c r="E913" s="7" t="s">
        <v>221</v>
      </c>
      <c r="F913" s="7" t="s">
        <v>270</v>
      </c>
      <c r="G913" s="7" t="s">
        <v>271</v>
      </c>
      <c r="H913" s="7" t="s">
        <v>272</v>
      </c>
      <c r="I913" s="8" t="n">
        <v>-2356.83</v>
      </c>
    </row>
    <row r="914" customFormat="false" ht="15" hidden="false" customHeight="false" outlineLevel="0" collapsed="false">
      <c r="A914" s="7" t="s">
        <v>137</v>
      </c>
      <c r="B914" s="20" t="n">
        <v>46234</v>
      </c>
      <c r="C914" s="16" t="n">
        <v>2026</v>
      </c>
      <c r="D914" s="7" t="s">
        <v>149</v>
      </c>
      <c r="E914" s="7" t="s">
        <v>221</v>
      </c>
      <c r="F914" s="7" t="s">
        <v>270</v>
      </c>
      <c r="G914" s="7" t="s">
        <v>273</v>
      </c>
      <c r="H914" s="7" t="s">
        <v>274</v>
      </c>
      <c r="I914" s="8" t="n">
        <v>-345.66</v>
      </c>
    </row>
    <row r="915" customFormat="false" ht="15" hidden="false" customHeight="false" outlineLevel="0" collapsed="false">
      <c r="A915" s="7" t="s">
        <v>137</v>
      </c>
      <c r="B915" s="20" t="n">
        <v>46234</v>
      </c>
      <c r="C915" s="16" t="n">
        <v>2026</v>
      </c>
      <c r="D915" s="7" t="s">
        <v>149</v>
      </c>
      <c r="E915" s="7" t="s">
        <v>221</v>
      </c>
      <c r="F915" s="7" t="s">
        <v>267</v>
      </c>
      <c r="G915" s="7" t="s">
        <v>268</v>
      </c>
      <c r="H915" s="7" t="s">
        <v>269</v>
      </c>
      <c r="I915" s="8" t="n">
        <v>-7068.95</v>
      </c>
    </row>
    <row r="916" customFormat="false" ht="15" hidden="false" customHeight="false" outlineLevel="0" collapsed="false">
      <c r="A916" s="7" t="s">
        <v>137</v>
      </c>
      <c r="B916" s="20" t="n">
        <v>46234</v>
      </c>
      <c r="C916" s="16" t="n">
        <v>2026</v>
      </c>
      <c r="D916" s="7" t="s">
        <v>149</v>
      </c>
      <c r="E916" s="7" t="s">
        <v>219</v>
      </c>
      <c r="F916" s="7" t="s">
        <v>187</v>
      </c>
      <c r="G916" s="7" t="s">
        <v>220</v>
      </c>
      <c r="H916" s="7" t="s">
        <v>187</v>
      </c>
      <c r="I916" s="8" t="n">
        <v>-2266.83</v>
      </c>
    </row>
    <row r="917" customFormat="false" ht="15" hidden="false" customHeight="false" outlineLevel="0" collapsed="false">
      <c r="A917" s="7" t="s">
        <v>137</v>
      </c>
      <c r="B917" s="20" t="n">
        <v>46234</v>
      </c>
      <c r="C917" s="16" t="n">
        <v>2026</v>
      </c>
      <c r="D917" s="7" t="s">
        <v>149</v>
      </c>
      <c r="E917" s="7" t="s">
        <v>236</v>
      </c>
      <c r="F917" s="7" t="s">
        <v>189</v>
      </c>
      <c r="G917" s="7" t="s">
        <v>237</v>
      </c>
      <c r="H917" s="7" t="s">
        <v>238</v>
      </c>
      <c r="I917" s="8" t="n">
        <v>-251.15</v>
      </c>
    </row>
    <row r="918" customFormat="false" ht="15" hidden="false" customHeight="false" outlineLevel="0" collapsed="false">
      <c r="A918" s="7" t="s">
        <v>137</v>
      </c>
      <c r="B918" s="20" t="n">
        <v>46234</v>
      </c>
      <c r="C918" s="16" t="n">
        <v>2026</v>
      </c>
      <c r="D918" s="7" t="s">
        <v>153</v>
      </c>
      <c r="E918" s="7" t="s">
        <v>221</v>
      </c>
      <c r="F918" s="7" t="s">
        <v>270</v>
      </c>
      <c r="G918" s="7" t="s">
        <v>271</v>
      </c>
      <c r="H918" s="7" t="s">
        <v>272</v>
      </c>
      <c r="I918" s="8" t="n">
        <v>-1571.22</v>
      </c>
    </row>
    <row r="919" customFormat="false" ht="15" hidden="false" customHeight="false" outlineLevel="0" collapsed="false">
      <c r="A919" s="7" t="s">
        <v>137</v>
      </c>
      <c r="B919" s="20" t="n">
        <v>46234</v>
      </c>
      <c r="C919" s="16" t="n">
        <v>2026</v>
      </c>
      <c r="D919" s="7" t="s">
        <v>153</v>
      </c>
      <c r="E919" s="7" t="s">
        <v>229</v>
      </c>
      <c r="F919" s="7" t="s">
        <v>239</v>
      </c>
      <c r="G919" s="7" t="s">
        <v>240</v>
      </c>
      <c r="H919" s="7" t="s">
        <v>239</v>
      </c>
      <c r="I919" s="8" t="n">
        <v>-265.84</v>
      </c>
    </row>
    <row r="920" customFormat="false" ht="15" hidden="false" customHeight="false" outlineLevel="0" collapsed="false">
      <c r="A920" s="7" t="s">
        <v>137</v>
      </c>
      <c r="B920" s="20" t="n">
        <v>46234</v>
      </c>
      <c r="C920" s="16" t="n">
        <v>2026</v>
      </c>
      <c r="D920" s="7" t="s">
        <v>153</v>
      </c>
      <c r="E920" s="7" t="s">
        <v>229</v>
      </c>
      <c r="F920" s="7" t="s">
        <v>241</v>
      </c>
      <c r="G920" s="7" t="s">
        <v>242</v>
      </c>
      <c r="H920" s="7" t="s">
        <v>243</v>
      </c>
      <c r="I920" s="8" t="n">
        <v>-344.31</v>
      </c>
    </row>
    <row r="921" customFormat="false" ht="15" hidden="false" customHeight="false" outlineLevel="0" collapsed="false">
      <c r="A921" s="7" t="s">
        <v>137</v>
      </c>
      <c r="B921" s="20" t="n">
        <v>46234</v>
      </c>
      <c r="C921" s="16" t="n">
        <v>2026</v>
      </c>
      <c r="D921" s="7" t="s">
        <v>153</v>
      </c>
      <c r="E921" s="7" t="s">
        <v>229</v>
      </c>
      <c r="F921" s="7" t="s">
        <v>233</v>
      </c>
      <c r="G921" s="7" t="s">
        <v>244</v>
      </c>
      <c r="H921" s="7" t="s">
        <v>245</v>
      </c>
      <c r="I921" s="8" t="n">
        <v>-165</v>
      </c>
    </row>
    <row r="922" customFormat="false" ht="15" hidden="false" customHeight="false" outlineLevel="0" collapsed="false">
      <c r="A922" s="7" t="s">
        <v>137</v>
      </c>
      <c r="B922" s="20" t="n">
        <v>46234</v>
      </c>
      <c r="C922" s="16" t="n">
        <v>2026</v>
      </c>
      <c r="D922" s="7" t="s">
        <v>153</v>
      </c>
      <c r="E922" s="7" t="s">
        <v>219</v>
      </c>
      <c r="F922" s="7" t="s">
        <v>187</v>
      </c>
      <c r="G922" s="7" t="s">
        <v>220</v>
      </c>
      <c r="H922" s="7" t="s">
        <v>187</v>
      </c>
      <c r="I922" s="8" t="n">
        <v>-760.07</v>
      </c>
    </row>
    <row r="923" customFormat="false" ht="15" hidden="false" customHeight="false" outlineLevel="0" collapsed="false">
      <c r="A923" s="7" t="s">
        <v>137</v>
      </c>
      <c r="B923" s="20" t="n">
        <v>46234</v>
      </c>
      <c r="C923" s="16" t="n">
        <v>2026</v>
      </c>
      <c r="D923" s="7" t="s">
        <v>153</v>
      </c>
      <c r="E923" s="7" t="s">
        <v>236</v>
      </c>
      <c r="F923" s="7" t="s">
        <v>189</v>
      </c>
      <c r="G923" s="7" t="s">
        <v>246</v>
      </c>
      <c r="H923" s="7" t="s">
        <v>247</v>
      </c>
      <c r="I923" s="8" t="n">
        <v>-1612.64</v>
      </c>
    </row>
    <row r="924" customFormat="false" ht="15" hidden="false" customHeight="false" outlineLevel="0" collapsed="false">
      <c r="A924" s="7" t="s">
        <v>137</v>
      </c>
      <c r="B924" s="20" t="n">
        <v>46234</v>
      </c>
      <c r="C924" s="16" t="n">
        <v>2026</v>
      </c>
      <c r="D924" s="7" t="s">
        <v>144</v>
      </c>
      <c r="E924" s="7" t="s">
        <v>221</v>
      </c>
      <c r="F924" s="7" t="s">
        <v>263</v>
      </c>
      <c r="G924" s="7" t="s">
        <v>264</v>
      </c>
      <c r="H924" s="7" t="s">
        <v>263</v>
      </c>
      <c r="I924" s="8" t="n">
        <v>-2956.25</v>
      </c>
    </row>
    <row r="925" customFormat="false" ht="15" hidden="false" customHeight="false" outlineLevel="0" collapsed="false">
      <c r="A925" s="7" t="s">
        <v>137</v>
      </c>
      <c r="B925" s="20" t="n">
        <v>46234</v>
      </c>
      <c r="C925" s="16" t="n">
        <v>2026</v>
      </c>
      <c r="D925" s="7" t="s">
        <v>144</v>
      </c>
      <c r="E925" s="7" t="s">
        <v>221</v>
      </c>
      <c r="F925" s="7" t="s">
        <v>275</v>
      </c>
      <c r="G925" s="7" t="s">
        <v>276</v>
      </c>
      <c r="H925" s="7" t="s">
        <v>277</v>
      </c>
      <c r="I925" s="8" t="n">
        <v>-5170</v>
      </c>
    </row>
    <row r="926" customFormat="false" ht="15" hidden="false" customHeight="false" outlineLevel="0" collapsed="false">
      <c r="A926" s="7" t="s">
        <v>137</v>
      </c>
      <c r="B926" s="20" t="n">
        <v>46234</v>
      </c>
      <c r="C926" s="16" t="n">
        <v>2026</v>
      </c>
      <c r="D926" s="7" t="s">
        <v>144</v>
      </c>
      <c r="E926" s="7" t="s">
        <v>219</v>
      </c>
      <c r="F926" s="7" t="s">
        <v>187</v>
      </c>
      <c r="G926" s="7" t="s">
        <v>220</v>
      </c>
      <c r="H926" s="7" t="s">
        <v>187</v>
      </c>
      <c r="I926" s="8" t="n">
        <v>-1079.42</v>
      </c>
    </row>
    <row r="927" customFormat="false" ht="15" hidden="false" customHeight="false" outlineLevel="0" collapsed="false">
      <c r="A927" s="7" t="s">
        <v>137</v>
      </c>
      <c r="B927" s="20" t="n">
        <v>46234</v>
      </c>
      <c r="C927" s="16" t="n">
        <v>2026</v>
      </c>
      <c r="D927" s="7" t="s">
        <v>144</v>
      </c>
      <c r="E927" s="7" t="s">
        <v>225</v>
      </c>
      <c r="F927" s="7" t="s">
        <v>226</v>
      </c>
      <c r="G927" s="7" t="s">
        <v>227</v>
      </c>
      <c r="H927" s="7" t="s">
        <v>228</v>
      </c>
      <c r="I927" s="8" t="n">
        <v>8126.25</v>
      </c>
    </row>
    <row r="928" customFormat="false" ht="15" hidden="false" customHeight="false" outlineLevel="0" collapsed="false">
      <c r="A928" s="7" t="s">
        <v>137</v>
      </c>
      <c r="B928" s="20" t="n">
        <v>46234</v>
      </c>
      <c r="C928" s="16" t="n">
        <v>2026</v>
      </c>
      <c r="D928" s="7" t="s">
        <v>146</v>
      </c>
      <c r="E928" s="7" t="s">
        <v>219</v>
      </c>
      <c r="F928" s="7" t="s">
        <v>187</v>
      </c>
      <c r="G928" s="7" t="s">
        <v>220</v>
      </c>
      <c r="H928" s="7" t="s">
        <v>187</v>
      </c>
      <c r="I928" s="8" t="n">
        <v>-614.91</v>
      </c>
    </row>
    <row r="929" customFormat="false" ht="15" hidden="false" customHeight="false" outlineLevel="0" collapsed="false">
      <c r="A929" s="7" t="s">
        <v>137</v>
      </c>
      <c r="B929" s="20" t="n">
        <v>46234</v>
      </c>
      <c r="C929" s="16" t="n">
        <v>2026</v>
      </c>
      <c r="D929" s="7" t="s">
        <v>146</v>
      </c>
      <c r="E929" s="7" t="s">
        <v>225</v>
      </c>
      <c r="F929" s="7" t="s">
        <v>226</v>
      </c>
      <c r="G929" s="7" t="s">
        <v>227</v>
      </c>
      <c r="H929" s="7" t="s">
        <v>228</v>
      </c>
      <c r="I929" s="8" t="n">
        <v>-138.24</v>
      </c>
    </row>
    <row r="930" customFormat="false" ht="15" hidden="false" customHeight="false" outlineLevel="0" collapsed="false">
      <c r="A930" s="7" t="s">
        <v>137</v>
      </c>
      <c r="B930" s="20" t="n">
        <v>46265</v>
      </c>
      <c r="C930" s="16" t="n">
        <v>2026</v>
      </c>
      <c r="D930" s="7" t="s">
        <v>141</v>
      </c>
      <c r="E930" s="7" t="s">
        <v>219</v>
      </c>
      <c r="F930" s="7" t="s">
        <v>187</v>
      </c>
      <c r="G930" s="7" t="s">
        <v>220</v>
      </c>
      <c r="H930" s="7" t="s">
        <v>187</v>
      </c>
      <c r="I930" s="8" t="n">
        <v>-1693.02</v>
      </c>
    </row>
    <row r="931" customFormat="false" ht="15" hidden="false" customHeight="false" outlineLevel="0" collapsed="false">
      <c r="A931" s="7" t="s">
        <v>137</v>
      </c>
      <c r="B931" s="20" t="n">
        <v>46265</v>
      </c>
      <c r="C931" s="16" t="n">
        <v>2026</v>
      </c>
      <c r="D931" s="7" t="s">
        <v>141</v>
      </c>
      <c r="E931" s="7" t="s">
        <v>225</v>
      </c>
      <c r="F931" s="7" t="s">
        <v>226</v>
      </c>
      <c r="G931" s="7" t="s">
        <v>227</v>
      </c>
      <c r="H931" s="7" t="s">
        <v>228</v>
      </c>
      <c r="I931" s="8" t="n">
        <v>-0.07</v>
      </c>
    </row>
    <row r="932" customFormat="false" ht="15" hidden="false" customHeight="false" outlineLevel="0" collapsed="false">
      <c r="A932" s="7" t="s">
        <v>137</v>
      </c>
      <c r="B932" s="20" t="n">
        <v>46265</v>
      </c>
      <c r="C932" s="16" t="n">
        <v>2026</v>
      </c>
      <c r="D932" s="7" t="s">
        <v>136</v>
      </c>
      <c r="E932" s="7" t="s">
        <v>221</v>
      </c>
      <c r="F932" s="7" t="s">
        <v>257</v>
      </c>
      <c r="G932" s="7" t="s">
        <v>258</v>
      </c>
      <c r="H932" s="7" t="s">
        <v>259</v>
      </c>
      <c r="I932" s="8" t="n">
        <v>-1517.28</v>
      </c>
    </row>
    <row r="933" customFormat="false" ht="15" hidden="false" customHeight="false" outlineLevel="0" collapsed="false">
      <c r="A933" s="7" t="s">
        <v>137</v>
      </c>
      <c r="B933" s="20" t="n">
        <v>46265</v>
      </c>
      <c r="C933" s="16" t="n">
        <v>2026</v>
      </c>
      <c r="D933" s="7" t="s">
        <v>136</v>
      </c>
      <c r="E933" s="7" t="s">
        <v>225</v>
      </c>
      <c r="F933" s="7" t="s">
        <v>226</v>
      </c>
      <c r="G933" s="7" t="s">
        <v>227</v>
      </c>
      <c r="H933" s="7" t="s">
        <v>228</v>
      </c>
      <c r="I933" s="8" t="n">
        <v>1517.28</v>
      </c>
    </row>
    <row r="934" customFormat="false" ht="15" hidden="false" customHeight="false" outlineLevel="0" collapsed="false">
      <c r="A934" s="7" t="s">
        <v>137</v>
      </c>
      <c r="B934" s="20" t="n">
        <v>46265</v>
      </c>
      <c r="C934" s="16" t="n">
        <v>2026</v>
      </c>
      <c r="D934" s="7" t="s">
        <v>149</v>
      </c>
      <c r="E934" s="7" t="s">
        <v>221</v>
      </c>
      <c r="F934" s="7" t="s">
        <v>270</v>
      </c>
      <c r="G934" s="7" t="s">
        <v>271</v>
      </c>
      <c r="H934" s="7" t="s">
        <v>272</v>
      </c>
      <c r="I934" s="8" t="n">
        <v>-1664.03</v>
      </c>
    </row>
    <row r="935" customFormat="false" ht="15" hidden="false" customHeight="false" outlineLevel="0" collapsed="false">
      <c r="A935" s="7" t="s">
        <v>137</v>
      </c>
      <c r="B935" s="20" t="n">
        <v>46265</v>
      </c>
      <c r="C935" s="16" t="n">
        <v>2026</v>
      </c>
      <c r="D935" s="7" t="s">
        <v>149</v>
      </c>
      <c r="E935" s="7" t="s">
        <v>221</v>
      </c>
      <c r="F935" s="7" t="s">
        <v>270</v>
      </c>
      <c r="G935" s="7" t="s">
        <v>273</v>
      </c>
      <c r="H935" s="7" t="s">
        <v>274</v>
      </c>
      <c r="I935" s="8" t="n">
        <v>-244.06</v>
      </c>
    </row>
    <row r="936" customFormat="false" ht="15" hidden="false" customHeight="false" outlineLevel="0" collapsed="false">
      <c r="A936" s="7" t="s">
        <v>137</v>
      </c>
      <c r="B936" s="20" t="n">
        <v>46265</v>
      </c>
      <c r="C936" s="16" t="n">
        <v>2026</v>
      </c>
      <c r="D936" s="7" t="s">
        <v>149</v>
      </c>
      <c r="E936" s="7" t="s">
        <v>219</v>
      </c>
      <c r="F936" s="7" t="s">
        <v>187</v>
      </c>
      <c r="G936" s="7" t="s">
        <v>220</v>
      </c>
      <c r="H936" s="7" t="s">
        <v>187</v>
      </c>
      <c r="I936" s="8" t="n">
        <v>-2266.83</v>
      </c>
    </row>
    <row r="937" customFormat="false" ht="15" hidden="false" customHeight="false" outlineLevel="0" collapsed="false">
      <c r="A937" s="7" t="s">
        <v>137</v>
      </c>
      <c r="B937" s="20" t="n">
        <v>46265</v>
      </c>
      <c r="C937" s="16" t="n">
        <v>2026</v>
      </c>
      <c r="D937" s="7" t="s">
        <v>149</v>
      </c>
      <c r="E937" s="7" t="s">
        <v>236</v>
      </c>
      <c r="F937" s="7" t="s">
        <v>189</v>
      </c>
      <c r="G937" s="7" t="s">
        <v>237</v>
      </c>
      <c r="H937" s="7" t="s">
        <v>238</v>
      </c>
      <c r="I937" s="8" t="n">
        <v>-242.2</v>
      </c>
    </row>
    <row r="938" customFormat="false" ht="15" hidden="false" customHeight="false" outlineLevel="0" collapsed="false">
      <c r="A938" s="7" t="s">
        <v>137</v>
      </c>
      <c r="B938" s="20" t="n">
        <v>46265</v>
      </c>
      <c r="C938" s="16" t="n">
        <v>2026</v>
      </c>
      <c r="D938" s="7" t="s">
        <v>153</v>
      </c>
      <c r="E938" s="7" t="s">
        <v>221</v>
      </c>
      <c r="F938" s="7" t="s">
        <v>270</v>
      </c>
      <c r="G938" s="7" t="s">
        <v>271</v>
      </c>
      <c r="H938" s="7" t="s">
        <v>272</v>
      </c>
      <c r="I938" s="8" t="n">
        <v>-1109.35</v>
      </c>
    </row>
    <row r="939" customFormat="false" ht="15" hidden="false" customHeight="false" outlineLevel="0" collapsed="false">
      <c r="A939" s="7" t="s">
        <v>137</v>
      </c>
      <c r="B939" s="20" t="n">
        <v>46265</v>
      </c>
      <c r="C939" s="16" t="n">
        <v>2026</v>
      </c>
      <c r="D939" s="7" t="s">
        <v>153</v>
      </c>
      <c r="E939" s="7" t="s">
        <v>229</v>
      </c>
      <c r="F939" s="7" t="s">
        <v>239</v>
      </c>
      <c r="G939" s="7" t="s">
        <v>240</v>
      </c>
      <c r="H939" s="7" t="s">
        <v>239</v>
      </c>
      <c r="I939" s="8" t="n">
        <v>-263.47</v>
      </c>
    </row>
    <row r="940" customFormat="false" ht="15" hidden="false" customHeight="false" outlineLevel="0" collapsed="false">
      <c r="A940" s="7" t="s">
        <v>137</v>
      </c>
      <c r="B940" s="20" t="n">
        <v>46265</v>
      </c>
      <c r="C940" s="16" t="n">
        <v>2026</v>
      </c>
      <c r="D940" s="7" t="s">
        <v>153</v>
      </c>
      <c r="E940" s="7" t="s">
        <v>229</v>
      </c>
      <c r="F940" s="7" t="s">
        <v>241</v>
      </c>
      <c r="G940" s="7" t="s">
        <v>242</v>
      </c>
      <c r="H940" s="7" t="s">
        <v>243</v>
      </c>
      <c r="I940" s="8" t="n">
        <v>-369.06</v>
      </c>
    </row>
    <row r="941" customFormat="false" ht="15" hidden="false" customHeight="false" outlineLevel="0" collapsed="false">
      <c r="A941" s="7" t="s">
        <v>137</v>
      </c>
      <c r="B941" s="20" t="n">
        <v>46265</v>
      </c>
      <c r="C941" s="16" t="n">
        <v>2026</v>
      </c>
      <c r="D941" s="7" t="s">
        <v>153</v>
      </c>
      <c r="E941" s="7" t="s">
        <v>229</v>
      </c>
      <c r="F941" s="7" t="s">
        <v>233</v>
      </c>
      <c r="G941" s="7" t="s">
        <v>244</v>
      </c>
      <c r="H941" s="7" t="s">
        <v>245</v>
      </c>
      <c r="I941" s="8" t="n">
        <v>-165</v>
      </c>
    </row>
    <row r="942" customFormat="false" ht="15" hidden="false" customHeight="false" outlineLevel="0" collapsed="false">
      <c r="A942" s="7" t="s">
        <v>137</v>
      </c>
      <c r="B942" s="20" t="n">
        <v>46265</v>
      </c>
      <c r="C942" s="16" t="n">
        <v>2026</v>
      </c>
      <c r="D942" s="7" t="s">
        <v>153</v>
      </c>
      <c r="E942" s="7" t="s">
        <v>219</v>
      </c>
      <c r="F942" s="7" t="s">
        <v>187</v>
      </c>
      <c r="G942" s="7" t="s">
        <v>220</v>
      </c>
      <c r="H942" s="7" t="s">
        <v>187</v>
      </c>
      <c r="I942" s="8" t="n">
        <v>-760.08</v>
      </c>
    </row>
    <row r="943" customFormat="false" ht="15" hidden="false" customHeight="false" outlineLevel="0" collapsed="false">
      <c r="A943" s="7" t="s">
        <v>137</v>
      </c>
      <c r="B943" s="20" t="n">
        <v>46265</v>
      </c>
      <c r="C943" s="16" t="n">
        <v>2026</v>
      </c>
      <c r="D943" s="7" t="s">
        <v>153</v>
      </c>
      <c r="E943" s="7" t="s">
        <v>236</v>
      </c>
      <c r="F943" s="7" t="s">
        <v>189</v>
      </c>
      <c r="G943" s="7" t="s">
        <v>246</v>
      </c>
      <c r="H943" s="7" t="s">
        <v>247</v>
      </c>
      <c r="I943" s="8" t="n">
        <v>-1645.55</v>
      </c>
    </row>
    <row r="944" customFormat="false" ht="15" hidden="false" customHeight="false" outlineLevel="0" collapsed="false">
      <c r="A944" s="7" t="s">
        <v>137</v>
      </c>
      <c r="B944" s="20" t="n">
        <v>46265</v>
      </c>
      <c r="C944" s="16" t="n">
        <v>2026</v>
      </c>
      <c r="D944" s="7" t="s">
        <v>144</v>
      </c>
      <c r="E944" s="7" t="s">
        <v>221</v>
      </c>
      <c r="F944" s="7" t="s">
        <v>275</v>
      </c>
      <c r="G944" s="7" t="s">
        <v>276</v>
      </c>
      <c r="H944" s="7" t="s">
        <v>277</v>
      </c>
      <c r="I944" s="8" t="n">
        <v>-5170</v>
      </c>
    </row>
    <row r="945" customFormat="false" ht="15" hidden="false" customHeight="false" outlineLevel="0" collapsed="false">
      <c r="A945" s="7" t="s">
        <v>137</v>
      </c>
      <c r="B945" s="20" t="n">
        <v>46265</v>
      </c>
      <c r="C945" s="16" t="n">
        <v>2026</v>
      </c>
      <c r="D945" s="7" t="s">
        <v>144</v>
      </c>
      <c r="E945" s="7" t="s">
        <v>219</v>
      </c>
      <c r="F945" s="7" t="s">
        <v>187</v>
      </c>
      <c r="G945" s="7" t="s">
        <v>220</v>
      </c>
      <c r="H945" s="7" t="s">
        <v>187</v>
      </c>
      <c r="I945" s="8" t="n">
        <v>-1079.42</v>
      </c>
    </row>
    <row r="946" customFormat="false" ht="15" hidden="false" customHeight="false" outlineLevel="0" collapsed="false">
      <c r="A946" s="7" t="s">
        <v>137</v>
      </c>
      <c r="B946" s="20" t="n">
        <v>46265</v>
      </c>
      <c r="C946" s="16" t="n">
        <v>2026</v>
      </c>
      <c r="D946" s="7" t="s">
        <v>144</v>
      </c>
      <c r="E946" s="7" t="s">
        <v>225</v>
      </c>
      <c r="F946" s="7" t="s">
        <v>226</v>
      </c>
      <c r="G946" s="7" t="s">
        <v>227</v>
      </c>
      <c r="H946" s="7" t="s">
        <v>228</v>
      </c>
      <c r="I946" s="8" t="n">
        <v>5170</v>
      </c>
    </row>
    <row r="947" customFormat="false" ht="15" hidden="false" customHeight="false" outlineLevel="0" collapsed="false">
      <c r="A947" s="7" t="s">
        <v>137</v>
      </c>
      <c r="B947" s="20" t="n">
        <v>46265</v>
      </c>
      <c r="C947" s="16" t="n">
        <v>2026</v>
      </c>
      <c r="D947" s="7" t="s">
        <v>146</v>
      </c>
      <c r="E947" s="7" t="s">
        <v>219</v>
      </c>
      <c r="F947" s="7" t="s">
        <v>187</v>
      </c>
      <c r="G947" s="7" t="s">
        <v>220</v>
      </c>
      <c r="H947" s="7" t="s">
        <v>187</v>
      </c>
      <c r="I947" s="8" t="n">
        <v>-614.9</v>
      </c>
    </row>
    <row r="948" customFormat="false" ht="15" hidden="false" customHeight="false" outlineLevel="0" collapsed="false">
      <c r="A948" s="7" t="s">
        <v>137</v>
      </c>
      <c r="B948" s="20" t="n">
        <v>46265</v>
      </c>
      <c r="C948" s="16" t="n">
        <v>2026</v>
      </c>
      <c r="D948" s="7" t="s">
        <v>146</v>
      </c>
      <c r="E948" s="7" t="s">
        <v>225</v>
      </c>
      <c r="F948" s="7" t="s">
        <v>226</v>
      </c>
      <c r="G948" s="7" t="s">
        <v>227</v>
      </c>
      <c r="H948" s="7" t="s">
        <v>228</v>
      </c>
      <c r="I948" s="8" t="n">
        <v>-129.6</v>
      </c>
    </row>
    <row r="949" customFormat="false" ht="15" hidden="false" customHeight="false" outlineLevel="0" collapsed="false">
      <c r="A949" s="7" t="s">
        <v>137</v>
      </c>
      <c r="B949" s="20" t="n">
        <v>46295</v>
      </c>
      <c r="C949" s="16" t="n">
        <v>2026</v>
      </c>
      <c r="D949" s="7" t="s">
        <v>141</v>
      </c>
      <c r="E949" s="7" t="s">
        <v>248</v>
      </c>
      <c r="F949" s="7" t="s">
        <v>249</v>
      </c>
      <c r="G949" s="7" t="s">
        <v>250</v>
      </c>
      <c r="H949" s="7" t="s">
        <v>251</v>
      </c>
      <c r="I949" s="8" t="n">
        <v>31752</v>
      </c>
    </row>
    <row r="950" customFormat="false" ht="15" hidden="false" customHeight="false" outlineLevel="0" collapsed="false">
      <c r="A950" s="7" t="s">
        <v>137</v>
      </c>
      <c r="B950" s="20" t="n">
        <v>46295</v>
      </c>
      <c r="C950" s="16" t="n">
        <v>2026</v>
      </c>
      <c r="D950" s="7" t="s">
        <v>141</v>
      </c>
      <c r="E950" s="7" t="s">
        <v>221</v>
      </c>
      <c r="F950" s="7" t="s">
        <v>267</v>
      </c>
      <c r="G950" s="7" t="s">
        <v>268</v>
      </c>
      <c r="H950" s="7" t="s">
        <v>269</v>
      </c>
      <c r="I950" s="8" t="n">
        <v>-936.32</v>
      </c>
    </row>
    <row r="951" customFormat="false" ht="15" hidden="false" customHeight="false" outlineLevel="0" collapsed="false">
      <c r="A951" s="7" t="s">
        <v>137</v>
      </c>
      <c r="B951" s="20" t="n">
        <v>46295</v>
      </c>
      <c r="C951" s="16" t="n">
        <v>2026</v>
      </c>
      <c r="D951" s="7" t="s">
        <v>141</v>
      </c>
      <c r="E951" s="7" t="s">
        <v>221</v>
      </c>
      <c r="F951" s="7" t="s">
        <v>260</v>
      </c>
      <c r="G951" s="7" t="s">
        <v>261</v>
      </c>
      <c r="H951" s="7" t="s">
        <v>262</v>
      </c>
      <c r="I951" s="8" t="n">
        <v>-2092.8</v>
      </c>
    </row>
    <row r="952" customFormat="false" ht="15" hidden="false" customHeight="false" outlineLevel="0" collapsed="false">
      <c r="A952" s="7" t="s">
        <v>137</v>
      </c>
      <c r="B952" s="20" t="n">
        <v>46295</v>
      </c>
      <c r="C952" s="16" t="n">
        <v>2026</v>
      </c>
      <c r="D952" s="7" t="s">
        <v>141</v>
      </c>
      <c r="E952" s="7" t="s">
        <v>219</v>
      </c>
      <c r="F952" s="7" t="s">
        <v>187</v>
      </c>
      <c r="G952" s="7" t="s">
        <v>220</v>
      </c>
      <c r="H952" s="7" t="s">
        <v>187</v>
      </c>
      <c r="I952" s="8" t="n">
        <v>-1693.01</v>
      </c>
    </row>
    <row r="953" customFormat="false" ht="15" hidden="false" customHeight="false" outlineLevel="0" collapsed="false">
      <c r="A953" s="7" t="s">
        <v>137</v>
      </c>
      <c r="B953" s="20" t="n">
        <v>46295</v>
      </c>
      <c r="C953" s="16" t="n">
        <v>2026</v>
      </c>
      <c r="D953" s="7" t="s">
        <v>141</v>
      </c>
      <c r="E953" s="7" t="s">
        <v>225</v>
      </c>
      <c r="F953" s="7" t="s">
        <v>226</v>
      </c>
      <c r="G953" s="7" t="s">
        <v>227</v>
      </c>
      <c r="H953" s="7" t="s">
        <v>228</v>
      </c>
      <c r="I953" s="8" t="n">
        <v>-21409.28</v>
      </c>
    </row>
    <row r="954" customFormat="false" ht="15" hidden="false" customHeight="false" outlineLevel="0" collapsed="false">
      <c r="A954" s="7" t="s">
        <v>137</v>
      </c>
      <c r="B954" s="20" t="n">
        <v>46295</v>
      </c>
      <c r="C954" s="16" t="n">
        <v>2026</v>
      </c>
      <c r="D954" s="7" t="s">
        <v>136</v>
      </c>
      <c r="E954" s="7" t="s">
        <v>221</v>
      </c>
      <c r="F954" s="7" t="s">
        <v>222</v>
      </c>
      <c r="G954" s="7" t="s">
        <v>223</v>
      </c>
      <c r="H954" s="7" t="s">
        <v>224</v>
      </c>
      <c r="I954" s="8" t="n">
        <v>-130.8</v>
      </c>
    </row>
    <row r="955" customFormat="false" ht="15" hidden="false" customHeight="false" outlineLevel="0" collapsed="false">
      <c r="A955" s="7" t="s">
        <v>137</v>
      </c>
      <c r="B955" s="20" t="n">
        <v>46295</v>
      </c>
      <c r="C955" s="16" t="n">
        <v>2026</v>
      </c>
      <c r="D955" s="7" t="s">
        <v>136</v>
      </c>
      <c r="E955" s="7" t="s">
        <v>225</v>
      </c>
      <c r="F955" s="7" t="s">
        <v>226</v>
      </c>
      <c r="G955" s="7" t="s">
        <v>227</v>
      </c>
      <c r="H955" s="7" t="s">
        <v>228</v>
      </c>
      <c r="I955" s="8" t="n">
        <v>130.8</v>
      </c>
    </row>
    <row r="956" customFormat="false" ht="15" hidden="false" customHeight="false" outlineLevel="0" collapsed="false">
      <c r="A956" s="7" t="s">
        <v>137</v>
      </c>
      <c r="B956" s="20" t="n">
        <v>46295</v>
      </c>
      <c r="C956" s="16" t="n">
        <v>2026</v>
      </c>
      <c r="D956" s="7" t="s">
        <v>149</v>
      </c>
      <c r="E956" s="7" t="s">
        <v>221</v>
      </c>
      <c r="F956" s="7" t="s">
        <v>270</v>
      </c>
      <c r="G956" s="7" t="s">
        <v>271</v>
      </c>
      <c r="H956" s="7" t="s">
        <v>272</v>
      </c>
      <c r="I956" s="8" t="n">
        <v>-2349.51</v>
      </c>
    </row>
    <row r="957" customFormat="false" ht="15" hidden="false" customHeight="false" outlineLevel="0" collapsed="false">
      <c r="A957" s="7" t="s">
        <v>137</v>
      </c>
      <c r="B957" s="20" t="n">
        <v>46295</v>
      </c>
      <c r="C957" s="16" t="n">
        <v>2026</v>
      </c>
      <c r="D957" s="7" t="s">
        <v>149</v>
      </c>
      <c r="E957" s="7" t="s">
        <v>221</v>
      </c>
      <c r="F957" s="7" t="s">
        <v>270</v>
      </c>
      <c r="G957" s="7" t="s">
        <v>273</v>
      </c>
      <c r="H957" s="7" t="s">
        <v>274</v>
      </c>
      <c r="I957" s="8" t="n">
        <v>-344.6</v>
      </c>
    </row>
    <row r="958" customFormat="false" ht="15" hidden="false" customHeight="false" outlineLevel="0" collapsed="false">
      <c r="A958" s="7" t="s">
        <v>137</v>
      </c>
      <c r="B958" s="20" t="n">
        <v>46295</v>
      </c>
      <c r="C958" s="16" t="n">
        <v>2026</v>
      </c>
      <c r="D958" s="7" t="s">
        <v>149</v>
      </c>
      <c r="E958" s="7" t="s">
        <v>221</v>
      </c>
      <c r="F958" s="7" t="s">
        <v>260</v>
      </c>
      <c r="G958" s="7" t="s">
        <v>261</v>
      </c>
      <c r="H958" s="7" t="s">
        <v>262</v>
      </c>
      <c r="I958" s="8" t="n">
        <v>-12892.32</v>
      </c>
    </row>
    <row r="959" customFormat="false" ht="15" hidden="false" customHeight="false" outlineLevel="0" collapsed="false">
      <c r="A959" s="7" t="s">
        <v>137</v>
      </c>
      <c r="B959" s="20" t="n">
        <v>46295</v>
      </c>
      <c r="C959" s="16" t="n">
        <v>2026</v>
      </c>
      <c r="D959" s="7" t="s">
        <v>149</v>
      </c>
      <c r="E959" s="7" t="s">
        <v>221</v>
      </c>
      <c r="F959" s="7" t="s">
        <v>283</v>
      </c>
      <c r="G959" s="7" t="s">
        <v>284</v>
      </c>
      <c r="H959" s="7" t="s">
        <v>285</v>
      </c>
      <c r="I959" s="8" t="n">
        <v>-4600</v>
      </c>
    </row>
    <row r="960" customFormat="false" ht="15" hidden="false" customHeight="false" outlineLevel="0" collapsed="false">
      <c r="A960" s="7" t="s">
        <v>137</v>
      </c>
      <c r="B960" s="20" t="n">
        <v>46295</v>
      </c>
      <c r="C960" s="16" t="n">
        <v>2026</v>
      </c>
      <c r="D960" s="7" t="s">
        <v>149</v>
      </c>
      <c r="E960" s="7" t="s">
        <v>219</v>
      </c>
      <c r="F960" s="7" t="s">
        <v>187</v>
      </c>
      <c r="G960" s="7" t="s">
        <v>220</v>
      </c>
      <c r="H960" s="7" t="s">
        <v>187</v>
      </c>
      <c r="I960" s="8" t="n">
        <v>-2266.81</v>
      </c>
    </row>
    <row r="961" customFormat="false" ht="15" hidden="false" customHeight="false" outlineLevel="0" collapsed="false">
      <c r="A961" s="7" t="s">
        <v>137</v>
      </c>
      <c r="B961" s="20" t="n">
        <v>46295</v>
      </c>
      <c r="C961" s="16" t="n">
        <v>2026</v>
      </c>
      <c r="D961" s="7" t="s">
        <v>149</v>
      </c>
      <c r="E961" s="7" t="s">
        <v>236</v>
      </c>
      <c r="F961" s="7" t="s">
        <v>189</v>
      </c>
      <c r="G961" s="7" t="s">
        <v>237</v>
      </c>
      <c r="H961" s="7" t="s">
        <v>238</v>
      </c>
      <c r="I961" s="8" t="n">
        <v>-233.19</v>
      </c>
    </row>
    <row r="962" customFormat="false" ht="15" hidden="false" customHeight="false" outlineLevel="0" collapsed="false">
      <c r="A962" s="7" t="s">
        <v>137</v>
      </c>
      <c r="B962" s="20" t="n">
        <v>46295</v>
      </c>
      <c r="C962" s="16" t="n">
        <v>2026</v>
      </c>
      <c r="D962" s="7" t="s">
        <v>153</v>
      </c>
      <c r="E962" s="7" t="s">
        <v>221</v>
      </c>
      <c r="F962" s="7" t="s">
        <v>270</v>
      </c>
      <c r="G962" s="7" t="s">
        <v>271</v>
      </c>
      <c r="H962" s="7" t="s">
        <v>272</v>
      </c>
      <c r="I962" s="8" t="n">
        <v>-1566.34</v>
      </c>
    </row>
    <row r="963" customFormat="false" ht="15" hidden="false" customHeight="false" outlineLevel="0" collapsed="false">
      <c r="A963" s="7" t="s">
        <v>137</v>
      </c>
      <c r="B963" s="20" t="n">
        <v>46295</v>
      </c>
      <c r="C963" s="16" t="n">
        <v>2026</v>
      </c>
      <c r="D963" s="7" t="s">
        <v>153</v>
      </c>
      <c r="E963" s="7" t="s">
        <v>229</v>
      </c>
      <c r="F963" s="7" t="s">
        <v>239</v>
      </c>
      <c r="G963" s="7" t="s">
        <v>240</v>
      </c>
      <c r="H963" s="7" t="s">
        <v>239</v>
      </c>
      <c r="I963" s="8" t="n">
        <v>-260.31</v>
      </c>
    </row>
    <row r="964" customFormat="false" ht="15" hidden="false" customHeight="false" outlineLevel="0" collapsed="false">
      <c r="A964" s="7" t="s">
        <v>137</v>
      </c>
      <c r="B964" s="20" t="n">
        <v>46295</v>
      </c>
      <c r="C964" s="16" t="n">
        <v>2026</v>
      </c>
      <c r="D964" s="7" t="s">
        <v>153</v>
      </c>
      <c r="E964" s="7" t="s">
        <v>229</v>
      </c>
      <c r="F964" s="7" t="s">
        <v>241</v>
      </c>
      <c r="G964" s="7" t="s">
        <v>242</v>
      </c>
      <c r="H964" s="7" t="s">
        <v>243</v>
      </c>
      <c r="I964" s="8" t="n">
        <v>-362.08</v>
      </c>
    </row>
    <row r="965" customFormat="false" ht="15" hidden="false" customHeight="false" outlineLevel="0" collapsed="false">
      <c r="A965" s="7" t="s">
        <v>137</v>
      </c>
      <c r="B965" s="20" t="n">
        <v>46295</v>
      </c>
      <c r="C965" s="16" t="n">
        <v>2026</v>
      </c>
      <c r="D965" s="7" t="s">
        <v>153</v>
      </c>
      <c r="E965" s="7" t="s">
        <v>229</v>
      </c>
      <c r="F965" s="7" t="s">
        <v>233</v>
      </c>
      <c r="G965" s="7" t="s">
        <v>244</v>
      </c>
      <c r="H965" s="7" t="s">
        <v>245</v>
      </c>
      <c r="I965" s="8" t="n">
        <v>-165</v>
      </c>
    </row>
    <row r="966" customFormat="false" ht="15" hidden="false" customHeight="false" outlineLevel="0" collapsed="false">
      <c r="A966" s="7" t="s">
        <v>137</v>
      </c>
      <c r="B966" s="20" t="n">
        <v>46295</v>
      </c>
      <c r="C966" s="16" t="n">
        <v>2026</v>
      </c>
      <c r="D966" s="7" t="s">
        <v>153</v>
      </c>
      <c r="E966" s="7" t="s">
        <v>219</v>
      </c>
      <c r="F966" s="7" t="s">
        <v>187</v>
      </c>
      <c r="G966" s="7" t="s">
        <v>220</v>
      </c>
      <c r="H966" s="7" t="s">
        <v>187</v>
      </c>
      <c r="I966" s="8" t="n">
        <v>-760.06</v>
      </c>
    </row>
    <row r="967" customFormat="false" ht="15" hidden="false" customHeight="false" outlineLevel="0" collapsed="false">
      <c r="A967" s="7" t="s">
        <v>137</v>
      </c>
      <c r="B967" s="20" t="n">
        <v>46295</v>
      </c>
      <c r="C967" s="16" t="n">
        <v>2026</v>
      </c>
      <c r="D967" s="7" t="s">
        <v>153</v>
      </c>
      <c r="E967" s="7" t="s">
        <v>236</v>
      </c>
      <c r="F967" s="7" t="s">
        <v>189</v>
      </c>
      <c r="G967" s="7" t="s">
        <v>246</v>
      </c>
      <c r="H967" s="7" t="s">
        <v>247</v>
      </c>
      <c r="I967" s="8" t="n">
        <v>-1592.47</v>
      </c>
    </row>
    <row r="968" customFormat="false" ht="15" hidden="false" customHeight="false" outlineLevel="0" collapsed="false">
      <c r="A968" s="7" t="s">
        <v>137</v>
      </c>
      <c r="B968" s="20" t="n">
        <v>46295</v>
      </c>
      <c r="C968" s="16" t="n">
        <v>2026</v>
      </c>
      <c r="D968" s="7" t="s">
        <v>144</v>
      </c>
      <c r="E968" s="7" t="s">
        <v>219</v>
      </c>
      <c r="F968" s="7" t="s">
        <v>187</v>
      </c>
      <c r="G968" s="7" t="s">
        <v>220</v>
      </c>
      <c r="H968" s="7" t="s">
        <v>187</v>
      </c>
      <c r="I968" s="8" t="n">
        <v>-1079.42</v>
      </c>
    </row>
    <row r="969" customFormat="false" ht="15" hidden="false" customHeight="false" outlineLevel="0" collapsed="false">
      <c r="A969" s="7" t="s">
        <v>137</v>
      </c>
      <c r="B969" s="20" t="n">
        <v>46295</v>
      </c>
      <c r="C969" s="16" t="n">
        <v>2026</v>
      </c>
      <c r="D969" s="7" t="s">
        <v>146</v>
      </c>
      <c r="E969" s="7" t="s">
        <v>219</v>
      </c>
      <c r="F969" s="7" t="s">
        <v>187</v>
      </c>
      <c r="G969" s="7" t="s">
        <v>220</v>
      </c>
      <c r="H969" s="7" t="s">
        <v>187</v>
      </c>
      <c r="I969" s="8" t="n">
        <v>-614.92</v>
      </c>
    </row>
  </sheetData>
  <autoFilter ref="A1:I9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7" min="2" style="0" width="12"/>
  </cols>
  <sheetData>
    <row r="1" customFormat="false" ht="15" hidden="false" customHeight="false" outlineLevel="0" collapsed="false">
      <c r="A1" s="10" t="s">
        <v>305</v>
      </c>
    </row>
    <row r="2" customFormat="false" ht="15" hidden="false" customHeight="false" outlineLevel="0" collapsed="false">
      <c r="A2" s="6" t="s">
        <v>180</v>
      </c>
      <c r="B2" s="17" t="n">
        <v>44926</v>
      </c>
      <c r="C2" s="17" t="n">
        <v>44957</v>
      </c>
      <c r="D2" s="17" t="n">
        <v>44985</v>
      </c>
      <c r="E2" s="17" t="n">
        <v>45016</v>
      </c>
      <c r="F2" s="17" t="n">
        <v>45046</v>
      </c>
      <c r="G2" s="17" t="n">
        <v>45077</v>
      </c>
      <c r="H2" s="17" t="n">
        <v>45107</v>
      </c>
      <c r="I2" s="17" t="n">
        <v>45138</v>
      </c>
      <c r="J2" s="17" t="n">
        <v>45169</v>
      </c>
      <c r="K2" s="17" t="n">
        <v>45199</v>
      </c>
      <c r="L2" s="17" t="n">
        <v>45230</v>
      </c>
      <c r="M2" s="17" t="n">
        <v>45260</v>
      </c>
      <c r="N2" s="17" t="n">
        <v>45291</v>
      </c>
      <c r="O2" s="17" t="n">
        <v>45322</v>
      </c>
      <c r="P2" s="17" t="n">
        <v>45351</v>
      </c>
      <c r="Q2" s="17" t="n">
        <v>45382</v>
      </c>
      <c r="R2" s="17" t="n">
        <v>45412</v>
      </c>
      <c r="S2" s="17" t="n">
        <v>45443</v>
      </c>
      <c r="T2" s="17" t="n">
        <v>45473</v>
      </c>
      <c r="U2" s="17" t="n">
        <v>45504</v>
      </c>
      <c r="V2" s="17" t="n">
        <v>45535</v>
      </c>
      <c r="W2" s="17" t="n">
        <v>45565</v>
      </c>
      <c r="X2" s="17" t="n">
        <v>45596</v>
      </c>
      <c r="Y2" s="17" t="n">
        <v>45626</v>
      </c>
      <c r="Z2" s="17" t="n">
        <v>45657</v>
      </c>
      <c r="AA2" s="17" t="n">
        <v>45688</v>
      </c>
      <c r="AB2" s="17" t="n">
        <v>45716</v>
      </c>
      <c r="AC2" s="17" t="n">
        <v>45747</v>
      </c>
      <c r="AD2" s="17" t="n">
        <v>45777</v>
      </c>
      <c r="AE2" s="17" t="n">
        <v>45808</v>
      </c>
      <c r="AF2" s="17" t="n">
        <v>45838</v>
      </c>
      <c r="AG2" s="17" t="n">
        <v>45869</v>
      </c>
      <c r="AH2" s="17" t="n">
        <v>45900</v>
      </c>
      <c r="AI2" s="17" t="n">
        <v>45930</v>
      </c>
      <c r="AJ2" s="17" t="n">
        <v>45961</v>
      </c>
      <c r="AK2" s="17" t="n">
        <v>45991</v>
      </c>
      <c r="AL2" s="17" t="n">
        <v>46022</v>
      </c>
      <c r="AM2" s="17" t="n">
        <v>46053</v>
      </c>
      <c r="AN2" s="17" t="n">
        <v>46081</v>
      </c>
      <c r="AO2" s="17" t="n">
        <v>46112</v>
      </c>
      <c r="AP2" s="17" t="n">
        <v>46142</v>
      </c>
      <c r="AQ2" s="17" t="n">
        <v>46173</v>
      </c>
      <c r="AR2" s="17" t="n">
        <v>46203</v>
      </c>
      <c r="AS2" s="17" t="n">
        <v>46234</v>
      </c>
      <c r="AT2" s="17" t="n">
        <v>46265</v>
      </c>
      <c r="AU2" s="17" t="n">
        <v>46295</v>
      </c>
    </row>
    <row r="3" customFormat="false" ht="15" hidden="false" customHeight="false" outlineLevel="0" collapsed="false">
      <c r="A3" s="9" t="s">
        <v>306</v>
      </c>
    </row>
    <row r="4" customFormat="false" ht="15" hidden="false" customHeight="false" outlineLevel="0" collapsed="false">
      <c r="A4" s="7" t="s">
        <v>307</v>
      </c>
      <c r="B4" s="8" t="n">
        <v>38650</v>
      </c>
      <c r="C4" s="8" t="n">
        <v>28757.98</v>
      </c>
      <c r="D4" s="8" t="n">
        <v>17890.12</v>
      </c>
      <c r="E4" s="8" t="n">
        <v>19009.7</v>
      </c>
      <c r="F4" s="8" t="n">
        <v>18481.95</v>
      </c>
      <c r="G4" s="8" t="n">
        <v>8639.32</v>
      </c>
      <c r="H4" s="8" t="n">
        <v>12293.77</v>
      </c>
      <c r="I4" s="8" t="n">
        <v>18396.44</v>
      </c>
      <c r="J4" s="8" t="n">
        <v>28907.7</v>
      </c>
      <c r="K4" s="8" t="n">
        <v>44674.04</v>
      </c>
      <c r="L4" s="8" t="n">
        <v>28239.45</v>
      </c>
      <c r="M4" s="8" t="n">
        <v>34702.95</v>
      </c>
      <c r="N4" s="8" t="n">
        <v>28484.64</v>
      </c>
      <c r="O4" s="8" t="n">
        <v>18585.91</v>
      </c>
      <c r="P4" s="8" t="n">
        <v>31138.38</v>
      </c>
      <c r="Q4" s="8" t="n">
        <v>28721.14</v>
      </c>
      <c r="R4" s="8" t="n">
        <v>13050.08</v>
      </c>
      <c r="S4" s="8" t="n">
        <v>33488.91</v>
      </c>
      <c r="T4" s="8" t="n">
        <v>10260.45</v>
      </c>
      <c r="U4" s="8" t="n">
        <v>19391.76</v>
      </c>
      <c r="V4" s="8" t="n">
        <v>28610.77</v>
      </c>
      <c r="W4" s="8" t="n">
        <v>28529.64</v>
      </c>
      <c r="X4" s="8" t="n">
        <v>28547.5</v>
      </c>
      <c r="Y4" s="8" t="n">
        <v>19624.15</v>
      </c>
      <c r="Z4" s="8" t="n">
        <v>28016.41</v>
      </c>
      <c r="AA4" s="8" t="n">
        <v>28279.41</v>
      </c>
      <c r="AB4" s="8" t="n">
        <v>28610.56</v>
      </c>
      <c r="AC4" s="8" t="n">
        <v>10619.69</v>
      </c>
      <c r="AD4" s="8" t="n">
        <v>30259.37</v>
      </c>
      <c r="AE4" s="8" t="n">
        <v>7827.54</v>
      </c>
      <c r="AF4" s="8" t="n">
        <v>13192.54</v>
      </c>
      <c r="AG4" s="8" t="n">
        <v>21496.6</v>
      </c>
      <c r="AH4" s="8" t="n">
        <v>28524.04</v>
      </c>
      <c r="AI4" s="8" t="n">
        <v>34337.55</v>
      </c>
      <c r="AJ4" s="8" t="n">
        <v>28015.45</v>
      </c>
      <c r="AK4" s="8" t="n">
        <v>30114.1</v>
      </c>
      <c r="AL4" s="8" t="n">
        <v>28482.26</v>
      </c>
      <c r="AM4" s="8" t="n">
        <v>28472.39</v>
      </c>
      <c r="AN4" s="8" t="n">
        <v>28861.47</v>
      </c>
      <c r="AO4" s="8" t="n">
        <v>22303.58</v>
      </c>
      <c r="AP4" s="8" t="n">
        <v>43716.98</v>
      </c>
      <c r="AQ4" s="8" t="n">
        <v>19174.14</v>
      </c>
      <c r="AR4" s="8" t="n">
        <v>14841.7</v>
      </c>
      <c r="AS4" s="8" t="n">
        <v>11353.71</v>
      </c>
      <c r="AT4" s="8" t="n">
        <v>27970.53</v>
      </c>
      <c r="AU4" s="8" t="n">
        <v>28343.6</v>
      </c>
    </row>
    <row r="5" customFormat="false" ht="15" hidden="false" customHeight="false" outlineLevel="0" collapsed="false">
      <c r="A5" s="7" t="s">
        <v>308</v>
      </c>
      <c r="B5" s="8" t="n">
        <v>29956.8</v>
      </c>
      <c r="C5" s="8" t="n">
        <v>13480.56</v>
      </c>
      <c r="D5" s="8" t="n">
        <v>13480.56</v>
      </c>
      <c r="E5" s="8" t="n">
        <v>13480.56</v>
      </c>
      <c r="F5" s="8" t="n">
        <v>8987.04</v>
      </c>
      <c r="G5" s="8" t="n">
        <v>8987.04</v>
      </c>
      <c r="H5" s="8" t="n">
        <v>71262.92</v>
      </c>
      <c r="I5" s="8" t="n">
        <v>70982.55</v>
      </c>
      <c r="J5" s="8" t="n">
        <v>22693.97</v>
      </c>
      <c r="K5" s="8" t="n">
        <v>14536.56</v>
      </c>
      <c r="L5" s="8" t="n">
        <v>102989.32</v>
      </c>
      <c r="M5" s="8" t="n">
        <v>96530.32</v>
      </c>
      <c r="N5" s="8" t="n">
        <v>43671.65</v>
      </c>
      <c r="O5" s="8" t="n">
        <v>33062.65</v>
      </c>
      <c r="P5" s="8" t="n">
        <v>8680.08</v>
      </c>
      <c r="Q5" s="8" t="n">
        <v>8680.08</v>
      </c>
      <c r="R5" s="8" t="n">
        <v>5786.72</v>
      </c>
      <c r="S5" s="8" t="n">
        <v>5786.72</v>
      </c>
      <c r="T5" s="8" t="n">
        <v>50071.52</v>
      </c>
      <c r="U5" s="8" t="n">
        <v>87240.78</v>
      </c>
      <c r="V5" s="8" t="n">
        <v>28206.25</v>
      </c>
      <c r="W5" s="8" t="n">
        <v>2893.36</v>
      </c>
      <c r="X5" s="8" t="n">
        <v>66006.36</v>
      </c>
      <c r="Y5" s="8" t="n">
        <v>124970.21</v>
      </c>
      <c r="Z5" s="8" t="n">
        <v>77813.6</v>
      </c>
      <c r="AA5" s="8" t="n">
        <v>33100.14</v>
      </c>
      <c r="AB5" s="8" t="n">
        <v>13040.34</v>
      </c>
      <c r="AC5" s="8" t="n">
        <v>13040.34</v>
      </c>
      <c r="AD5" s="8" t="n">
        <v>8693.56</v>
      </c>
      <c r="AE5" s="8" t="n">
        <v>8693.56</v>
      </c>
      <c r="AF5" s="8" t="n">
        <v>59978.96</v>
      </c>
      <c r="AG5" s="8" t="n">
        <v>93576.38</v>
      </c>
      <c r="AH5" s="8" t="n">
        <v>28889.78</v>
      </c>
      <c r="AI5" s="8" t="n">
        <v>4346.78</v>
      </c>
      <c r="AJ5" s="8" t="n">
        <v>168244.6</v>
      </c>
      <c r="AK5" s="8" t="n">
        <v>131052.15</v>
      </c>
      <c r="AL5" s="8" t="n">
        <v>78353.79</v>
      </c>
      <c r="AM5" s="8" t="n">
        <v>34142.58</v>
      </c>
      <c r="AN5" s="8" t="n">
        <v>26685.19</v>
      </c>
      <c r="AO5" s="8" t="n">
        <v>26685.19</v>
      </c>
      <c r="AP5" s="8" t="n">
        <v>22071.21</v>
      </c>
      <c r="AQ5" s="8" t="n">
        <v>22071.21</v>
      </c>
      <c r="AR5" s="8" t="n">
        <v>60110.72</v>
      </c>
      <c r="AS5" s="8" t="n">
        <v>77564.22</v>
      </c>
      <c r="AT5" s="8" t="n">
        <v>35358.34</v>
      </c>
      <c r="AU5" s="8" t="n">
        <v>17457.23</v>
      </c>
    </row>
    <row r="6" customFormat="false" ht="15" hidden="false" customHeight="false" outlineLevel="0" collapsed="false">
      <c r="A6" s="7" t="s">
        <v>309</v>
      </c>
      <c r="B6" s="8" t="n">
        <v>33200</v>
      </c>
      <c r="C6" s="8" t="n">
        <v>33200</v>
      </c>
      <c r="D6" s="8" t="n">
        <v>33200</v>
      </c>
      <c r="E6" s="8" t="n">
        <v>33200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8968.75</v>
      </c>
      <c r="O6" s="8" t="n">
        <v>8968.75</v>
      </c>
      <c r="P6" s="8" t="n">
        <v>8968.75</v>
      </c>
      <c r="Q6" s="8" t="n">
        <v>8968.75</v>
      </c>
      <c r="R6" s="8" t="n">
        <v>8968.75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28150</v>
      </c>
      <c r="AA6" s="8" t="n">
        <v>28150</v>
      </c>
      <c r="AB6" s="8" t="n">
        <v>28150</v>
      </c>
      <c r="AC6" s="8" t="n">
        <v>28150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9406.25</v>
      </c>
      <c r="AM6" s="8" t="n">
        <v>9406.25</v>
      </c>
      <c r="AN6" s="8" t="n">
        <v>9406.25</v>
      </c>
      <c r="AO6" s="8" t="n">
        <v>9406.25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</row>
    <row r="7" customFormat="false" ht="15" hidden="false" customHeight="false" outlineLevel="0" collapsed="false">
      <c r="A7" s="7" t="s">
        <v>310</v>
      </c>
      <c r="B7" s="8" t="n">
        <v>54112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7886.4</v>
      </c>
      <c r="I7" s="8" t="n">
        <v>7519.36</v>
      </c>
      <c r="J7" s="8" t="n">
        <v>7142.4</v>
      </c>
      <c r="K7" s="8" t="n">
        <v>6765.44</v>
      </c>
      <c r="L7" s="8" t="n">
        <v>71415</v>
      </c>
      <c r="M7" s="8" t="n">
        <v>70638.75</v>
      </c>
      <c r="N7" s="8" t="n">
        <v>69086.25</v>
      </c>
      <c r="O7" s="8" t="n">
        <v>67533.75</v>
      </c>
      <c r="P7" s="8" t="n">
        <v>66136.5</v>
      </c>
      <c r="Q7" s="8" t="n">
        <v>27622.63</v>
      </c>
      <c r="R7" s="8" t="n">
        <v>27816.7</v>
      </c>
      <c r="S7" s="8" t="n">
        <v>0</v>
      </c>
      <c r="T7" s="8" t="n">
        <v>8066.56</v>
      </c>
      <c r="U7" s="8" t="n">
        <v>8051.84</v>
      </c>
      <c r="V7" s="8" t="n">
        <v>8066.56</v>
      </c>
      <c r="W7" s="8" t="n">
        <v>8096</v>
      </c>
      <c r="X7" s="8" t="n">
        <v>47068.8</v>
      </c>
      <c r="Y7" s="8" t="n">
        <v>47256.32</v>
      </c>
      <c r="Z7" s="8" t="n">
        <v>47454.4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10197.2</v>
      </c>
      <c r="AG7" s="8" t="n">
        <v>10218.4</v>
      </c>
      <c r="AH7" s="8" t="n">
        <v>10239.6</v>
      </c>
      <c r="AI7" s="8" t="n">
        <v>10282</v>
      </c>
      <c r="AJ7" s="8" t="n">
        <v>101856.53</v>
      </c>
      <c r="AK7" s="8" t="n">
        <v>104454.41</v>
      </c>
      <c r="AL7" s="8" t="n">
        <v>105942.95</v>
      </c>
      <c r="AM7" s="8" t="n">
        <v>89620.6</v>
      </c>
      <c r="AN7" s="8" t="n">
        <v>47627.92</v>
      </c>
      <c r="AO7" s="8" t="n">
        <v>37250.9</v>
      </c>
      <c r="AP7" s="8" t="n">
        <v>4.28</v>
      </c>
      <c r="AQ7" s="8" t="n">
        <v>4.25</v>
      </c>
      <c r="AR7" s="8" t="n">
        <v>4937.63</v>
      </c>
      <c r="AS7" s="8" t="n">
        <v>4799.32</v>
      </c>
      <c r="AT7" s="8" t="n">
        <v>4669.65</v>
      </c>
      <c r="AU7" s="8" t="n">
        <v>4669.65</v>
      </c>
    </row>
    <row r="8" customFormat="false" ht="15" hidden="false" customHeight="false" outlineLevel="0" collapsed="false">
      <c r="A8" s="7" t="s">
        <v>311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</row>
    <row r="9" customFormat="false" ht="15" hidden="false" customHeight="false" outlineLevel="0" collapsed="false">
      <c r="A9" s="7" t="s">
        <v>312</v>
      </c>
      <c r="B9" s="8" t="n">
        <v>4819.2</v>
      </c>
      <c r="C9" s="8" t="n">
        <v>6163.2</v>
      </c>
      <c r="D9" s="8" t="n">
        <v>6163.2</v>
      </c>
      <c r="E9" s="8" t="n">
        <v>15123.2</v>
      </c>
      <c r="F9" s="8" t="n">
        <v>90938.57</v>
      </c>
      <c r="G9" s="8" t="n">
        <v>106105.07</v>
      </c>
      <c r="H9" s="8" t="n">
        <v>103044.12</v>
      </c>
      <c r="I9" s="8" t="n">
        <v>114475.37</v>
      </c>
      <c r="J9" s="8" t="n">
        <v>121154.87</v>
      </c>
      <c r="K9" s="8" t="n">
        <v>100382.55</v>
      </c>
      <c r="L9" s="8" t="n">
        <v>31278.4</v>
      </c>
      <c r="M9" s="8" t="n">
        <v>4777.6</v>
      </c>
      <c r="N9" s="8" t="n">
        <v>4777.6</v>
      </c>
      <c r="O9" s="8" t="n">
        <v>6161.92</v>
      </c>
      <c r="P9" s="8" t="n">
        <v>6161.92</v>
      </c>
      <c r="Q9" s="8" t="n">
        <v>14323.04</v>
      </c>
      <c r="R9" s="8" t="n">
        <v>20858.72</v>
      </c>
      <c r="S9" s="8" t="n">
        <v>59904.54</v>
      </c>
      <c r="T9" s="8" t="n">
        <v>56041.18</v>
      </c>
      <c r="U9" s="8" t="n">
        <v>65129.17</v>
      </c>
      <c r="V9" s="8" t="n">
        <v>70557.93</v>
      </c>
      <c r="W9" s="8" t="n">
        <v>70681.53</v>
      </c>
      <c r="X9" s="8" t="n">
        <v>36216.24</v>
      </c>
      <c r="Y9" s="8" t="n">
        <v>4886.4</v>
      </c>
      <c r="Z9" s="8" t="n">
        <v>4886.4</v>
      </c>
      <c r="AA9" s="8" t="n">
        <v>6311.04</v>
      </c>
      <c r="AB9" s="8" t="n">
        <v>6311.04</v>
      </c>
      <c r="AC9" s="8" t="n">
        <v>14377.28</v>
      </c>
      <c r="AD9" s="8" t="n">
        <v>64751.52</v>
      </c>
      <c r="AE9" s="8" t="n">
        <v>90700.46</v>
      </c>
      <c r="AF9" s="8" t="n">
        <v>86276.54</v>
      </c>
      <c r="AG9" s="8" t="n">
        <v>98637.02</v>
      </c>
      <c r="AH9" s="8" t="n">
        <v>104342.54</v>
      </c>
      <c r="AI9" s="8" t="n">
        <v>104469.74</v>
      </c>
      <c r="AJ9" s="8" t="n">
        <v>37197.28</v>
      </c>
      <c r="AK9" s="8" t="n">
        <v>5089.6</v>
      </c>
      <c r="AL9" s="8" t="n">
        <v>5089.6</v>
      </c>
      <c r="AM9" s="8" t="n">
        <v>6554.56</v>
      </c>
      <c r="AN9" s="8" t="n">
        <v>6554.56</v>
      </c>
      <c r="AO9" s="8" t="n">
        <v>15677.92</v>
      </c>
      <c r="AP9" s="8" t="n">
        <v>42539.4</v>
      </c>
      <c r="AQ9" s="8" t="n">
        <v>75166.26</v>
      </c>
      <c r="AR9" s="8" t="n">
        <v>70708.88</v>
      </c>
      <c r="AS9" s="8" t="n">
        <v>81241.85</v>
      </c>
      <c r="AT9" s="8" t="n">
        <v>87929.13</v>
      </c>
      <c r="AU9" s="8" t="n">
        <v>66650.65</v>
      </c>
    </row>
    <row r="10" customFormat="false" ht="15" hidden="false" customHeight="false" outlineLevel="0" collapsed="false">
      <c r="A10" s="7" t="s">
        <v>313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</row>
    <row r="11" customFormat="false" ht="15" hidden="false" customHeight="false" outlineLevel="0" collapsed="false">
      <c r="A11" s="7" t="s">
        <v>314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</row>
    <row r="12" customFormat="false" ht="15" hidden="false" customHeight="false" outlineLevel="0" collapsed="false">
      <c r="A12" s="9" t="s">
        <v>315</v>
      </c>
      <c r="B12" s="18" t="n">
        <f aca="false">B4+B5+B6+B7+B8+B9+B10+B11</f>
        <v>160738</v>
      </c>
      <c r="C12" s="18" t="n">
        <f aca="false">C4+C5+C6+C7+C8+C9+C10+C11</f>
        <v>81601.74</v>
      </c>
      <c r="D12" s="18" t="n">
        <f aca="false">D4+D5+D6+D7+D8+D9+D10+D11</f>
        <v>70733.88</v>
      </c>
      <c r="E12" s="18" t="n">
        <f aca="false">E4+E5+E6+E7+E8+E9+E10+E11</f>
        <v>80813.46</v>
      </c>
      <c r="F12" s="18" t="n">
        <f aca="false">F4+F5+F6+F7+F8+F9+F10+F11</f>
        <v>118407.56</v>
      </c>
      <c r="G12" s="18" t="n">
        <f aca="false">G4+G5+G6+G7+G8+G9+G10+G11</f>
        <v>123731.43</v>
      </c>
      <c r="H12" s="18" t="n">
        <f aca="false">H4+H5+H6+H7+H8+H9+H10+H11</f>
        <v>194487.21</v>
      </c>
      <c r="I12" s="18" t="n">
        <f aca="false">I4+I5+I6+I7+I8+I9+I10+I11</f>
        <v>211373.72</v>
      </c>
      <c r="J12" s="18" t="n">
        <f aca="false">J4+J5+J6+J7+J8+J9+J10+J11</f>
        <v>179898.94</v>
      </c>
      <c r="K12" s="18" t="n">
        <f aca="false">K4+K5+K6+K7+K8+K9+K10+K11</f>
        <v>166358.59</v>
      </c>
      <c r="L12" s="18" t="n">
        <f aca="false">L4+L5+L6+L7+L8+L9+L10+L11</f>
        <v>233922.17</v>
      </c>
      <c r="M12" s="18" t="n">
        <f aca="false">M4+M5+M6+M7+M8+M9+M10+M11</f>
        <v>206649.62</v>
      </c>
      <c r="N12" s="18" t="n">
        <f aca="false">N4+N5+N6+N7+N8+N9+N10+N11</f>
        <v>154988.89</v>
      </c>
      <c r="O12" s="18" t="n">
        <f aca="false">O4+O5+O6+O7+O8+O9+O10+O11</f>
        <v>134312.98</v>
      </c>
      <c r="P12" s="18" t="n">
        <f aca="false">P4+P5+P6+P7+P8+P9+P10+P11</f>
        <v>121085.63</v>
      </c>
      <c r="Q12" s="18" t="n">
        <f aca="false">Q4+Q5+Q6+Q7+Q8+Q9+Q10+Q11</f>
        <v>88315.64</v>
      </c>
      <c r="R12" s="18" t="n">
        <f aca="false">R4+R5+R6+R7+R8+R9+R10+R11</f>
        <v>76480.97</v>
      </c>
      <c r="S12" s="18" t="n">
        <f aca="false">S4+S5+S6+S7+S8+S9+S10+S11</f>
        <v>99180.17</v>
      </c>
      <c r="T12" s="18" t="n">
        <f aca="false">T4+T5+T6+T7+T8+T9+T10+T11</f>
        <v>124439.71</v>
      </c>
      <c r="U12" s="18" t="n">
        <f aca="false">U4+U5+U6+U7+U8+U9+U10+U11</f>
        <v>179813.55</v>
      </c>
      <c r="V12" s="18" t="n">
        <f aca="false">V4+V5+V6+V7+V8+V9+V10+V11</f>
        <v>135441.51</v>
      </c>
      <c r="W12" s="18" t="n">
        <f aca="false">W4+W5+W6+W7+W8+W9+W10+W11</f>
        <v>110200.53</v>
      </c>
      <c r="X12" s="18" t="n">
        <f aca="false">X4+X5+X6+X7+X8+X9+X10+X11</f>
        <v>177838.9</v>
      </c>
      <c r="Y12" s="18" t="n">
        <f aca="false">Y4+Y5+Y6+Y7+Y8+Y9+Y10+Y11</f>
        <v>196737.08</v>
      </c>
      <c r="Z12" s="18" t="n">
        <f aca="false">Z4+Z5+Z6+Z7+Z8+Z9+Z10+Z11</f>
        <v>186320.81</v>
      </c>
      <c r="AA12" s="18" t="n">
        <f aca="false">AA4+AA5+AA6+AA7+AA8+AA9+AA10+AA11</f>
        <v>95840.59</v>
      </c>
      <c r="AB12" s="18" t="n">
        <f aca="false">AB4+AB5+AB6+AB7+AB8+AB9+AB10+AB11</f>
        <v>76111.94</v>
      </c>
      <c r="AC12" s="18" t="n">
        <f aca="false">AC4+AC5+AC6+AC7+AC8+AC9+AC10+AC11</f>
        <v>66187.31</v>
      </c>
      <c r="AD12" s="18" t="n">
        <f aca="false">AD4+AD5+AD6+AD7+AD8+AD9+AD10+AD11</f>
        <v>103704.45</v>
      </c>
      <c r="AE12" s="18" t="n">
        <f aca="false">AE4+AE5+AE6+AE7+AE8+AE9+AE10+AE11</f>
        <v>107221.56</v>
      </c>
      <c r="AF12" s="18" t="n">
        <f aca="false">AF4+AF5+AF6+AF7+AF8+AF9+AF10+AF11</f>
        <v>169645.24</v>
      </c>
      <c r="AG12" s="18" t="n">
        <f aca="false">AG4+AG5+AG6+AG7+AG8+AG9+AG10+AG11</f>
        <v>223928.4</v>
      </c>
      <c r="AH12" s="18" t="n">
        <f aca="false">AH4+AH5+AH6+AH7+AH8+AH9+AH10+AH11</f>
        <v>171995.96</v>
      </c>
      <c r="AI12" s="18" t="n">
        <f aca="false">AI4+AI5+AI6+AI7+AI8+AI9+AI10+AI11</f>
        <v>153436.07</v>
      </c>
      <c r="AJ12" s="18" t="n">
        <f aca="false">AJ4+AJ5+AJ6+AJ7+AJ8+AJ9+AJ10+AJ11</f>
        <v>335313.86</v>
      </c>
      <c r="AK12" s="18" t="n">
        <f aca="false">AK4+AK5+AK6+AK7+AK8+AK9+AK10+AK11</f>
        <v>270710.26</v>
      </c>
      <c r="AL12" s="18" t="n">
        <f aca="false">AL4+AL5+AL6+AL7+AL8+AL9+AL10+AL11</f>
        <v>227274.85</v>
      </c>
      <c r="AM12" s="18" t="n">
        <f aca="false">AM4+AM5+AM6+AM7+AM8+AM9+AM10+AM11</f>
        <v>168196.38</v>
      </c>
      <c r="AN12" s="18" t="n">
        <f aca="false">AN4+AN5+AN6+AN7+AN8+AN9+AN10+AN11</f>
        <v>119135.39</v>
      </c>
      <c r="AO12" s="18" t="n">
        <f aca="false">AO4+AO5+AO6+AO7+AO8+AO9+AO10+AO11</f>
        <v>111323.84</v>
      </c>
      <c r="AP12" s="18" t="n">
        <f aca="false">AP4+AP5+AP6+AP7+AP8+AP9+AP10+AP11</f>
        <v>108331.87</v>
      </c>
      <c r="AQ12" s="18" t="n">
        <f aca="false">AQ4+AQ5+AQ6+AQ7+AQ8+AQ9+AQ10+AQ11</f>
        <v>116415.86</v>
      </c>
      <c r="AR12" s="18" t="n">
        <f aca="false">AR4+AR5+AR6+AR7+AR8+AR9+AR10+AR11</f>
        <v>150598.93</v>
      </c>
      <c r="AS12" s="18" t="n">
        <f aca="false">AS4+AS5+AS6+AS7+AS8+AS9+AS10+AS11</f>
        <v>174959.1</v>
      </c>
      <c r="AT12" s="18" t="n">
        <f aca="false">AT4+AT5+AT6+AT7+AT8+AT9+AT10+AT11</f>
        <v>155927.65</v>
      </c>
      <c r="AU12" s="18" t="n">
        <f aca="false">AU4+AU5+AU6+AU7+AU8+AU9+AU10+AU11</f>
        <v>117121.13</v>
      </c>
    </row>
    <row r="13" customFormat="false" ht="15" hidden="false" customHeight="false" outlineLevel="0" collapsed="false">
      <c r="A13" s="7" t="s">
        <v>316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</row>
    <row r="14" customFormat="false" ht="15" hidden="false" customHeight="false" outlineLevel="0" collapsed="false">
      <c r="A14" s="7" t="s">
        <v>317</v>
      </c>
      <c r="B14" s="8" t="n">
        <v>614260.28</v>
      </c>
      <c r="C14" s="8" t="n">
        <v>610356.52</v>
      </c>
      <c r="D14" s="8" t="n">
        <v>606452.78</v>
      </c>
      <c r="E14" s="8" t="n">
        <v>602549.02</v>
      </c>
      <c r="F14" s="8" t="n">
        <v>598645.28</v>
      </c>
      <c r="G14" s="8" t="n">
        <v>594741.52</v>
      </c>
      <c r="H14" s="8" t="n">
        <v>590837.79</v>
      </c>
      <c r="I14" s="8" t="n">
        <v>586934.03</v>
      </c>
      <c r="J14" s="8" t="n">
        <v>583030.28</v>
      </c>
      <c r="K14" s="8" t="n">
        <v>579126.53</v>
      </c>
      <c r="L14" s="8" t="n">
        <v>575222.77</v>
      </c>
      <c r="M14" s="8" t="n">
        <v>571319.03</v>
      </c>
      <c r="N14" s="8" t="n">
        <v>567415.27</v>
      </c>
      <c r="O14" s="8" t="n">
        <v>563511.53</v>
      </c>
      <c r="P14" s="8" t="n">
        <v>559607.77</v>
      </c>
      <c r="Q14" s="8" t="n">
        <v>555704.04</v>
      </c>
      <c r="R14" s="8" t="n">
        <v>551800.28</v>
      </c>
      <c r="S14" s="8" t="n">
        <v>547896.53</v>
      </c>
      <c r="T14" s="8" t="n">
        <v>543992.78</v>
      </c>
      <c r="U14" s="8" t="n">
        <v>540089.02</v>
      </c>
      <c r="V14" s="8" t="n">
        <v>536185.28</v>
      </c>
      <c r="W14" s="8" t="n">
        <v>532281.52</v>
      </c>
      <c r="X14" s="8" t="n">
        <v>528377.78</v>
      </c>
      <c r="Y14" s="8" t="n">
        <v>524474.02</v>
      </c>
      <c r="Z14" s="8" t="n">
        <v>520570.29</v>
      </c>
      <c r="AA14" s="8" t="n">
        <v>516666.53</v>
      </c>
      <c r="AB14" s="8" t="n">
        <v>512762.78</v>
      </c>
      <c r="AC14" s="8" t="n">
        <v>727300</v>
      </c>
      <c r="AD14" s="8" t="n">
        <v>723114.99</v>
      </c>
      <c r="AE14" s="8" t="n">
        <v>718930</v>
      </c>
      <c r="AF14" s="8" t="n">
        <v>714744.99</v>
      </c>
      <c r="AG14" s="8" t="n">
        <v>710560.01</v>
      </c>
      <c r="AH14" s="8" t="n">
        <v>706375</v>
      </c>
      <c r="AI14" s="8" t="n">
        <v>702190.01</v>
      </c>
      <c r="AJ14" s="8" t="n">
        <v>698005</v>
      </c>
      <c r="AK14" s="8" t="n">
        <v>693820</v>
      </c>
      <c r="AL14" s="8" t="n">
        <v>689635</v>
      </c>
      <c r="AM14" s="8" t="n">
        <v>685449.99</v>
      </c>
      <c r="AN14" s="8" t="n">
        <v>681265</v>
      </c>
      <c r="AO14" s="8" t="n">
        <v>677079.99</v>
      </c>
      <c r="AP14" s="8" t="n">
        <v>672895.01</v>
      </c>
      <c r="AQ14" s="8" t="n">
        <v>668710</v>
      </c>
      <c r="AR14" s="8" t="n">
        <v>664525.01</v>
      </c>
      <c r="AS14" s="8" t="n">
        <v>660340</v>
      </c>
      <c r="AT14" s="8" t="n">
        <v>656155</v>
      </c>
      <c r="AU14" s="8" t="n">
        <v>651970</v>
      </c>
    </row>
    <row r="15" customFormat="false" ht="15" hidden="false" customHeight="false" outlineLevel="0" collapsed="false">
      <c r="A15" s="7" t="s">
        <v>318</v>
      </c>
      <c r="B15" s="8" t="n">
        <v>58286.46</v>
      </c>
      <c r="C15" s="8" t="n">
        <v>57854.17</v>
      </c>
      <c r="D15" s="8" t="n">
        <v>57421.88</v>
      </c>
      <c r="E15" s="8" t="n">
        <v>56989.58</v>
      </c>
      <c r="F15" s="8" t="n">
        <v>56557.29</v>
      </c>
      <c r="G15" s="8" t="n">
        <v>56125</v>
      </c>
      <c r="H15" s="8" t="n">
        <v>55692.71</v>
      </c>
      <c r="I15" s="8" t="n">
        <v>55260.42</v>
      </c>
      <c r="J15" s="8" t="n">
        <v>54828.12</v>
      </c>
      <c r="K15" s="8" t="n">
        <v>54395.83</v>
      </c>
      <c r="L15" s="8" t="n">
        <v>53963.54</v>
      </c>
      <c r="M15" s="8" t="n">
        <v>53531.25</v>
      </c>
      <c r="N15" s="8" t="n">
        <v>53098.96</v>
      </c>
      <c r="O15" s="8" t="n">
        <v>52666.67</v>
      </c>
      <c r="P15" s="8" t="n">
        <v>52234.38</v>
      </c>
      <c r="Q15" s="8" t="n">
        <v>51802.08</v>
      </c>
      <c r="R15" s="8" t="n">
        <v>51369.79</v>
      </c>
      <c r="S15" s="8" t="n">
        <v>50937.5</v>
      </c>
      <c r="T15" s="8" t="n">
        <v>50505.21</v>
      </c>
      <c r="U15" s="8" t="n">
        <v>50072.92</v>
      </c>
      <c r="V15" s="8" t="n">
        <v>147611.45</v>
      </c>
      <c r="W15" s="8" t="n">
        <v>141650</v>
      </c>
      <c r="X15" s="8" t="n">
        <v>140688.54</v>
      </c>
      <c r="Y15" s="8" t="n">
        <v>139727.08</v>
      </c>
      <c r="Z15" s="8" t="n">
        <v>138765.63</v>
      </c>
      <c r="AA15" s="8" t="n">
        <v>137804.17</v>
      </c>
      <c r="AB15" s="8" t="n">
        <v>136842.71</v>
      </c>
      <c r="AC15" s="8" t="n">
        <v>135881.25</v>
      </c>
      <c r="AD15" s="8" t="n">
        <v>134919.79</v>
      </c>
      <c r="AE15" s="8" t="n">
        <v>133958.33</v>
      </c>
      <c r="AF15" s="8" t="n">
        <v>132996.88</v>
      </c>
      <c r="AG15" s="8" t="n">
        <v>132035.42</v>
      </c>
      <c r="AH15" s="8" t="n">
        <v>131073.95</v>
      </c>
      <c r="AI15" s="8" t="n">
        <v>130112.5</v>
      </c>
      <c r="AJ15" s="8" t="n">
        <v>129151.04</v>
      </c>
      <c r="AK15" s="8" t="n">
        <v>128189.58</v>
      </c>
      <c r="AL15" s="8" t="n">
        <v>127228.13</v>
      </c>
      <c r="AM15" s="8" t="n">
        <v>126266.67</v>
      </c>
      <c r="AN15" s="8" t="n">
        <v>125305.21</v>
      </c>
      <c r="AO15" s="8" t="n">
        <v>124343.75</v>
      </c>
      <c r="AP15" s="8" t="n">
        <v>123382.29</v>
      </c>
      <c r="AQ15" s="8" t="n">
        <v>122420.83</v>
      </c>
      <c r="AR15" s="8" t="n">
        <v>121459.38</v>
      </c>
      <c r="AS15" s="8" t="n">
        <v>120497.92</v>
      </c>
      <c r="AT15" s="8" t="n">
        <v>119536.45</v>
      </c>
      <c r="AU15" s="8" t="n">
        <v>118575</v>
      </c>
    </row>
    <row r="16" customFormat="false" ht="15" hidden="false" customHeight="false" outlineLevel="0" collapsed="false">
      <c r="A16" s="7" t="s">
        <v>319</v>
      </c>
      <c r="B16" s="8" t="n">
        <v>272085.56</v>
      </c>
      <c r="C16" s="8" t="n">
        <v>270817.78</v>
      </c>
      <c r="D16" s="8" t="n">
        <v>269550</v>
      </c>
      <c r="E16" s="8" t="n">
        <v>268282.22</v>
      </c>
      <c r="F16" s="8" t="n">
        <v>267014.44</v>
      </c>
      <c r="G16" s="8" t="n">
        <v>265746.67</v>
      </c>
      <c r="H16" s="8" t="n">
        <v>264478.89</v>
      </c>
      <c r="I16" s="8" t="n">
        <v>263211.11</v>
      </c>
      <c r="J16" s="8" t="n">
        <v>261943.33</v>
      </c>
      <c r="K16" s="8" t="n">
        <v>260675.56</v>
      </c>
      <c r="L16" s="8" t="n">
        <v>259407.78</v>
      </c>
      <c r="M16" s="8" t="n">
        <v>258140</v>
      </c>
      <c r="N16" s="8" t="n">
        <v>256872.22</v>
      </c>
      <c r="O16" s="8" t="n">
        <v>255604.44</v>
      </c>
      <c r="P16" s="8" t="n">
        <v>254336.67</v>
      </c>
      <c r="Q16" s="8" t="n">
        <v>253068.89</v>
      </c>
      <c r="R16" s="8" t="n">
        <v>251801.11</v>
      </c>
      <c r="S16" s="8" t="n">
        <v>250533.33</v>
      </c>
      <c r="T16" s="8" t="n">
        <v>249265.56</v>
      </c>
      <c r="U16" s="8" t="n">
        <v>247997.78</v>
      </c>
      <c r="V16" s="8" t="n">
        <v>246730</v>
      </c>
      <c r="W16" s="8" t="n">
        <v>245462.22</v>
      </c>
      <c r="X16" s="8" t="n">
        <v>244194.44</v>
      </c>
      <c r="Y16" s="8" t="n">
        <v>242926.67</v>
      </c>
      <c r="Z16" s="8" t="n">
        <v>241658.89</v>
      </c>
      <c r="AA16" s="8" t="n">
        <v>240391.11</v>
      </c>
      <c r="AB16" s="8" t="n">
        <v>239123.33</v>
      </c>
      <c r="AC16" s="8" t="n">
        <v>237855.56</v>
      </c>
      <c r="AD16" s="8" t="n">
        <v>236587.78</v>
      </c>
      <c r="AE16" s="8" t="n">
        <v>235320</v>
      </c>
      <c r="AF16" s="8" t="n">
        <v>234052.22</v>
      </c>
      <c r="AG16" s="8" t="n">
        <v>232784.44</v>
      </c>
      <c r="AH16" s="8" t="n">
        <v>231516.67</v>
      </c>
      <c r="AI16" s="8" t="n">
        <v>230248.89</v>
      </c>
      <c r="AJ16" s="8" t="n">
        <v>228981.11</v>
      </c>
      <c r="AK16" s="8" t="n">
        <v>227713.33</v>
      </c>
      <c r="AL16" s="8" t="n">
        <v>226445.56</v>
      </c>
      <c r="AM16" s="8" t="n">
        <v>225177.78</v>
      </c>
      <c r="AN16" s="8" t="n">
        <v>223910</v>
      </c>
      <c r="AO16" s="8" t="n">
        <v>222642.22</v>
      </c>
      <c r="AP16" s="8" t="n">
        <v>221374.44</v>
      </c>
      <c r="AQ16" s="8" t="n">
        <v>220106.67</v>
      </c>
      <c r="AR16" s="8" t="n">
        <v>218838.89</v>
      </c>
      <c r="AS16" s="8" t="n">
        <v>217571.11</v>
      </c>
      <c r="AT16" s="8" t="n">
        <v>216303.33</v>
      </c>
      <c r="AU16" s="8" t="n">
        <v>215035.56</v>
      </c>
    </row>
    <row r="17" customFormat="false" ht="15" hidden="false" customHeight="false" outlineLevel="0" collapsed="false">
      <c r="A17" s="7" t="s">
        <v>320</v>
      </c>
      <c r="B17" s="8" t="n">
        <v>925000</v>
      </c>
      <c r="C17" s="8" t="n">
        <v>925000</v>
      </c>
      <c r="D17" s="8" t="n">
        <v>925000</v>
      </c>
      <c r="E17" s="8" t="n">
        <v>925000</v>
      </c>
      <c r="F17" s="8" t="n">
        <v>925000</v>
      </c>
      <c r="G17" s="8" t="n">
        <v>925000</v>
      </c>
      <c r="H17" s="8" t="n">
        <v>925000</v>
      </c>
      <c r="I17" s="8" t="n">
        <v>925000</v>
      </c>
      <c r="J17" s="8" t="n">
        <v>925000</v>
      </c>
      <c r="K17" s="8" t="n">
        <v>925000</v>
      </c>
      <c r="L17" s="8" t="n">
        <v>925000</v>
      </c>
      <c r="M17" s="8" t="n">
        <v>925000</v>
      </c>
      <c r="N17" s="8" t="n">
        <v>925000</v>
      </c>
      <c r="O17" s="8" t="n">
        <v>925000</v>
      </c>
      <c r="P17" s="8" t="n">
        <v>925000</v>
      </c>
      <c r="Q17" s="8" t="n">
        <v>925000</v>
      </c>
      <c r="R17" s="8" t="n">
        <v>925000</v>
      </c>
      <c r="S17" s="8" t="n">
        <v>925000</v>
      </c>
      <c r="T17" s="8" t="n">
        <v>925000</v>
      </c>
      <c r="U17" s="8" t="n">
        <v>925000</v>
      </c>
      <c r="V17" s="8" t="n">
        <v>925000</v>
      </c>
      <c r="W17" s="8" t="n">
        <v>925000</v>
      </c>
      <c r="X17" s="8" t="n">
        <v>925000</v>
      </c>
      <c r="Y17" s="8" t="n">
        <v>925000</v>
      </c>
      <c r="Z17" s="8" t="n">
        <v>925000</v>
      </c>
      <c r="AA17" s="8" t="n">
        <v>925000</v>
      </c>
      <c r="AB17" s="8" t="n">
        <v>925000</v>
      </c>
      <c r="AC17" s="8" t="n">
        <v>925000</v>
      </c>
      <c r="AD17" s="8" t="n">
        <v>925000</v>
      </c>
      <c r="AE17" s="8" t="n">
        <v>925000</v>
      </c>
      <c r="AF17" s="8" t="n">
        <v>925000</v>
      </c>
      <c r="AG17" s="8" t="n">
        <v>925000</v>
      </c>
      <c r="AH17" s="8" t="n">
        <v>925000</v>
      </c>
      <c r="AI17" s="8" t="n">
        <v>925000</v>
      </c>
      <c r="AJ17" s="8" t="n">
        <v>925000</v>
      </c>
      <c r="AK17" s="8" t="n">
        <v>925000</v>
      </c>
      <c r="AL17" s="8" t="n">
        <v>925000</v>
      </c>
      <c r="AM17" s="8" t="n">
        <v>925000</v>
      </c>
      <c r="AN17" s="8" t="n">
        <v>925000</v>
      </c>
      <c r="AO17" s="8" t="n">
        <v>925000</v>
      </c>
      <c r="AP17" s="8" t="n">
        <v>925000</v>
      </c>
      <c r="AQ17" s="8" t="n">
        <v>925000</v>
      </c>
      <c r="AR17" s="8" t="n">
        <v>925000</v>
      </c>
      <c r="AS17" s="8" t="n">
        <v>925000</v>
      </c>
      <c r="AT17" s="8" t="n">
        <v>925000</v>
      </c>
      <c r="AU17" s="8" t="n">
        <v>925000</v>
      </c>
    </row>
    <row r="18" customFormat="false" ht="15" hidden="false" customHeight="false" outlineLevel="0" collapsed="false">
      <c r="A18" s="9" t="s">
        <v>321</v>
      </c>
      <c r="B18" s="18" t="n">
        <f aca="false">B13+B14+B15+B16+B17</f>
        <v>1869632.3</v>
      </c>
      <c r="C18" s="18" t="n">
        <f aca="false">C13+C14+C15+C16+C17</f>
        <v>1864028.47</v>
      </c>
      <c r="D18" s="18" t="n">
        <f aca="false">D13+D14+D15+D16+D17</f>
        <v>1858424.66</v>
      </c>
      <c r="E18" s="18" t="n">
        <f aca="false">E13+E14+E15+E16+E17</f>
        <v>1852820.82</v>
      </c>
      <c r="F18" s="18" t="n">
        <f aca="false">F13+F14+F15+F16+F17</f>
        <v>1847217.01</v>
      </c>
      <c r="G18" s="18" t="n">
        <f aca="false">G13+G14+G15+G16+G17</f>
        <v>1841613.19</v>
      </c>
      <c r="H18" s="18" t="n">
        <f aca="false">H13+H14+H15+H16+H17</f>
        <v>1836009.39</v>
      </c>
      <c r="I18" s="18" t="n">
        <f aca="false">I13+I14+I15+I16+I17</f>
        <v>1830405.56</v>
      </c>
      <c r="J18" s="18" t="n">
        <f aca="false">J13+J14+J15+J16+J17</f>
        <v>1824801.73</v>
      </c>
      <c r="K18" s="18" t="n">
        <f aca="false">K13+K14+K15+K16+K17</f>
        <v>1819197.92</v>
      </c>
      <c r="L18" s="18" t="n">
        <f aca="false">L13+L14+L15+L16+L17</f>
        <v>1813594.09</v>
      </c>
      <c r="M18" s="18" t="n">
        <f aca="false">M13+M14+M15+M16+M17</f>
        <v>1807990.28</v>
      </c>
      <c r="N18" s="18" t="n">
        <f aca="false">N13+N14+N15+N16+N17</f>
        <v>1802386.45</v>
      </c>
      <c r="O18" s="18" t="n">
        <f aca="false">O13+O14+O15+O16+O17</f>
        <v>1796782.64</v>
      </c>
      <c r="P18" s="18" t="n">
        <f aca="false">P13+P14+P15+P16+P17</f>
        <v>1791178.82</v>
      </c>
      <c r="Q18" s="18" t="n">
        <f aca="false">Q13+Q14+Q15+Q16+Q17</f>
        <v>1785575.01</v>
      </c>
      <c r="R18" s="18" t="n">
        <f aca="false">R13+R14+R15+R16+R17</f>
        <v>1779971.18</v>
      </c>
      <c r="S18" s="18" t="n">
        <f aca="false">S13+S14+S15+S16+S17</f>
        <v>1774367.36</v>
      </c>
      <c r="T18" s="18" t="n">
        <f aca="false">T13+T14+T15+T16+T17</f>
        <v>1768763.55</v>
      </c>
      <c r="U18" s="18" t="n">
        <f aca="false">U13+U14+U15+U16+U17</f>
        <v>1763159.72</v>
      </c>
      <c r="V18" s="18" t="n">
        <f aca="false">V13+V14+V15+V16+V17</f>
        <v>1855526.73</v>
      </c>
      <c r="W18" s="18" t="n">
        <f aca="false">W13+W14+W15+W16+W17</f>
        <v>1844393.74</v>
      </c>
      <c r="X18" s="18" t="n">
        <f aca="false">X13+X14+X15+X16+X17</f>
        <v>1838260.76</v>
      </c>
      <c r="Y18" s="18" t="n">
        <f aca="false">Y13+Y14+Y15+Y16+Y17</f>
        <v>1832127.77</v>
      </c>
      <c r="Z18" s="18" t="n">
        <f aca="false">Z13+Z14+Z15+Z16+Z17</f>
        <v>1825994.81</v>
      </c>
      <c r="AA18" s="18" t="n">
        <f aca="false">AA13+AA14+AA15+AA16+AA17</f>
        <v>1819861.81</v>
      </c>
      <c r="AB18" s="18" t="n">
        <f aca="false">AB13+AB14+AB15+AB16+AB17</f>
        <v>1813728.82</v>
      </c>
      <c r="AC18" s="18" t="n">
        <f aca="false">AC13+AC14+AC15+AC16+AC17</f>
        <v>2026036.81</v>
      </c>
      <c r="AD18" s="18" t="n">
        <f aca="false">AD13+AD14+AD15+AD16+AD17</f>
        <v>2019622.56</v>
      </c>
      <c r="AE18" s="18" t="n">
        <f aca="false">AE13+AE14+AE15+AE16+AE17</f>
        <v>2013208.33</v>
      </c>
      <c r="AF18" s="18" t="n">
        <f aca="false">AF13+AF14+AF15+AF16+AF17</f>
        <v>2006794.09</v>
      </c>
      <c r="AG18" s="18" t="n">
        <f aca="false">AG13+AG14+AG15+AG16+AG17</f>
        <v>2000379.87</v>
      </c>
      <c r="AH18" s="18" t="n">
        <f aca="false">AH13+AH14+AH15+AH16+AH17</f>
        <v>1993965.62</v>
      </c>
      <c r="AI18" s="18" t="n">
        <f aca="false">AI13+AI14+AI15+AI16+AI17</f>
        <v>1987551.4</v>
      </c>
      <c r="AJ18" s="18" t="n">
        <f aca="false">AJ13+AJ14+AJ15+AJ16+AJ17</f>
        <v>1981137.15</v>
      </c>
      <c r="AK18" s="18" t="n">
        <f aca="false">AK13+AK14+AK15+AK16+AK17</f>
        <v>1974722.91</v>
      </c>
      <c r="AL18" s="18" t="n">
        <f aca="false">AL13+AL14+AL15+AL16+AL17</f>
        <v>1968308.69</v>
      </c>
      <c r="AM18" s="18" t="n">
        <f aca="false">AM13+AM14+AM15+AM16+AM17</f>
        <v>1961894.44</v>
      </c>
      <c r="AN18" s="18" t="n">
        <f aca="false">AN13+AN14+AN15+AN16+AN17</f>
        <v>1955480.21</v>
      </c>
      <c r="AO18" s="18" t="n">
        <f aca="false">AO13+AO14+AO15+AO16+AO17</f>
        <v>1949065.96</v>
      </c>
      <c r="AP18" s="18" t="n">
        <f aca="false">AP13+AP14+AP15+AP16+AP17</f>
        <v>1942651.74</v>
      </c>
      <c r="AQ18" s="18" t="n">
        <f aca="false">AQ13+AQ14+AQ15+AQ16+AQ17</f>
        <v>1936237.5</v>
      </c>
      <c r="AR18" s="18" t="n">
        <f aca="false">AR13+AR14+AR15+AR16+AR17</f>
        <v>1929823.28</v>
      </c>
      <c r="AS18" s="18" t="n">
        <f aca="false">AS13+AS14+AS15+AS16+AS17</f>
        <v>1923409.03</v>
      </c>
      <c r="AT18" s="18" t="n">
        <f aca="false">AT13+AT14+AT15+AT16+AT17</f>
        <v>1916994.78</v>
      </c>
      <c r="AU18" s="18" t="n">
        <f aca="false">AU13+AU14+AU15+AU16+AU17</f>
        <v>1910580.56</v>
      </c>
    </row>
    <row r="19" customFormat="false" ht="15" hidden="false" customHeight="false" outlineLevel="0" collapsed="false">
      <c r="A19" s="9" t="s">
        <v>322</v>
      </c>
      <c r="B19" s="18" t="n">
        <f aca="false">B12+B18</f>
        <v>2030370.3</v>
      </c>
      <c r="C19" s="18" t="n">
        <f aca="false">C12+C18</f>
        <v>1945630.21</v>
      </c>
      <c r="D19" s="18" t="n">
        <f aca="false">D12+D18</f>
        <v>1929158.54</v>
      </c>
      <c r="E19" s="18" t="n">
        <f aca="false">E12+E18</f>
        <v>1933634.28</v>
      </c>
      <c r="F19" s="18" t="n">
        <f aca="false">F12+F18</f>
        <v>1965624.57</v>
      </c>
      <c r="G19" s="18" t="n">
        <f aca="false">G12+G18</f>
        <v>1965344.62</v>
      </c>
      <c r="H19" s="18" t="n">
        <f aca="false">H12+H18</f>
        <v>2030496.6</v>
      </c>
      <c r="I19" s="18" t="n">
        <f aca="false">I12+I18</f>
        <v>2041779.28</v>
      </c>
      <c r="J19" s="18" t="n">
        <f aca="false">J12+J18</f>
        <v>2004700.67</v>
      </c>
      <c r="K19" s="18" t="n">
        <f aca="false">K12+K18</f>
        <v>1985556.51</v>
      </c>
      <c r="L19" s="18" t="n">
        <f aca="false">L12+L18</f>
        <v>2047516.26</v>
      </c>
      <c r="M19" s="18" t="n">
        <f aca="false">M12+M18</f>
        <v>2014639.9</v>
      </c>
      <c r="N19" s="18" t="n">
        <f aca="false">N12+N18</f>
        <v>1957375.34</v>
      </c>
      <c r="O19" s="18" t="n">
        <f aca="false">O12+O18</f>
        <v>1931095.62</v>
      </c>
      <c r="P19" s="18" t="n">
        <f aca="false">P12+P18</f>
        <v>1912264.45</v>
      </c>
      <c r="Q19" s="18" t="n">
        <f aca="false">Q12+Q18</f>
        <v>1873890.65</v>
      </c>
      <c r="R19" s="18" t="n">
        <f aca="false">R12+R18</f>
        <v>1856452.15</v>
      </c>
      <c r="S19" s="18" t="n">
        <f aca="false">S12+S18</f>
        <v>1873547.53</v>
      </c>
      <c r="T19" s="18" t="n">
        <f aca="false">T12+T18</f>
        <v>1893203.26</v>
      </c>
      <c r="U19" s="18" t="n">
        <f aca="false">U12+U18</f>
        <v>1942973.27</v>
      </c>
      <c r="V19" s="18" t="n">
        <f aca="false">V12+V18</f>
        <v>1990968.24</v>
      </c>
      <c r="W19" s="18" t="n">
        <f aca="false">W12+W18</f>
        <v>1954594.27</v>
      </c>
      <c r="X19" s="18" t="n">
        <f aca="false">X12+X18</f>
        <v>2016099.66</v>
      </c>
      <c r="Y19" s="18" t="n">
        <f aca="false">Y12+Y18</f>
        <v>2028864.85</v>
      </c>
      <c r="Z19" s="18" t="n">
        <f aca="false">Z12+Z18</f>
        <v>2012315.62</v>
      </c>
      <c r="AA19" s="18" t="n">
        <f aca="false">AA12+AA18</f>
        <v>1915702.4</v>
      </c>
      <c r="AB19" s="18" t="n">
        <f aca="false">AB12+AB18</f>
        <v>1889840.76</v>
      </c>
      <c r="AC19" s="18" t="n">
        <f aca="false">AC12+AC18</f>
        <v>2092224.12</v>
      </c>
      <c r="AD19" s="18" t="n">
        <f aca="false">AD12+AD18</f>
        <v>2123327.01</v>
      </c>
      <c r="AE19" s="18" t="n">
        <f aca="false">AE12+AE18</f>
        <v>2120429.89</v>
      </c>
      <c r="AF19" s="18" t="n">
        <f aca="false">AF12+AF18</f>
        <v>2176439.33</v>
      </c>
      <c r="AG19" s="18" t="n">
        <f aca="false">AG12+AG18</f>
        <v>2224308.27</v>
      </c>
      <c r="AH19" s="18" t="n">
        <f aca="false">AH12+AH18</f>
        <v>2165961.58</v>
      </c>
      <c r="AI19" s="18" t="n">
        <f aca="false">AI12+AI18</f>
        <v>2140987.47</v>
      </c>
      <c r="AJ19" s="18" t="n">
        <f aca="false">AJ12+AJ18</f>
        <v>2316451.01</v>
      </c>
      <c r="AK19" s="18" t="n">
        <f aca="false">AK12+AK18</f>
        <v>2245433.17</v>
      </c>
      <c r="AL19" s="18" t="n">
        <f aca="false">AL12+AL18</f>
        <v>2195583.54</v>
      </c>
      <c r="AM19" s="18" t="n">
        <f aca="false">AM12+AM18</f>
        <v>2130090.82</v>
      </c>
      <c r="AN19" s="18" t="n">
        <f aca="false">AN12+AN18</f>
        <v>2074615.6</v>
      </c>
      <c r="AO19" s="18" t="n">
        <f aca="false">AO12+AO18</f>
        <v>2060389.8</v>
      </c>
      <c r="AP19" s="18" t="n">
        <f aca="false">AP12+AP18</f>
        <v>2050983.61</v>
      </c>
      <c r="AQ19" s="18" t="n">
        <f aca="false">AQ12+AQ18</f>
        <v>2052653.36</v>
      </c>
      <c r="AR19" s="18" t="n">
        <f aca="false">AR12+AR18</f>
        <v>2080422.21</v>
      </c>
      <c r="AS19" s="18" t="n">
        <f aca="false">AS12+AS18</f>
        <v>2098368.13</v>
      </c>
      <c r="AT19" s="18" t="n">
        <f aca="false">AT12+AT18</f>
        <v>2072922.43</v>
      </c>
      <c r="AU19" s="18" t="n">
        <f aca="false">AU12+AU18</f>
        <v>2027701.69</v>
      </c>
    </row>
    <row r="20" customFormat="false" ht="15" hidden="false" customHeight="false" outlineLevel="0" collapsed="false">
      <c r="A20" s="9" t="s">
        <v>323</v>
      </c>
    </row>
    <row r="21" customFormat="false" ht="15" hidden="false" customHeight="false" outlineLevel="0" collapsed="false">
      <c r="A21" s="7" t="s">
        <v>324</v>
      </c>
      <c r="B21" s="8" t="n">
        <v>3184.55</v>
      </c>
      <c r="C21" s="8" t="n">
        <v>1344</v>
      </c>
      <c r="D21" s="8" t="n">
        <v>0</v>
      </c>
      <c r="E21" s="8" t="n">
        <v>16373.48</v>
      </c>
      <c r="F21" s="8" t="n">
        <v>37355.37</v>
      </c>
      <c r="G21" s="8" t="n">
        <v>15166.5</v>
      </c>
      <c r="H21" s="8" t="n">
        <v>14650.69</v>
      </c>
      <c r="I21" s="8" t="n">
        <v>20725.5</v>
      </c>
      <c r="J21" s="8" t="n">
        <v>9537.5</v>
      </c>
      <c r="K21" s="8" t="n">
        <v>13168.28</v>
      </c>
      <c r="L21" s="8" t="n">
        <v>18454.48</v>
      </c>
      <c r="M21" s="8" t="n">
        <v>17473.33</v>
      </c>
      <c r="N21" s="8" t="n">
        <v>10296.96</v>
      </c>
      <c r="O21" s="8" t="n">
        <v>4961.28</v>
      </c>
      <c r="P21" s="8" t="n">
        <v>0</v>
      </c>
      <c r="Q21" s="8" t="n">
        <v>8476.47</v>
      </c>
      <c r="R21" s="8" t="n">
        <v>10098.18</v>
      </c>
      <c r="S21" s="8" t="n">
        <v>30684.57</v>
      </c>
      <c r="T21" s="8" t="n">
        <v>22247.96</v>
      </c>
      <c r="U21" s="8" t="n">
        <v>18816.24</v>
      </c>
      <c r="V21" s="8" t="n">
        <v>3995</v>
      </c>
      <c r="W21" s="8" t="n">
        <v>11746.8</v>
      </c>
      <c r="X21" s="8" t="n">
        <v>22324.18</v>
      </c>
      <c r="Y21" s="8" t="n">
        <v>17260.42</v>
      </c>
      <c r="Z21" s="8" t="n">
        <v>13112.06</v>
      </c>
      <c r="AA21" s="8" t="n">
        <v>7624.7</v>
      </c>
      <c r="AB21" s="8" t="n">
        <v>0</v>
      </c>
      <c r="AC21" s="8" t="n">
        <v>8126.88</v>
      </c>
      <c r="AD21" s="8" t="n">
        <v>20059.05</v>
      </c>
      <c r="AE21" s="8" t="n">
        <v>24988.94</v>
      </c>
      <c r="AF21" s="8" t="n">
        <v>29527.44</v>
      </c>
      <c r="AG21" s="8" t="n">
        <v>25064.01</v>
      </c>
      <c r="AH21" s="8" t="n">
        <v>22650</v>
      </c>
      <c r="AI21" s="8" t="n">
        <v>31077.6</v>
      </c>
      <c r="AJ21" s="8" t="n">
        <v>24405.3</v>
      </c>
      <c r="AK21" s="8" t="n">
        <v>17662.86</v>
      </c>
      <c r="AL21" s="8" t="n">
        <v>14302.27</v>
      </c>
      <c r="AM21" s="8" t="n">
        <v>8567.23</v>
      </c>
      <c r="AN21" s="8" t="n">
        <v>0</v>
      </c>
      <c r="AO21" s="8" t="n">
        <v>9145.04</v>
      </c>
      <c r="AP21" s="8" t="n">
        <v>30725.84</v>
      </c>
      <c r="AQ21" s="8" t="n">
        <v>31768.61</v>
      </c>
      <c r="AR21" s="8" t="n">
        <v>21712.86</v>
      </c>
      <c r="AS21" s="8" t="n">
        <v>17601.92</v>
      </c>
      <c r="AT21" s="8" t="n">
        <v>5170</v>
      </c>
      <c r="AU21" s="8" t="n">
        <v>15921.44</v>
      </c>
    </row>
    <row r="22" customFormat="false" ht="15" hidden="false" customHeight="false" outlineLevel="0" collapsed="false">
      <c r="A22" s="7" t="s">
        <v>325</v>
      </c>
      <c r="B22" s="8" t="n">
        <v>0</v>
      </c>
      <c r="C22" s="8" t="n">
        <v>449.74</v>
      </c>
      <c r="D22" s="8" t="n">
        <v>554.28</v>
      </c>
      <c r="E22" s="8" t="n">
        <v>520.59</v>
      </c>
      <c r="F22" s="8" t="n">
        <v>935.65</v>
      </c>
      <c r="G22" s="8" t="n">
        <v>452.8</v>
      </c>
      <c r="H22" s="8" t="n">
        <v>2355.57</v>
      </c>
      <c r="I22" s="8" t="n">
        <v>420.28</v>
      </c>
      <c r="J22" s="8" t="n">
        <v>381.25</v>
      </c>
      <c r="K22" s="8" t="n">
        <v>4198.23</v>
      </c>
      <c r="L22" s="8" t="n">
        <v>557.46</v>
      </c>
      <c r="M22" s="8" t="n">
        <v>512.89</v>
      </c>
      <c r="N22" s="8" t="n">
        <v>450.11</v>
      </c>
      <c r="O22" s="8" t="n">
        <v>464.67</v>
      </c>
      <c r="P22" s="8" t="n">
        <v>507.66</v>
      </c>
      <c r="Q22" s="8" t="n">
        <v>549.84</v>
      </c>
      <c r="R22" s="8" t="n">
        <v>922.27</v>
      </c>
      <c r="S22" s="8" t="n">
        <v>484.23</v>
      </c>
      <c r="T22" s="8" t="n">
        <v>2451.19</v>
      </c>
      <c r="U22" s="8" t="n">
        <v>584.32</v>
      </c>
      <c r="V22" s="8" t="n">
        <v>435.56</v>
      </c>
      <c r="W22" s="8" t="n">
        <v>4445.64</v>
      </c>
      <c r="X22" s="8" t="n">
        <v>557.56</v>
      </c>
      <c r="Y22" s="8" t="n">
        <v>479.89</v>
      </c>
      <c r="Z22" s="8" t="n">
        <v>440.89</v>
      </c>
      <c r="AA22" s="8" t="n">
        <v>466.07</v>
      </c>
      <c r="AB22" s="8" t="n">
        <v>478.01</v>
      </c>
      <c r="AC22" s="8" t="n">
        <v>501.8</v>
      </c>
      <c r="AD22" s="8" t="n">
        <v>951.62</v>
      </c>
      <c r="AE22" s="8" t="n">
        <v>538.52</v>
      </c>
      <c r="AF22" s="8" t="n">
        <v>2705.92</v>
      </c>
      <c r="AG22" s="8" t="n">
        <v>522.06</v>
      </c>
      <c r="AH22" s="8" t="n">
        <v>414.23</v>
      </c>
      <c r="AI22" s="8" t="n">
        <v>4807.47</v>
      </c>
      <c r="AJ22" s="8" t="n">
        <v>497.5</v>
      </c>
      <c r="AK22" s="8" t="n">
        <v>462.26</v>
      </c>
      <c r="AL22" s="8" t="n">
        <v>454.24</v>
      </c>
      <c r="AM22" s="8" t="n">
        <v>484.05</v>
      </c>
      <c r="AN22" s="8" t="n">
        <v>403.75</v>
      </c>
      <c r="AO22" s="8" t="n">
        <v>482.54</v>
      </c>
      <c r="AP22" s="8" t="n">
        <v>957.95</v>
      </c>
      <c r="AQ22" s="8" t="n">
        <v>439.1</v>
      </c>
      <c r="AR22" s="8" t="n">
        <v>2790.93</v>
      </c>
      <c r="AS22" s="8" t="n">
        <v>509.31</v>
      </c>
      <c r="AT22" s="8" t="n">
        <v>534.06</v>
      </c>
      <c r="AU22" s="8" t="n">
        <v>5127.08</v>
      </c>
    </row>
    <row r="23" customFormat="false" ht="15" hidden="false" customHeight="false" outlineLevel="0" collapsed="false">
      <c r="A23" s="7" t="s">
        <v>326</v>
      </c>
      <c r="B23" s="8" t="n">
        <v>3821.32</v>
      </c>
      <c r="C23" s="8" t="n">
        <v>3390.12</v>
      </c>
      <c r="D23" s="8" t="n">
        <v>3390.12</v>
      </c>
      <c r="E23" s="8" t="n">
        <v>3390.12</v>
      </c>
      <c r="F23" s="8" t="n">
        <v>3390.12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3821</v>
      </c>
      <c r="O23" s="8" t="n">
        <v>3390</v>
      </c>
      <c r="P23" s="8" t="n">
        <v>3390</v>
      </c>
      <c r="Q23" s="8" t="n">
        <v>3390</v>
      </c>
      <c r="R23" s="8" t="n">
        <v>3390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3952.58</v>
      </c>
      <c r="AA23" s="8" t="n">
        <v>3508.65</v>
      </c>
      <c r="AB23" s="8" t="n">
        <v>3508.65</v>
      </c>
      <c r="AC23" s="8" t="n">
        <v>3508.65</v>
      </c>
      <c r="AD23" s="8" t="n">
        <v>3508.65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4088.7</v>
      </c>
      <c r="AM23" s="8" t="n">
        <v>3631.45</v>
      </c>
      <c r="AN23" s="8" t="n">
        <v>3631.45</v>
      </c>
      <c r="AO23" s="8" t="n">
        <v>3631.45</v>
      </c>
      <c r="AP23" s="8" t="n">
        <v>3631.45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</row>
    <row r="24" customFormat="false" ht="15" hidden="false" customHeight="false" outlineLevel="0" collapsed="false">
      <c r="A24" s="7" t="s">
        <v>327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193.42</v>
      </c>
      <c r="H24" s="8" t="n">
        <v>290.16</v>
      </c>
      <c r="I24" s="8" t="n">
        <v>273.29</v>
      </c>
      <c r="J24" s="8" t="n">
        <v>207.31</v>
      </c>
      <c r="K24" s="8" t="n">
        <v>488.92</v>
      </c>
      <c r="L24" s="8" t="n">
        <v>366.26</v>
      </c>
      <c r="M24" s="8" t="n">
        <v>179.2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215.27</v>
      </c>
      <c r="T24" s="8" t="n">
        <v>440.48</v>
      </c>
      <c r="U24" s="8" t="n">
        <v>298.31</v>
      </c>
      <c r="V24" s="8" t="n">
        <v>212.77</v>
      </c>
      <c r="W24" s="8" t="n">
        <v>296.86</v>
      </c>
      <c r="X24" s="8" t="n">
        <v>396.46</v>
      </c>
      <c r="Y24" s="8" t="n">
        <v>345.29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228.01</v>
      </c>
      <c r="AF24" s="8" t="n">
        <v>397.58</v>
      </c>
      <c r="AG24" s="8" t="n">
        <v>296.98</v>
      </c>
      <c r="AH24" s="8" t="n">
        <v>234.05</v>
      </c>
      <c r="AI24" s="8" t="n">
        <v>325.5</v>
      </c>
      <c r="AJ24" s="8" t="n">
        <v>602.82</v>
      </c>
      <c r="AK24" s="8" t="n">
        <v>105.43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241.85</v>
      </c>
      <c r="AR24" s="8" t="n">
        <v>410.84</v>
      </c>
      <c r="AS24" s="8" t="n">
        <v>345.66</v>
      </c>
      <c r="AT24" s="8" t="n">
        <v>244.06</v>
      </c>
      <c r="AU24" s="8" t="n">
        <v>344.6</v>
      </c>
    </row>
    <row r="25" customFormat="false" ht="15" hidden="false" customHeight="false" outlineLevel="0" collapsed="false">
      <c r="A25" s="7" t="s">
        <v>328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</row>
    <row r="26" customFormat="false" ht="15" hidden="false" customHeight="false" outlineLevel="0" collapsed="false">
      <c r="A26" s="7" t="s">
        <v>329</v>
      </c>
      <c r="B26" s="8" t="n">
        <v>70000</v>
      </c>
      <c r="C26" s="8" t="n">
        <v>59000</v>
      </c>
      <c r="D26" s="8" t="n">
        <v>59000</v>
      </c>
      <c r="E26" s="8" t="n">
        <v>73000</v>
      </c>
      <c r="F26" s="8" t="n">
        <v>86000</v>
      </c>
      <c r="G26" s="8" t="n">
        <v>126000</v>
      </c>
      <c r="H26" s="8" t="n">
        <v>158000</v>
      </c>
      <c r="I26" s="8" t="n">
        <v>176000</v>
      </c>
      <c r="J26" s="8" t="n">
        <v>170000</v>
      </c>
      <c r="K26" s="8" t="n">
        <v>170000</v>
      </c>
      <c r="L26" s="8" t="n">
        <v>113000</v>
      </c>
      <c r="M26" s="8" t="n">
        <v>113000</v>
      </c>
      <c r="N26" s="8" t="n">
        <v>92000</v>
      </c>
      <c r="O26" s="8" t="n">
        <v>139000</v>
      </c>
      <c r="P26" s="8" t="n">
        <v>139000</v>
      </c>
      <c r="Q26" s="8" t="n">
        <v>109000</v>
      </c>
      <c r="R26" s="8" t="n">
        <v>109000</v>
      </c>
      <c r="S26" s="8" t="n">
        <v>125000</v>
      </c>
      <c r="T26" s="8" t="n">
        <v>141000</v>
      </c>
      <c r="U26" s="8" t="n">
        <v>170000</v>
      </c>
      <c r="V26" s="8" t="n">
        <v>177000</v>
      </c>
      <c r="W26" s="8" t="n">
        <v>157000</v>
      </c>
      <c r="X26" s="8" t="n">
        <v>115000</v>
      </c>
      <c r="Y26" s="8" t="n">
        <v>115000</v>
      </c>
      <c r="Z26" s="8" t="n">
        <v>124000</v>
      </c>
      <c r="AA26" s="8" t="n">
        <v>113000</v>
      </c>
      <c r="AB26" s="8" t="n">
        <v>113000</v>
      </c>
      <c r="AC26" s="8" t="n">
        <v>155000</v>
      </c>
      <c r="AD26" s="8" t="n">
        <v>172000</v>
      </c>
      <c r="AE26" s="8" t="n">
        <v>185000</v>
      </c>
      <c r="AF26" s="8" t="n">
        <v>218000</v>
      </c>
      <c r="AG26" s="8" t="n">
        <v>246000</v>
      </c>
      <c r="AH26" s="8" t="n">
        <v>221000</v>
      </c>
      <c r="AI26" s="8" t="n">
        <v>221000</v>
      </c>
      <c r="AJ26" s="8" t="n">
        <v>203000</v>
      </c>
      <c r="AK26" s="8" t="n">
        <v>203000</v>
      </c>
      <c r="AL26" s="8" t="n">
        <v>175000</v>
      </c>
      <c r="AM26" s="8" t="n">
        <v>197000</v>
      </c>
      <c r="AN26" s="8" t="n">
        <v>146000</v>
      </c>
      <c r="AO26" s="8" t="n">
        <v>177000</v>
      </c>
      <c r="AP26" s="8" t="n">
        <v>177000</v>
      </c>
      <c r="AQ26" s="8" t="n">
        <v>192000</v>
      </c>
      <c r="AR26" s="8" t="n">
        <v>228000</v>
      </c>
      <c r="AS26" s="8" t="n">
        <v>245000</v>
      </c>
      <c r="AT26" s="8" t="n">
        <v>250000</v>
      </c>
      <c r="AU26" s="8" t="n">
        <v>221000</v>
      </c>
    </row>
    <row r="27" customFormat="false" ht="15" hidden="false" customHeight="false" outlineLevel="0" collapsed="false">
      <c r="A27" s="7" t="s">
        <v>330</v>
      </c>
      <c r="B27" s="8" t="n">
        <v>57410.83</v>
      </c>
      <c r="C27" s="8" t="n">
        <v>59021.68</v>
      </c>
      <c r="D27" s="8" t="n">
        <v>59051.06</v>
      </c>
      <c r="E27" s="8" t="n">
        <v>59080.53</v>
      </c>
      <c r="F27" s="8" t="n">
        <v>59110.09</v>
      </c>
      <c r="G27" s="8" t="n">
        <v>59139.75</v>
      </c>
      <c r="H27" s="8" t="n">
        <v>59169.51</v>
      </c>
      <c r="I27" s="8" t="n">
        <v>59199.37</v>
      </c>
      <c r="J27" s="8" t="n">
        <v>59229.32</v>
      </c>
      <c r="K27" s="8" t="n">
        <v>59259.37</v>
      </c>
      <c r="L27" s="8" t="n">
        <v>59289.52</v>
      </c>
      <c r="M27" s="8" t="n">
        <v>59319.76</v>
      </c>
      <c r="N27" s="8" t="n">
        <v>60051.53</v>
      </c>
      <c r="O27" s="8" t="n">
        <v>61741.03</v>
      </c>
      <c r="P27" s="8" t="n">
        <v>61771.57</v>
      </c>
      <c r="Q27" s="8" t="n">
        <v>61802.21</v>
      </c>
      <c r="R27" s="8" t="n">
        <v>61832.95</v>
      </c>
      <c r="S27" s="8" t="n">
        <v>61863.79</v>
      </c>
      <c r="T27" s="8" t="n">
        <v>61894.73</v>
      </c>
      <c r="U27" s="8" t="n">
        <v>61925.77</v>
      </c>
      <c r="V27" s="8" t="n">
        <v>78054.73</v>
      </c>
      <c r="W27" s="8" t="n">
        <v>78183.23</v>
      </c>
      <c r="X27" s="8" t="n">
        <v>78312.41</v>
      </c>
      <c r="Y27" s="8" t="n">
        <v>78442.29</v>
      </c>
      <c r="Z27" s="8" t="n">
        <v>79304.82</v>
      </c>
      <c r="AA27" s="8" t="n">
        <v>81176.45</v>
      </c>
      <c r="AB27" s="8" t="n">
        <v>81308.43</v>
      </c>
      <c r="AC27" s="8" t="n">
        <v>104224.27</v>
      </c>
      <c r="AD27" s="8" t="n">
        <v>104357.67</v>
      </c>
      <c r="AE27" s="8" t="n">
        <v>104491.79</v>
      </c>
      <c r="AF27" s="8" t="n">
        <v>104626.31</v>
      </c>
      <c r="AG27" s="8" t="n">
        <v>103916.78</v>
      </c>
      <c r="AH27" s="8" t="n">
        <v>103205.24</v>
      </c>
      <c r="AI27" s="8" t="n">
        <v>102491.68</v>
      </c>
      <c r="AJ27" s="8" t="n">
        <v>101776.09</v>
      </c>
      <c r="AK27" s="8" t="n">
        <v>101058.47</v>
      </c>
      <c r="AL27" s="8" t="n">
        <v>101102.6</v>
      </c>
      <c r="AM27" s="8" t="n">
        <v>102206.54</v>
      </c>
      <c r="AN27" s="8" t="n">
        <v>101482.8</v>
      </c>
      <c r="AO27" s="8" t="n">
        <v>102463.46</v>
      </c>
      <c r="AP27" s="8" t="n">
        <v>101735.61</v>
      </c>
      <c r="AQ27" s="8" t="n">
        <v>101005.7</v>
      </c>
      <c r="AR27" s="8" t="n">
        <v>100274.04</v>
      </c>
      <c r="AS27" s="8" t="n">
        <v>100385.08</v>
      </c>
      <c r="AT27" s="8" t="n">
        <v>100496.79</v>
      </c>
      <c r="AU27" s="8" t="n">
        <v>100609.17</v>
      </c>
    </row>
    <row r="28" customFormat="false" ht="15" hidden="false" customHeight="false" outlineLevel="0" collapsed="false">
      <c r="A28" s="9" t="s">
        <v>331</v>
      </c>
      <c r="B28" s="18" t="n">
        <f aca="false">B21+B22+B23+B24+B25+B26+B27</f>
        <v>134416.7</v>
      </c>
      <c r="C28" s="18" t="n">
        <f aca="false">C21+C22+C23+C24+C25+C26+C27</f>
        <v>123205.54</v>
      </c>
      <c r="D28" s="18" t="n">
        <f aca="false">D21+D22+D23+D24+D25+D26+D27</f>
        <v>121995.46</v>
      </c>
      <c r="E28" s="18" t="n">
        <f aca="false">E21+E22+E23+E24+E25+E26+E27</f>
        <v>152364.72</v>
      </c>
      <c r="F28" s="18" t="n">
        <f aca="false">F21+F22+F23+F24+F25+F26+F27</f>
        <v>186791.23</v>
      </c>
      <c r="G28" s="18" t="n">
        <f aca="false">G21+G22+G23+G24+G25+G26+G27</f>
        <v>200952.47</v>
      </c>
      <c r="H28" s="18" t="n">
        <f aca="false">H21+H22+H23+H24+H25+H26+H27</f>
        <v>234465.93</v>
      </c>
      <c r="I28" s="18" t="n">
        <f aca="false">I21+I22+I23+I24+I25+I26+I27</f>
        <v>256618.44</v>
      </c>
      <c r="J28" s="18" t="n">
        <f aca="false">J21+J22+J23+J24+J25+J26+J27</f>
        <v>239355.38</v>
      </c>
      <c r="K28" s="18" t="n">
        <f aca="false">K21+K22+K23+K24+K25+K26+K27</f>
        <v>247114.8</v>
      </c>
      <c r="L28" s="18" t="n">
        <f aca="false">L21+L22+L23+L24+L25+L26+L27</f>
        <v>191667.72</v>
      </c>
      <c r="M28" s="18" t="n">
        <f aca="false">M21+M22+M23+M24+M25+M26+M27</f>
        <v>190485.18</v>
      </c>
      <c r="N28" s="18" t="n">
        <f aca="false">N21+N22+N23+N24+N25+N26+N27</f>
        <v>166619.6</v>
      </c>
      <c r="O28" s="18" t="n">
        <f aca="false">O21+O22+O23+O24+O25+O26+O27</f>
        <v>209556.98</v>
      </c>
      <c r="P28" s="18" t="n">
        <f aca="false">P21+P22+P23+P24+P25+P26+P27</f>
        <v>204669.23</v>
      </c>
      <c r="Q28" s="18" t="n">
        <f aca="false">Q21+Q22+Q23+Q24+Q25+Q26+Q27</f>
        <v>183218.52</v>
      </c>
      <c r="R28" s="18" t="n">
        <f aca="false">R21+R22+R23+R24+R25+R26+R27</f>
        <v>185243.4</v>
      </c>
      <c r="S28" s="18" t="n">
        <f aca="false">S21+S22+S23+S24+S25+S26+S27</f>
        <v>218247.86</v>
      </c>
      <c r="T28" s="18" t="n">
        <f aca="false">T21+T22+T23+T24+T25+T26+T27</f>
        <v>228034.36</v>
      </c>
      <c r="U28" s="18" t="n">
        <f aca="false">U21+U22+U23+U24+U25+U26+U27</f>
        <v>251624.64</v>
      </c>
      <c r="V28" s="18" t="n">
        <f aca="false">V21+V22+V23+V24+V25+V26+V27</f>
        <v>259698.06</v>
      </c>
      <c r="W28" s="18" t="n">
        <f aca="false">W21+W22+W23+W24+W25+W26+W27</f>
        <v>251672.53</v>
      </c>
      <c r="X28" s="18" t="n">
        <f aca="false">X21+X22+X23+X24+X25+X26+X27</f>
        <v>216590.61</v>
      </c>
      <c r="Y28" s="18" t="n">
        <f aca="false">Y21+Y22+Y23+Y24+Y25+Y26+Y27</f>
        <v>211527.89</v>
      </c>
      <c r="Z28" s="18" t="n">
        <f aca="false">Z21+Z22+Z23+Z24+Z25+Z26+Z27</f>
        <v>220810.35</v>
      </c>
      <c r="AA28" s="18" t="n">
        <f aca="false">AA21+AA22+AA23+AA24+AA25+AA26+AA27</f>
        <v>205775.87</v>
      </c>
      <c r="AB28" s="18" t="n">
        <f aca="false">AB21+AB22+AB23+AB24+AB25+AB26+AB27</f>
        <v>198295.09</v>
      </c>
      <c r="AC28" s="18" t="n">
        <f aca="false">AC21+AC22+AC23+AC24+AC25+AC26+AC27</f>
        <v>271361.6</v>
      </c>
      <c r="AD28" s="18" t="n">
        <f aca="false">AD21+AD22+AD23+AD24+AD25+AD26+AD27</f>
        <v>300876.99</v>
      </c>
      <c r="AE28" s="18" t="n">
        <f aca="false">AE21+AE22+AE23+AE24+AE25+AE26+AE27</f>
        <v>315247.26</v>
      </c>
      <c r="AF28" s="18" t="n">
        <f aca="false">AF21+AF22+AF23+AF24+AF25+AF26+AF27</f>
        <v>355257.25</v>
      </c>
      <c r="AG28" s="18" t="n">
        <f aca="false">AG21+AG22+AG23+AG24+AG25+AG26+AG27</f>
        <v>375799.83</v>
      </c>
      <c r="AH28" s="18" t="n">
        <f aca="false">AH21+AH22+AH23+AH24+AH25+AH26+AH27</f>
        <v>347503.52</v>
      </c>
      <c r="AI28" s="18" t="n">
        <f aca="false">AI21+AI22+AI23+AI24+AI25+AI26+AI27</f>
        <v>359702.25</v>
      </c>
      <c r="AJ28" s="18" t="n">
        <f aca="false">AJ21+AJ22+AJ23+AJ24+AJ25+AJ26+AJ27</f>
        <v>330281.71</v>
      </c>
      <c r="AK28" s="18" t="n">
        <f aca="false">AK21+AK22+AK23+AK24+AK25+AK26+AK27</f>
        <v>322289.02</v>
      </c>
      <c r="AL28" s="18" t="n">
        <f aca="false">AL21+AL22+AL23+AL24+AL25+AL26+AL27</f>
        <v>294947.81</v>
      </c>
      <c r="AM28" s="18" t="n">
        <f aca="false">AM21+AM22+AM23+AM24+AM25+AM26+AM27</f>
        <v>311889.27</v>
      </c>
      <c r="AN28" s="18" t="n">
        <f aca="false">AN21+AN22+AN23+AN24+AN25+AN26+AN27</f>
        <v>251518</v>
      </c>
      <c r="AO28" s="18" t="n">
        <f aca="false">AO21+AO22+AO23+AO24+AO25+AO26+AO27</f>
        <v>292722.49</v>
      </c>
      <c r="AP28" s="18" t="n">
        <f aca="false">AP21+AP22+AP23+AP24+AP25+AP26+AP27</f>
        <v>314050.85</v>
      </c>
      <c r="AQ28" s="18" t="n">
        <f aca="false">AQ21+AQ22+AQ23+AQ24+AQ25+AQ26+AQ27</f>
        <v>325455.26</v>
      </c>
      <c r="AR28" s="18" t="n">
        <f aca="false">AR21+AR22+AR23+AR24+AR25+AR26+AR27</f>
        <v>353188.67</v>
      </c>
      <c r="AS28" s="18" t="n">
        <f aca="false">AS21+AS22+AS23+AS24+AS25+AS26+AS27</f>
        <v>363841.97</v>
      </c>
      <c r="AT28" s="18" t="n">
        <f aca="false">AT21+AT22+AT23+AT24+AT25+AT26+AT27</f>
        <v>356444.91</v>
      </c>
      <c r="AU28" s="18" t="n">
        <f aca="false">AU21+AU22+AU23+AU24+AU25+AU26+AU27</f>
        <v>343002.29</v>
      </c>
    </row>
    <row r="29" customFormat="false" ht="15" hidden="false" customHeight="false" outlineLevel="0" collapsed="false">
      <c r="A29" s="7" t="s">
        <v>332</v>
      </c>
      <c r="B29" s="8" t="n">
        <v>330323.13</v>
      </c>
      <c r="C29" s="8" t="n">
        <v>327715.84</v>
      </c>
      <c r="D29" s="8" t="n">
        <v>327658.15</v>
      </c>
      <c r="E29" s="8" t="n">
        <v>327600.14</v>
      </c>
      <c r="F29" s="8" t="n">
        <v>327541.8</v>
      </c>
      <c r="G29" s="8" t="n">
        <v>327483.14</v>
      </c>
      <c r="H29" s="8" t="n">
        <v>327424.13</v>
      </c>
      <c r="I29" s="8" t="n">
        <v>327364.79</v>
      </c>
      <c r="J29" s="8" t="n">
        <v>327305.12</v>
      </c>
      <c r="K29" s="8" t="n">
        <v>327245.1</v>
      </c>
      <c r="L29" s="8" t="n">
        <v>327184.74</v>
      </c>
      <c r="M29" s="8" t="n">
        <v>327124.04</v>
      </c>
      <c r="N29" s="8" t="n">
        <v>311191.39</v>
      </c>
      <c r="O29" s="8" t="n">
        <v>308035.18</v>
      </c>
      <c r="P29" s="8" t="n">
        <v>307964.95</v>
      </c>
      <c r="Q29" s="8" t="n">
        <v>307894.3</v>
      </c>
      <c r="R29" s="8" t="n">
        <v>307823.23</v>
      </c>
      <c r="S29" s="8" t="n">
        <v>307751.73</v>
      </c>
      <c r="T29" s="8" t="n">
        <v>307679.79</v>
      </c>
      <c r="U29" s="8" t="n">
        <v>307607.43</v>
      </c>
      <c r="V29" s="8" t="n">
        <v>303085.22</v>
      </c>
      <c r="W29" s="8" t="n">
        <v>302873.13</v>
      </c>
      <c r="X29" s="8" t="n">
        <v>302658.53</v>
      </c>
      <c r="Y29" s="8" t="n">
        <v>302441.39</v>
      </c>
      <c r="Z29" s="8" t="n">
        <v>285968.57</v>
      </c>
      <c r="AA29" s="8" t="n">
        <v>282037.92</v>
      </c>
      <c r="AB29" s="8" t="n">
        <v>281784.18</v>
      </c>
      <c r="AC29" s="8" t="n">
        <v>281988.98</v>
      </c>
      <c r="AD29" s="8" t="n">
        <v>281789.13</v>
      </c>
      <c r="AE29" s="8" t="n">
        <v>281587.06</v>
      </c>
      <c r="AF29" s="8" t="n">
        <v>281382.89</v>
      </c>
      <c r="AG29" s="8" t="n">
        <v>281562.03</v>
      </c>
      <c r="AH29" s="8" t="n">
        <v>281742.47</v>
      </c>
      <c r="AI29" s="8" t="n">
        <v>281924.22</v>
      </c>
      <c r="AJ29" s="8" t="n">
        <v>282107.3</v>
      </c>
      <c r="AK29" s="8" t="n">
        <v>282291.73</v>
      </c>
      <c r="AL29" s="8" t="n">
        <v>265940.94</v>
      </c>
      <c r="AM29" s="8" t="n">
        <v>262659.01</v>
      </c>
      <c r="AN29" s="8" t="n">
        <v>262835.43</v>
      </c>
      <c r="AO29" s="8" t="n">
        <v>260398.6</v>
      </c>
      <c r="AP29" s="8" t="n">
        <v>260574.72</v>
      </c>
      <c r="AQ29" s="8" t="n">
        <v>260752.24</v>
      </c>
      <c r="AR29" s="8" t="n">
        <v>260931.04</v>
      </c>
      <c r="AS29" s="8" t="n">
        <v>260753.69</v>
      </c>
      <c r="AT29" s="8" t="n">
        <v>260574.39</v>
      </c>
      <c r="AU29" s="8" t="n">
        <v>260393.14</v>
      </c>
    </row>
    <row r="30" customFormat="false" ht="15" hidden="false" customHeight="false" outlineLevel="0" collapsed="false">
      <c r="A30" s="7" t="s">
        <v>333</v>
      </c>
      <c r="B30" s="8" t="n">
        <v>239108.19</v>
      </c>
      <c r="C30" s="8" t="n">
        <v>207996.68</v>
      </c>
      <c r="D30" s="8" t="n">
        <v>207960.06</v>
      </c>
      <c r="E30" s="8" t="n">
        <v>207923.24</v>
      </c>
      <c r="F30" s="8" t="n">
        <v>207886.22</v>
      </c>
      <c r="G30" s="8" t="n">
        <v>207848.98</v>
      </c>
      <c r="H30" s="8" t="n">
        <v>207811.53</v>
      </c>
      <c r="I30" s="8" t="n">
        <v>207773.87</v>
      </c>
      <c r="J30" s="8" t="n">
        <v>207735.99</v>
      </c>
      <c r="K30" s="8" t="n">
        <v>207697.9</v>
      </c>
      <c r="L30" s="8" t="n">
        <v>207659.59</v>
      </c>
      <c r="M30" s="8" t="n">
        <v>207621.07</v>
      </c>
      <c r="N30" s="8" t="n">
        <v>206718.24</v>
      </c>
      <c r="O30" s="8" t="n">
        <v>174462.89</v>
      </c>
      <c r="P30" s="8" t="n">
        <v>174423.11</v>
      </c>
      <c r="Q30" s="8" t="n">
        <v>174383.1</v>
      </c>
      <c r="R30" s="8" t="n">
        <v>174342.84</v>
      </c>
      <c r="S30" s="8" t="n">
        <v>174302.35</v>
      </c>
      <c r="T30" s="8" t="n">
        <v>174261.61</v>
      </c>
      <c r="U30" s="8" t="n">
        <v>174220.62</v>
      </c>
      <c r="V30" s="8" t="n">
        <v>234761.45</v>
      </c>
      <c r="W30" s="8" t="n">
        <v>233460.82</v>
      </c>
      <c r="X30" s="8" t="n">
        <v>232153</v>
      </c>
      <c r="Y30" s="8" t="n">
        <v>230837.95</v>
      </c>
      <c r="Z30" s="8" t="n">
        <v>228279.82</v>
      </c>
      <c r="AA30" s="8" t="n">
        <v>193554.7</v>
      </c>
      <c r="AB30" s="8" t="n">
        <v>192235.3</v>
      </c>
      <c r="AC30" s="8" t="n">
        <v>332646.59</v>
      </c>
      <c r="AD30" s="8" t="n">
        <v>331251.67</v>
      </c>
      <c r="AE30" s="8" t="n">
        <v>329848.8</v>
      </c>
      <c r="AF30" s="8" t="n">
        <v>328438.1</v>
      </c>
      <c r="AG30" s="8" t="n">
        <v>327467.83</v>
      </c>
      <c r="AH30" s="8" t="n">
        <v>326490.44</v>
      </c>
      <c r="AI30" s="8" t="n">
        <v>325505.87</v>
      </c>
      <c r="AJ30" s="8" t="n">
        <v>324514.06</v>
      </c>
      <c r="AK30" s="8" t="n">
        <v>323514.97</v>
      </c>
      <c r="AL30" s="8" t="n">
        <v>320746.52</v>
      </c>
      <c r="AM30" s="8" t="n">
        <v>284160.95</v>
      </c>
      <c r="AN30" s="8" t="n">
        <v>283138.74</v>
      </c>
      <c r="AO30" s="8" t="n">
        <v>260255.21</v>
      </c>
      <c r="AP30" s="8" t="n">
        <v>259214.02</v>
      </c>
      <c r="AQ30" s="8" t="n">
        <v>258165.21</v>
      </c>
      <c r="AR30" s="8" t="n">
        <v>257108.58</v>
      </c>
      <c r="AS30" s="8" t="n">
        <v>255693.55</v>
      </c>
      <c r="AT30" s="8" t="n">
        <v>254270.85</v>
      </c>
      <c r="AU30" s="8" t="n">
        <v>252840.42</v>
      </c>
    </row>
    <row r="31" customFormat="false" ht="15" hidden="false" customHeight="false" outlineLevel="0" collapsed="false">
      <c r="A31" s="7" t="s">
        <v>334</v>
      </c>
      <c r="B31" s="8" t="n">
        <v>30232.97</v>
      </c>
      <c r="C31" s="8" t="n">
        <v>29326.65</v>
      </c>
      <c r="D31" s="8" t="n">
        <v>28651.75</v>
      </c>
      <c r="E31" s="8" t="n">
        <v>27974.89</v>
      </c>
      <c r="F31" s="8" t="n">
        <v>27296.05</v>
      </c>
      <c r="G31" s="8" t="n">
        <v>26615.23</v>
      </c>
      <c r="H31" s="8" t="n">
        <v>25932.44</v>
      </c>
      <c r="I31" s="8" t="n">
        <v>25247.66</v>
      </c>
      <c r="J31" s="8" t="n">
        <v>24560.89</v>
      </c>
      <c r="K31" s="8" t="n">
        <v>23872.13</v>
      </c>
      <c r="L31" s="8" t="n">
        <v>23181.37</v>
      </c>
      <c r="M31" s="8" t="n">
        <v>22488.61</v>
      </c>
      <c r="N31" s="8" t="n">
        <v>21703.13</v>
      </c>
      <c r="O31" s="8" t="n">
        <v>20800.07</v>
      </c>
      <c r="P31" s="8" t="n">
        <v>20110.34</v>
      </c>
      <c r="Q31" s="8" t="n">
        <v>19418.66</v>
      </c>
      <c r="R31" s="8" t="n">
        <v>18725.05</v>
      </c>
      <c r="S31" s="8" t="n">
        <v>18029.49</v>
      </c>
      <c r="T31" s="8" t="n">
        <v>17331.97</v>
      </c>
      <c r="U31" s="8" t="n">
        <v>16632.51</v>
      </c>
      <c r="V31" s="8" t="n">
        <v>15700.6</v>
      </c>
      <c r="W31" s="8" t="n">
        <v>15000.46</v>
      </c>
      <c r="X31" s="8" t="n">
        <v>14298.94</v>
      </c>
      <c r="Y31" s="8" t="n">
        <v>13596.04</v>
      </c>
      <c r="Z31" s="8" t="n">
        <v>12822.36</v>
      </c>
      <c r="AA31" s="8" t="n">
        <v>11962.75</v>
      </c>
      <c r="AB31" s="8" t="n">
        <v>11267.01</v>
      </c>
      <c r="AC31" s="8" t="n">
        <v>10587.5</v>
      </c>
      <c r="AD31" s="8" t="n">
        <v>9890.56</v>
      </c>
      <c r="AE31" s="8" t="n">
        <v>9192.28</v>
      </c>
      <c r="AF31" s="8" t="n">
        <v>8492.67</v>
      </c>
      <c r="AG31" s="8" t="n">
        <v>7802.45</v>
      </c>
      <c r="AH31" s="8" t="n">
        <v>7109.12</v>
      </c>
      <c r="AI31" s="8" t="n">
        <v>6412.65</v>
      </c>
      <c r="AJ31" s="8" t="n">
        <v>5713.02</v>
      </c>
      <c r="AK31" s="8" t="n">
        <v>5010.21</v>
      </c>
      <c r="AL31" s="8" t="n">
        <v>4280.69</v>
      </c>
      <c r="AM31" s="8" t="n">
        <v>3528.87</v>
      </c>
      <c r="AN31" s="8" t="n">
        <v>2829.52</v>
      </c>
      <c r="AO31" s="8" t="n">
        <v>2105.8</v>
      </c>
      <c r="AP31" s="8" t="n">
        <v>1407.01</v>
      </c>
      <c r="AQ31" s="8" t="n">
        <v>704.99</v>
      </c>
      <c r="AR31" s="8" t="n">
        <v>0</v>
      </c>
      <c r="AS31" s="8" t="n">
        <v>0</v>
      </c>
      <c r="AT31" s="8" t="n">
        <v>0</v>
      </c>
      <c r="AU31" s="8" t="n">
        <v>0</v>
      </c>
    </row>
    <row r="32" customFormat="false" ht="15" hidden="false" customHeight="false" outlineLevel="0" collapsed="false">
      <c r="A32" s="7" t="s">
        <v>335</v>
      </c>
      <c r="B32" s="8" t="n">
        <v>0</v>
      </c>
      <c r="C32" s="8" t="n">
        <v>0</v>
      </c>
      <c r="D32" s="8" t="n">
        <v>0.01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-0.01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-0.01</v>
      </c>
      <c r="T32" s="8" t="n">
        <v>0</v>
      </c>
      <c r="U32" s="8" t="n">
        <v>-0.01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0.01</v>
      </c>
      <c r="AH32" s="8" t="n">
        <v>0</v>
      </c>
      <c r="AI32" s="8" t="n">
        <v>-0.01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</row>
    <row r="33" customFormat="false" ht="15" hidden="false" customHeight="false" outlineLevel="0" collapsed="false">
      <c r="A33" s="9" t="s">
        <v>336</v>
      </c>
      <c r="B33" s="18" t="n">
        <f aca="false">B28+B29+B30+B31+B32</f>
        <v>734080.99</v>
      </c>
      <c r="C33" s="18" t="n">
        <f aca="false">C28+C29+C30+C31+C32</f>
        <v>688244.71</v>
      </c>
      <c r="D33" s="18" t="n">
        <f aca="false">D28+D29+D30+D31+D32</f>
        <v>686265.43</v>
      </c>
      <c r="E33" s="18" t="n">
        <f aca="false">E28+E29+E30+E31+E32</f>
        <v>715862.99</v>
      </c>
      <c r="F33" s="18" t="n">
        <f aca="false">F28+F29+F30+F31+F32</f>
        <v>749515.3</v>
      </c>
      <c r="G33" s="18" t="n">
        <f aca="false">G28+G29+G30+G31+G32</f>
        <v>762899.82</v>
      </c>
      <c r="H33" s="18" t="n">
        <f aca="false">H28+H29+H30+H31+H32</f>
        <v>795634.03</v>
      </c>
      <c r="I33" s="18" t="n">
        <f aca="false">I28+I29+I30+I31+I32</f>
        <v>817004.76</v>
      </c>
      <c r="J33" s="18" t="n">
        <f aca="false">J28+J29+J30+J31+J32</f>
        <v>798957.38</v>
      </c>
      <c r="K33" s="18" t="n">
        <f aca="false">K28+K29+K30+K31+K32</f>
        <v>805929.93</v>
      </c>
      <c r="L33" s="18" t="n">
        <f aca="false">L28+L29+L30+L31+L32</f>
        <v>749693.42</v>
      </c>
      <c r="M33" s="18" t="n">
        <f aca="false">M28+M29+M30+M31+M32</f>
        <v>747718.89</v>
      </c>
      <c r="N33" s="18" t="n">
        <f aca="false">N28+N29+N30+N31+N32</f>
        <v>706232.36</v>
      </c>
      <c r="O33" s="18" t="n">
        <f aca="false">O28+O29+O30+O31+O32</f>
        <v>712855.12</v>
      </c>
      <c r="P33" s="18" t="n">
        <f aca="false">P28+P29+P30+P31+P32</f>
        <v>707167.63</v>
      </c>
      <c r="Q33" s="18" t="n">
        <f aca="false">Q28+Q29+Q30+Q31+Q32</f>
        <v>684914.58</v>
      </c>
      <c r="R33" s="18" t="n">
        <f aca="false">R28+R29+R30+R31+R32</f>
        <v>686134.52</v>
      </c>
      <c r="S33" s="18" t="n">
        <f aca="false">S28+S29+S30+S31+S32</f>
        <v>718331.42</v>
      </c>
      <c r="T33" s="18" t="n">
        <f aca="false">T28+T29+T30+T31+T32</f>
        <v>727307.73</v>
      </c>
      <c r="U33" s="18" t="n">
        <f aca="false">U28+U29+U30+U31+U32</f>
        <v>750085.19</v>
      </c>
      <c r="V33" s="18" t="n">
        <f aca="false">V28+V29+V30+V31+V32</f>
        <v>813245.33</v>
      </c>
      <c r="W33" s="18" t="n">
        <f aca="false">W28+W29+W30+W31+W32</f>
        <v>803006.94</v>
      </c>
      <c r="X33" s="18" t="n">
        <f aca="false">X28+X29+X30+X31+X32</f>
        <v>765701.08</v>
      </c>
      <c r="Y33" s="18" t="n">
        <f aca="false">Y28+Y29+Y30+Y31+Y32</f>
        <v>758403.27</v>
      </c>
      <c r="Z33" s="18" t="n">
        <f aca="false">Z28+Z29+Z30+Z31+Z32</f>
        <v>747881.1</v>
      </c>
      <c r="AA33" s="18" t="n">
        <f aca="false">AA28+AA29+AA30+AA31+AA32</f>
        <v>693331.24</v>
      </c>
      <c r="AB33" s="18" t="n">
        <f aca="false">AB28+AB29+AB30+AB31+AB32</f>
        <v>683581.58</v>
      </c>
      <c r="AC33" s="18" t="n">
        <f aca="false">AC28+AC29+AC30+AC31+AC32</f>
        <v>896584.67</v>
      </c>
      <c r="AD33" s="18" t="n">
        <f aca="false">AD28+AD29+AD30+AD31+AD32</f>
        <v>923808.35</v>
      </c>
      <c r="AE33" s="18" t="n">
        <f aca="false">AE28+AE29+AE30+AE31+AE32</f>
        <v>935875.4</v>
      </c>
      <c r="AF33" s="18" t="n">
        <f aca="false">AF28+AF29+AF30+AF31+AF32</f>
        <v>973570.91</v>
      </c>
      <c r="AG33" s="18" t="n">
        <f aca="false">AG28+AG29+AG30+AG31+AG32</f>
        <v>992632.15</v>
      </c>
      <c r="AH33" s="18" t="n">
        <f aca="false">AH28+AH29+AH30+AH31+AH32</f>
        <v>962845.55</v>
      </c>
      <c r="AI33" s="18" t="n">
        <f aca="false">AI28+AI29+AI30+AI31+AI32</f>
        <v>973544.98</v>
      </c>
      <c r="AJ33" s="18" t="n">
        <f aca="false">AJ28+AJ29+AJ30+AJ31+AJ32</f>
        <v>942616.09</v>
      </c>
      <c r="AK33" s="18" t="n">
        <f aca="false">AK28+AK29+AK30+AK31+AK32</f>
        <v>933105.93</v>
      </c>
      <c r="AL33" s="18" t="n">
        <f aca="false">AL28+AL29+AL30+AL31+AL32</f>
        <v>885915.96</v>
      </c>
      <c r="AM33" s="18" t="n">
        <f aca="false">AM28+AM29+AM30+AM31+AM32</f>
        <v>862238.1</v>
      </c>
      <c r="AN33" s="18" t="n">
        <f aca="false">AN28+AN29+AN30+AN31+AN32</f>
        <v>800321.69</v>
      </c>
      <c r="AO33" s="18" t="n">
        <f aca="false">AO28+AO29+AO30+AO31+AO32</f>
        <v>815482.1</v>
      </c>
      <c r="AP33" s="18" t="n">
        <f aca="false">AP28+AP29+AP30+AP31+AP32</f>
        <v>835246.6</v>
      </c>
      <c r="AQ33" s="18" t="n">
        <f aca="false">AQ28+AQ29+AQ30+AQ31+AQ32</f>
        <v>845077.7</v>
      </c>
      <c r="AR33" s="18" t="n">
        <f aca="false">AR28+AR29+AR30+AR31+AR32</f>
        <v>871228.29</v>
      </c>
      <c r="AS33" s="18" t="n">
        <f aca="false">AS28+AS29+AS30+AS31+AS32</f>
        <v>880289.21</v>
      </c>
      <c r="AT33" s="18" t="n">
        <f aca="false">AT28+AT29+AT30+AT31+AT32</f>
        <v>871290.15</v>
      </c>
      <c r="AU33" s="18" t="n">
        <f aca="false">AU28+AU29+AU30+AU31+AU32</f>
        <v>856235.85</v>
      </c>
    </row>
    <row r="34" customFormat="false" ht="15" hidden="false" customHeight="false" outlineLevel="0" collapsed="false">
      <c r="A34" s="9" t="s">
        <v>337</v>
      </c>
    </row>
    <row r="35" customFormat="false" ht="15" hidden="false" customHeight="false" outlineLevel="0" collapsed="false">
      <c r="A35" s="7" t="s">
        <v>338</v>
      </c>
      <c r="B35" s="8" t="n">
        <v>529000</v>
      </c>
      <c r="C35" s="8" t="n">
        <v>529000</v>
      </c>
      <c r="D35" s="8" t="n">
        <v>529000</v>
      </c>
      <c r="E35" s="8" t="n">
        <v>529000</v>
      </c>
      <c r="F35" s="8" t="n">
        <v>529000</v>
      </c>
      <c r="G35" s="8" t="n">
        <v>529000</v>
      </c>
      <c r="H35" s="8" t="n">
        <v>529000</v>
      </c>
      <c r="I35" s="8" t="n">
        <v>529000</v>
      </c>
      <c r="J35" s="8" t="n">
        <v>529000</v>
      </c>
      <c r="K35" s="8" t="n">
        <v>529000</v>
      </c>
      <c r="L35" s="8" t="n">
        <v>529000</v>
      </c>
      <c r="M35" s="8" t="n">
        <v>529000</v>
      </c>
      <c r="N35" s="8" t="n">
        <v>529000</v>
      </c>
      <c r="O35" s="8" t="n">
        <v>529000</v>
      </c>
      <c r="P35" s="8" t="n">
        <v>529000</v>
      </c>
      <c r="Q35" s="8" t="n">
        <v>529000</v>
      </c>
      <c r="R35" s="8" t="n">
        <v>529000</v>
      </c>
      <c r="S35" s="8" t="n">
        <v>529000</v>
      </c>
      <c r="T35" s="8" t="n">
        <v>529000</v>
      </c>
      <c r="U35" s="8" t="n">
        <v>529000</v>
      </c>
      <c r="V35" s="8" t="n">
        <v>529000</v>
      </c>
      <c r="W35" s="8" t="n">
        <v>529000</v>
      </c>
      <c r="X35" s="8" t="n">
        <v>529000</v>
      </c>
      <c r="Y35" s="8" t="n">
        <v>529000</v>
      </c>
      <c r="Z35" s="8" t="n">
        <v>529000</v>
      </c>
      <c r="AA35" s="8" t="n">
        <v>529000</v>
      </c>
      <c r="AB35" s="8" t="n">
        <v>529000</v>
      </c>
      <c r="AC35" s="8" t="n">
        <v>529000</v>
      </c>
      <c r="AD35" s="8" t="n">
        <v>529000</v>
      </c>
      <c r="AE35" s="8" t="n">
        <v>529000</v>
      </c>
      <c r="AF35" s="8" t="n">
        <v>529000</v>
      </c>
      <c r="AG35" s="8" t="n">
        <v>529000</v>
      </c>
      <c r="AH35" s="8" t="n">
        <v>529000</v>
      </c>
      <c r="AI35" s="8" t="n">
        <v>529000</v>
      </c>
      <c r="AJ35" s="8" t="n">
        <v>529000</v>
      </c>
      <c r="AK35" s="8" t="n">
        <v>529000</v>
      </c>
      <c r="AL35" s="8" t="n">
        <v>529000</v>
      </c>
      <c r="AM35" s="8" t="n">
        <v>529000</v>
      </c>
      <c r="AN35" s="8" t="n">
        <v>529000</v>
      </c>
      <c r="AO35" s="8" t="n">
        <v>529000</v>
      </c>
      <c r="AP35" s="8" t="n">
        <v>529000</v>
      </c>
      <c r="AQ35" s="8" t="n">
        <v>529000</v>
      </c>
      <c r="AR35" s="8" t="n">
        <v>529000</v>
      </c>
      <c r="AS35" s="8" t="n">
        <v>529000</v>
      </c>
      <c r="AT35" s="8" t="n">
        <v>529000</v>
      </c>
      <c r="AU35" s="8" t="n">
        <v>529000</v>
      </c>
    </row>
    <row r="36" customFormat="false" ht="15" hidden="false" customHeight="false" outlineLevel="0" collapsed="false">
      <c r="A36" s="7" t="s">
        <v>339</v>
      </c>
      <c r="B36" s="8" t="n">
        <v>767289.31</v>
      </c>
      <c r="C36" s="8" t="n">
        <v>728385.5</v>
      </c>
      <c r="D36" s="8" t="n">
        <v>713893.11</v>
      </c>
      <c r="E36" s="8" t="n">
        <v>688771.29</v>
      </c>
      <c r="F36" s="8" t="n">
        <v>687109.27</v>
      </c>
      <c r="G36" s="8" t="n">
        <v>673444.8</v>
      </c>
      <c r="H36" s="8" t="n">
        <v>705862.57</v>
      </c>
      <c r="I36" s="8" t="n">
        <v>695774.52</v>
      </c>
      <c r="J36" s="8" t="n">
        <v>676743.29</v>
      </c>
      <c r="K36" s="8" t="n">
        <v>650626.58</v>
      </c>
      <c r="L36" s="8" t="n">
        <v>768822.84</v>
      </c>
      <c r="M36" s="8" t="n">
        <v>737921.01</v>
      </c>
      <c r="N36" s="8" t="n">
        <v>722142.98</v>
      </c>
      <c r="O36" s="8" t="n">
        <v>689240.5</v>
      </c>
      <c r="P36" s="8" t="n">
        <v>676096.82</v>
      </c>
      <c r="Q36" s="8" t="n">
        <v>659976.07</v>
      </c>
      <c r="R36" s="8" t="n">
        <v>641317.63</v>
      </c>
      <c r="S36" s="8" t="n">
        <v>626216.11</v>
      </c>
      <c r="T36" s="8" t="n">
        <v>636895.53</v>
      </c>
      <c r="U36" s="8" t="n">
        <v>663888.08</v>
      </c>
      <c r="V36" s="8" t="n">
        <v>648722.91</v>
      </c>
      <c r="W36" s="8" t="n">
        <v>622587.33</v>
      </c>
      <c r="X36" s="8" t="n">
        <v>721398.58</v>
      </c>
      <c r="Y36" s="8" t="n">
        <v>741461.58</v>
      </c>
      <c r="Z36" s="8" t="n">
        <v>735434.52</v>
      </c>
      <c r="AA36" s="8" t="n">
        <v>693371.16</v>
      </c>
      <c r="AB36" s="8" t="n">
        <v>677259.18</v>
      </c>
      <c r="AC36" s="8" t="n">
        <v>666639.45</v>
      </c>
      <c r="AD36" s="8" t="n">
        <v>670518.66</v>
      </c>
      <c r="AE36" s="8" t="n">
        <v>655554.49</v>
      </c>
      <c r="AF36" s="8" t="n">
        <v>673868.42</v>
      </c>
      <c r="AG36" s="8" t="n">
        <v>702676.12</v>
      </c>
      <c r="AH36" s="8" t="n">
        <v>674116.03</v>
      </c>
      <c r="AI36" s="8" t="n">
        <v>638442.49</v>
      </c>
      <c r="AJ36" s="8" t="n">
        <v>844834.92</v>
      </c>
      <c r="AK36" s="8" t="n">
        <v>783327.24</v>
      </c>
      <c r="AL36" s="8" t="n">
        <v>780667.58</v>
      </c>
      <c r="AM36" s="8" t="n">
        <v>738852.72</v>
      </c>
      <c r="AN36" s="8" t="n">
        <v>745293.91</v>
      </c>
      <c r="AO36" s="8" t="n">
        <v>715907.7</v>
      </c>
      <c r="AP36" s="8" t="n">
        <v>686737.01</v>
      </c>
      <c r="AQ36" s="8" t="n">
        <v>678575.66</v>
      </c>
      <c r="AR36" s="8" t="n">
        <v>680193.92</v>
      </c>
      <c r="AS36" s="8" t="n">
        <v>689078.92</v>
      </c>
      <c r="AT36" s="8" t="n">
        <v>672632.28</v>
      </c>
      <c r="AU36" s="8" t="n">
        <v>642465.84</v>
      </c>
    </row>
    <row r="37" customFormat="false" ht="15" hidden="false" customHeight="false" outlineLevel="0" collapsed="false">
      <c r="A37" s="9" t="s">
        <v>340</v>
      </c>
      <c r="B37" s="18" t="n">
        <f aca="false">B35+B36</f>
        <v>1296289.31</v>
      </c>
      <c r="C37" s="18" t="n">
        <f aca="false">C35+C36</f>
        <v>1257385.5</v>
      </c>
      <c r="D37" s="18" t="n">
        <f aca="false">D35+D36</f>
        <v>1242893.11</v>
      </c>
      <c r="E37" s="18" t="n">
        <f aca="false">E35+E36</f>
        <v>1217771.29</v>
      </c>
      <c r="F37" s="18" t="n">
        <f aca="false">F35+F36</f>
        <v>1216109.27</v>
      </c>
      <c r="G37" s="18" t="n">
        <f aca="false">G35+G36</f>
        <v>1202444.8</v>
      </c>
      <c r="H37" s="18" t="n">
        <f aca="false">H35+H36</f>
        <v>1234862.57</v>
      </c>
      <c r="I37" s="18" t="n">
        <f aca="false">I35+I36</f>
        <v>1224774.52</v>
      </c>
      <c r="J37" s="18" t="n">
        <f aca="false">J35+J36</f>
        <v>1205743.29</v>
      </c>
      <c r="K37" s="18" t="n">
        <f aca="false">K35+K36</f>
        <v>1179626.58</v>
      </c>
      <c r="L37" s="18" t="n">
        <f aca="false">L35+L36</f>
        <v>1297822.84</v>
      </c>
      <c r="M37" s="18" t="n">
        <f aca="false">M35+M36</f>
        <v>1266921.01</v>
      </c>
      <c r="N37" s="18" t="n">
        <f aca="false">N35+N36</f>
        <v>1251142.98</v>
      </c>
      <c r="O37" s="18" t="n">
        <f aca="false">O35+O36</f>
        <v>1218240.5</v>
      </c>
      <c r="P37" s="18" t="n">
        <f aca="false">P35+P36</f>
        <v>1205096.82</v>
      </c>
      <c r="Q37" s="18" t="n">
        <f aca="false">Q35+Q36</f>
        <v>1188976.07</v>
      </c>
      <c r="R37" s="18" t="n">
        <f aca="false">R35+R36</f>
        <v>1170317.63</v>
      </c>
      <c r="S37" s="18" t="n">
        <f aca="false">S35+S36</f>
        <v>1155216.11</v>
      </c>
      <c r="T37" s="18" t="n">
        <f aca="false">T35+T36</f>
        <v>1165895.53</v>
      </c>
      <c r="U37" s="18" t="n">
        <f aca="false">U35+U36</f>
        <v>1192888.08</v>
      </c>
      <c r="V37" s="18" t="n">
        <f aca="false">V35+V36</f>
        <v>1177722.91</v>
      </c>
      <c r="W37" s="18" t="n">
        <f aca="false">W35+W36</f>
        <v>1151587.33</v>
      </c>
      <c r="X37" s="18" t="n">
        <f aca="false">X35+X36</f>
        <v>1250398.58</v>
      </c>
      <c r="Y37" s="18" t="n">
        <f aca="false">Y35+Y36</f>
        <v>1270461.58</v>
      </c>
      <c r="Z37" s="18" t="n">
        <f aca="false">Z35+Z36</f>
        <v>1264434.52</v>
      </c>
      <c r="AA37" s="18" t="n">
        <f aca="false">AA35+AA36</f>
        <v>1222371.16</v>
      </c>
      <c r="AB37" s="18" t="n">
        <f aca="false">AB35+AB36</f>
        <v>1206259.18</v>
      </c>
      <c r="AC37" s="18" t="n">
        <f aca="false">AC35+AC36</f>
        <v>1195639.45</v>
      </c>
      <c r="AD37" s="18" t="n">
        <f aca="false">AD35+AD36</f>
        <v>1199518.66</v>
      </c>
      <c r="AE37" s="18" t="n">
        <f aca="false">AE35+AE36</f>
        <v>1184554.49</v>
      </c>
      <c r="AF37" s="18" t="n">
        <f aca="false">AF35+AF36</f>
        <v>1202868.42</v>
      </c>
      <c r="AG37" s="18" t="n">
        <f aca="false">AG35+AG36</f>
        <v>1231676.12</v>
      </c>
      <c r="AH37" s="18" t="n">
        <f aca="false">AH35+AH36</f>
        <v>1203116.03</v>
      </c>
      <c r="AI37" s="18" t="n">
        <f aca="false">AI35+AI36</f>
        <v>1167442.49</v>
      </c>
      <c r="AJ37" s="18" t="n">
        <f aca="false">AJ35+AJ36</f>
        <v>1373834.92</v>
      </c>
      <c r="AK37" s="18" t="n">
        <f aca="false">AK35+AK36</f>
        <v>1312327.24</v>
      </c>
      <c r="AL37" s="18" t="n">
        <f aca="false">AL35+AL36</f>
        <v>1309667.58</v>
      </c>
      <c r="AM37" s="18" t="n">
        <f aca="false">AM35+AM36</f>
        <v>1267852.72</v>
      </c>
      <c r="AN37" s="18" t="n">
        <f aca="false">AN35+AN36</f>
        <v>1274293.91</v>
      </c>
      <c r="AO37" s="18" t="n">
        <f aca="false">AO35+AO36</f>
        <v>1244907.7</v>
      </c>
      <c r="AP37" s="18" t="n">
        <f aca="false">AP35+AP36</f>
        <v>1215737.01</v>
      </c>
      <c r="AQ37" s="18" t="n">
        <f aca="false">AQ35+AQ36</f>
        <v>1207575.66</v>
      </c>
      <c r="AR37" s="18" t="n">
        <f aca="false">AR35+AR36</f>
        <v>1209193.92</v>
      </c>
      <c r="AS37" s="18" t="n">
        <f aca="false">AS35+AS36</f>
        <v>1218078.92</v>
      </c>
      <c r="AT37" s="18" t="n">
        <f aca="false">AT35+AT36</f>
        <v>1201632.28</v>
      </c>
      <c r="AU37" s="18" t="n">
        <f aca="false">AU35+AU36</f>
        <v>1171465.84</v>
      </c>
    </row>
    <row r="38" customFormat="false" ht="15" hidden="false" customHeight="false" outlineLevel="0" collapsed="false">
      <c r="A38" s="9" t="s">
        <v>341</v>
      </c>
      <c r="B38" s="18" t="n">
        <f aca="false">B19-B33-B37</f>
        <v>0</v>
      </c>
      <c r="C38" s="18" t="n">
        <f aca="false">C19-C33-C37</f>
        <v>0</v>
      </c>
      <c r="D38" s="18" t="n">
        <f aca="false">D19-D33-D37</f>
        <v>0</v>
      </c>
      <c r="E38" s="18" t="n">
        <f aca="false">E19-E33-E37</f>
        <v>0</v>
      </c>
      <c r="F38" s="18" t="n">
        <f aca="false">F19-F33-F37</f>
        <v>0</v>
      </c>
      <c r="G38" s="18" t="n">
        <f aca="false">G19-G33-G37</f>
        <v>0</v>
      </c>
      <c r="H38" s="18" t="n">
        <f aca="false">H19-H33-H37</f>
        <v>0</v>
      </c>
      <c r="I38" s="18" t="n">
        <f aca="false">I19-I33-I37</f>
        <v>0</v>
      </c>
      <c r="J38" s="18" t="n">
        <f aca="false">J19-J33-J37</f>
        <v>0</v>
      </c>
      <c r="K38" s="18" t="n">
        <f aca="false">K19-K33-K37</f>
        <v>0</v>
      </c>
      <c r="L38" s="18" t="n">
        <f aca="false">L19-L33-L37</f>
        <v>0</v>
      </c>
      <c r="M38" s="18" t="n">
        <f aca="false">M19-M33-M37</f>
        <v>0</v>
      </c>
      <c r="N38" s="18" t="n">
        <f aca="false">N19-N33-N37</f>
        <v>0</v>
      </c>
      <c r="O38" s="18" t="n">
        <f aca="false">O19-O33-O37</f>
        <v>0</v>
      </c>
      <c r="P38" s="18" t="n">
        <f aca="false">P19-P33-P37</f>
        <v>0</v>
      </c>
      <c r="Q38" s="18" t="n">
        <f aca="false">Q19-Q33-Q37</f>
        <v>0</v>
      </c>
      <c r="R38" s="18" t="n">
        <f aca="false">R19-R33-R37</f>
        <v>0</v>
      </c>
      <c r="S38" s="18" t="n">
        <f aca="false">S19-S33-S37</f>
        <v>0</v>
      </c>
      <c r="T38" s="18" t="n">
        <f aca="false">T19-T33-T37</f>
        <v>0</v>
      </c>
      <c r="U38" s="18" t="n">
        <f aca="false">U19-U33-U37</f>
        <v>0</v>
      </c>
      <c r="V38" s="18" t="n">
        <f aca="false">V19-V33-V37</f>
        <v>0</v>
      </c>
      <c r="W38" s="18" t="n">
        <f aca="false">W19-W33-W37</f>
        <v>0</v>
      </c>
      <c r="X38" s="18" t="n">
        <f aca="false">X19-X33-X37</f>
        <v>0</v>
      </c>
      <c r="Y38" s="18" t="n">
        <f aca="false">Y19-Y33-Y37</f>
        <v>0</v>
      </c>
      <c r="Z38" s="18" t="n">
        <f aca="false">Z19-Z33-Z37</f>
        <v>0</v>
      </c>
      <c r="AA38" s="18" t="n">
        <f aca="false">AA19-AA33-AA37</f>
        <v>0</v>
      </c>
      <c r="AB38" s="18" t="n">
        <f aca="false">AB19-AB33-AB37</f>
        <v>0</v>
      </c>
      <c r="AC38" s="18" t="n">
        <f aca="false">AC19-AC33-AC37</f>
        <v>0</v>
      </c>
      <c r="AD38" s="18" t="n">
        <f aca="false">AD19-AD33-AD37</f>
        <v>0</v>
      </c>
      <c r="AE38" s="18" t="n">
        <f aca="false">AE19-AE33-AE37</f>
        <v>0</v>
      </c>
      <c r="AF38" s="18" t="n">
        <f aca="false">AF19-AF33-AF37</f>
        <v>0</v>
      </c>
      <c r="AG38" s="18" t="n">
        <f aca="false">AG19-AG33-AG37</f>
        <v>0</v>
      </c>
      <c r="AH38" s="18" t="n">
        <f aca="false">AH19-AH33-AH37</f>
        <v>0</v>
      </c>
      <c r="AI38" s="18" t="n">
        <f aca="false">AI19-AI33-AI37</f>
        <v>0</v>
      </c>
      <c r="AJ38" s="18" t="n">
        <f aca="false">AJ19-AJ33-AJ37</f>
        <v>0</v>
      </c>
      <c r="AK38" s="18" t="n">
        <f aca="false">AK19-AK33-AK37</f>
        <v>0</v>
      </c>
      <c r="AL38" s="18" t="n">
        <f aca="false">AL19-AL33-AL37</f>
        <v>0</v>
      </c>
      <c r="AM38" s="18" t="n">
        <f aca="false">AM19-AM33-AM37</f>
        <v>0</v>
      </c>
      <c r="AN38" s="18" t="n">
        <f aca="false">AN19-AN33-AN37</f>
        <v>0</v>
      </c>
      <c r="AO38" s="18" t="n">
        <f aca="false">AO19-AO33-AO37</f>
        <v>0</v>
      </c>
      <c r="AP38" s="18" t="n">
        <f aca="false">AP19-AP33-AP37</f>
        <v>0</v>
      </c>
      <c r="AQ38" s="18" t="n">
        <f aca="false">AQ19-AQ33-AQ37</f>
        <v>0</v>
      </c>
      <c r="AR38" s="18" t="n">
        <f aca="false">AR19-AR33-AR37</f>
        <v>0</v>
      </c>
      <c r="AS38" s="18" t="n">
        <f aca="false">AS19-AS33-AS37</f>
        <v>0</v>
      </c>
      <c r="AT38" s="18" t="n">
        <f aca="false">AT19-AT33-AT37</f>
        <v>0</v>
      </c>
      <c r="AU38" s="18" t="n">
        <f aca="false">AU19-AU33-AU37</f>
        <v>0</v>
      </c>
    </row>
    <row r="39" customFormat="false" ht="15" hidden="false" customHeight="false" outlineLevel="0" collapsed="false">
      <c r="A39" s="7" t="s">
        <v>342</v>
      </c>
      <c r="B39" s="8" t="n">
        <v>0</v>
      </c>
      <c r="C39" s="8" t="n">
        <v>7000</v>
      </c>
      <c r="D39" s="8" t="n">
        <v>11000</v>
      </c>
      <c r="E39" s="8" t="n">
        <v>15000</v>
      </c>
      <c r="F39" s="8" t="n">
        <v>22000</v>
      </c>
      <c r="G39" s="8" t="n">
        <v>26000</v>
      </c>
      <c r="H39" s="8" t="n">
        <v>33000</v>
      </c>
      <c r="I39" s="8" t="n">
        <v>37000</v>
      </c>
      <c r="J39" s="8" t="n">
        <v>41000</v>
      </c>
      <c r="K39" s="8" t="n">
        <v>48000</v>
      </c>
      <c r="L39" s="8" t="n">
        <v>52000</v>
      </c>
      <c r="M39" s="8" t="n">
        <v>56000</v>
      </c>
      <c r="N39" s="8" t="n">
        <v>60000</v>
      </c>
      <c r="O39" s="8" t="n">
        <v>67600</v>
      </c>
      <c r="P39" s="8" t="n">
        <v>71700</v>
      </c>
      <c r="Q39" s="8" t="n">
        <v>75800</v>
      </c>
      <c r="R39" s="8" t="n">
        <v>83400</v>
      </c>
      <c r="S39" s="8" t="n">
        <v>87500</v>
      </c>
      <c r="T39" s="8" t="n">
        <v>95100</v>
      </c>
      <c r="U39" s="8" t="n">
        <v>99200</v>
      </c>
      <c r="V39" s="8" t="n">
        <v>103300</v>
      </c>
      <c r="W39" s="8" t="n">
        <v>110900</v>
      </c>
      <c r="X39" s="8" t="n">
        <v>115000</v>
      </c>
      <c r="Y39" s="8" t="n">
        <v>119100</v>
      </c>
      <c r="Z39" s="8" t="n">
        <v>123200</v>
      </c>
      <c r="AA39" s="8" t="n">
        <v>128900</v>
      </c>
      <c r="AB39" s="8" t="n">
        <v>133100</v>
      </c>
      <c r="AC39" s="8" t="n">
        <v>137300</v>
      </c>
      <c r="AD39" s="8" t="n">
        <v>143000</v>
      </c>
      <c r="AE39" s="8" t="n">
        <v>147200</v>
      </c>
      <c r="AF39" s="8" t="n">
        <v>152900</v>
      </c>
      <c r="AG39" s="8" t="n">
        <v>157100</v>
      </c>
      <c r="AH39" s="8" t="n">
        <v>161300</v>
      </c>
      <c r="AI39" s="8" t="n">
        <v>167000</v>
      </c>
      <c r="AJ39" s="8" t="n">
        <v>171200</v>
      </c>
      <c r="AK39" s="8" t="n">
        <v>175400</v>
      </c>
      <c r="AL39" s="8" t="n">
        <v>179600</v>
      </c>
      <c r="AM39" s="8" t="n">
        <v>186300</v>
      </c>
      <c r="AN39" s="8" t="n">
        <v>190500</v>
      </c>
      <c r="AO39" s="8" t="n">
        <v>194700</v>
      </c>
      <c r="AP39" s="8" t="n">
        <v>201400</v>
      </c>
      <c r="AQ39" s="8" t="n">
        <v>205600</v>
      </c>
      <c r="AR39" s="8" t="n">
        <v>212300</v>
      </c>
      <c r="AS39" s="8" t="n">
        <v>216500</v>
      </c>
      <c r="AT39" s="8" t="n">
        <v>220700</v>
      </c>
      <c r="AU39" s="8" t="n">
        <v>227400</v>
      </c>
    </row>
    <row r="40" customFormat="false" ht="15" hidden="false" customHeight="false" outlineLevel="0" collapsed="false">
      <c r="A40" s="7" t="s">
        <v>343</v>
      </c>
      <c r="B40" s="8" t="n">
        <v>1695000</v>
      </c>
      <c r="C40" s="8" t="n">
        <v>1850000</v>
      </c>
      <c r="D40" s="8" t="n">
        <v>1850000</v>
      </c>
      <c r="E40" s="8" t="n">
        <v>1850000</v>
      </c>
      <c r="F40" s="8" t="n">
        <v>1850000</v>
      </c>
      <c r="G40" s="8" t="n">
        <v>1850000</v>
      </c>
      <c r="H40" s="8" t="n">
        <v>1850000</v>
      </c>
      <c r="I40" s="8" t="n">
        <v>1850000</v>
      </c>
      <c r="J40" s="8" t="n">
        <v>1850000</v>
      </c>
      <c r="K40" s="8" t="n">
        <v>1850000</v>
      </c>
      <c r="L40" s="8" t="n">
        <v>1850000</v>
      </c>
      <c r="M40" s="8" t="n">
        <v>1850000</v>
      </c>
      <c r="N40" s="8" t="n">
        <v>1850000</v>
      </c>
      <c r="O40" s="8" t="n">
        <v>1975000</v>
      </c>
      <c r="P40" s="8" t="n">
        <v>1975000</v>
      </c>
      <c r="Q40" s="8" t="n">
        <v>1975000</v>
      </c>
      <c r="R40" s="8" t="n">
        <v>1975000</v>
      </c>
      <c r="S40" s="8" t="n">
        <v>1975000</v>
      </c>
      <c r="T40" s="8" t="n">
        <v>1975000</v>
      </c>
      <c r="U40" s="8" t="n">
        <v>1975000</v>
      </c>
      <c r="V40" s="8" t="n">
        <v>1975000</v>
      </c>
      <c r="W40" s="8" t="n">
        <v>1975000</v>
      </c>
      <c r="X40" s="8" t="n">
        <v>1975000</v>
      </c>
      <c r="Y40" s="8" t="n">
        <v>1975000</v>
      </c>
      <c r="Z40" s="8" t="n">
        <v>1975000</v>
      </c>
      <c r="AA40" s="8" t="n">
        <v>2052500</v>
      </c>
      <c r="AB40" s="8" t="n">
        <v>2052500</v>
      </c>
      <c r="AC40" s="8" t="n">
        <v>2052500</v>
      </c>
      <c r="AD40" s="8" t="n">
        <v>2052500</v>
      </c>
      <c r="AE40" s="8" t="n">
        <v>2052500</v>
      </c>
      <c r="AF40" s="8" t="n">
        <v>2052500</v>
      </c>
      <c r="AG40" s="8" t="n">
        <v>2052500</v>
      </c>
      <c r="AH40" s="8" t="n">
        <v>2052500</v>
      </c>
      <c r="AI40" s="8" t="n">
        <v>2052500</v>
      </c>
      <c r="AJ40" s="8" t="n">
        <v>2052500</v>
      </c>
      <c r="AK40" s="8" t="n">
        <v>2052500</v>
      </c>
      <c r="AL40" s="8" t="n">
        <v>2052500</v>
      </c>
      <c r="AM40" s="8" t="n">
        <v>2085000</v>
      </c>
      <c r="AN40" s="8" t="n">
        <v>2085000</v>
      </c>
      <c r="AO40" s="8" t="n">
        <v>2085000</v>
      </c>
      <c r="AP40" s="8" t="n">
        <v>2085000</v>
      </c>
      <c r="AQ40" s="8" t="n">
        <v>2085000</v>
      </c>
      <c r="AR40" s="8" t="n">
        <v>2085000</v>
      </c>
      <c r="AS40" s="8" t="n">
        <v>2085000</v>
      </c>
      <c r="AT40" s="8" t="n">
        <v>2085000</v>
      </c>
      <c r="AU40" s="8" t="n">
        <v>2085000</v>
      </c>
    </row>
    <row r="41" customFormat="false" ht="15" hidden="false" customHeight="false" outlineLevel="0" collapsed="false">
      <c r="A41" s="7" t="s">
        <v>344</v>
      </c>
      <c r="B41" s="8" t="n">
        <v>2066289.31</v>
      </c>
      <c r="C41" s="8" t="n">
        <v>2182385.5</v>
      </c>
      <c r="D41" s="8" t="n">
        <v>2167893.11</v>
      </c>
      <c r="E41" s="8" t="n">
        <v>2142771.29</v>
      </c>
      <c r="F41" s="8" t="n">
        <v>2141109.27</v>
      </c>
      <c r="G41" s="8" t="n">
        <v>2127444.8</v>
      </c>
      <c r="H41" s="8" t="n">
        <v>2159862.57</v>
      </c>
      <c r="I41" s="8" t="n">
        <v>2149774.52</v>
      </c>
      <c r="J41" s="8" t="n">
        <v>2130743.29</v>
      </c>
      <c r="K41" s="8" t="n">
        <v>2104626.58</v>
      </c>
      <c r="L41" s="8" t="n">
        <v>2222822.84</v>
      </c>
      <c r="M41" s="8" t="n">
        <v>2191921.01</v>
      </c>
      <c r="N41" s="8" t="n">
        <v>2176142.98</v>
      </c>
      <c r="O41" s="8" t="n">
        <v>2268240.5</v>
      </c>
      <c r="P41" s="8" t="n">
        <v>2255096.82</v>
      </c>
      <c r="Q41" s="8" t="n">
        <v>2238976.07</v>
      </c>
      <c r="R41" s="8" t="n">
        <v>2220317.63</v>
      </c>
      <c r="S41" s="8" t="n">
        <v>2205216.11</v>
      </c>
      <c r="T41" s="8" t="n">
        <v>2215895.53</v>
      </c>
      <c r="U41" s="8" t="n">
        <v>2242888.08</v>
      </c>
      <c r="V41" s="8" t="n">
        <v>2227722.91</v>
      </c>
      <c r="W41" s="8" t="n">
        <v>2201587.33</v>
      </c>
      <c r="X41" s="8" t="n">
        <v>2300398.58</v>
      </c>
      <c r="Y41" s="8" t="n">
        <v>2320461.58</v>
      </c>
      <c r="Z41" s="8" t="n">
        <v>2314434.52</v>
      </c>
      <c r="AA41" s="8" t="n">
        <v>2349871.16</v>
      </c>
      <c r="AB41" s="8" t="n">
        <v>2333759.18</v>
      </c>
      <c r="AC41" s="8" t="n">
        <v>2323139.45</v>
      </c>
      <c r="AD41" s="8" t="n">
        <v>2327018.66</v>
      </c>
      <c r="AE41" s="8" t="n">
        <v>2312054.49</v>
      </c>
      <c r="AF41" s="8" t="n">
        <v>2330368.42</v>
      </c>
      <c r="AG41" s="8" t="n">
        <v>2359176.12</v>
      </c>
      <c r="AH41" s="8" t="n">
        <v>2330616.03</v>
      </c>
      <c r="AI41" s="8" t="n">
        <v>2294942.49</v>
      </c>
      <c r="AJ41" s="8" t="n">
        <v>2501334.92</v>
      </c>
      <c r="AK41" s="8" t="n">
        <v>2439827.24</v>
      </c>
      <c r="AL41" s="8" t="n">
        <v>2437167.58</v>
      </c>
      <c r="AM41" s="8" t="n">
        <v>2427852.72</v>
      </c>
      <c r="AN41" s="8" t="n">
        <v>2434293.91</v>
      </c>
      <c r="AO41" s="8" t="n">
        <v>2404907.7</v>
      </c>
      <c r="AP41" s="8" t="n">
        <v>2375737.01</v>
      </c>
      <c r="AQ41" s="8" t="n">
        <v>2367575.66</v>
      </c>
      <c r="AR41" s="8" t="n">
        <v>2369193.92</v>
      </c>
      <c r="AS41" s="8" t="n">
        <v>2378078.92</v>
      </c>
      <c r="AT41" s="8" t="n">
        <v>2361632.28</v>
      </c>
      <c r="AU41" s="8" t="n">
        <v>2331465.84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5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27"/>
    <col collapsed="false" customWidth="true" hidden="false" outlineLevel="0" max="11" min="11" style="0" width="31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1"/>
    <col collapsed="false" customWidth="true" hidden="false" outlineLevel="0" max="15" min="15" style="0" width="19"/>
    <col collapsed="false" customWidth="true" hidden="false" outlineLevel="0" max="16" min="16" style="0" width="11"/>
    <col collapsed="false" customWidth="true" hidden="false" outlineLevel="0" max="17" min="17" style="0" width="33"/>
    <col collapsed="false" customWidth="true" hidden="false" outlineLevel="0" max="18" min="18" style="0" width="16"/>
    <col collapsed="false" customWidth="true" hidden="false" outlineLevel="0" max="19" min="19" style="0" width="21"/>
    <col collapsed="false" customWidth="true" hidden="false" outlineLevel="0" max="20" min="20" style="0" width="25"/>
    <col collapsed="false" customWidth="true" hidden="false" outlineLevel="0" max="21" min="21" style="0" width="15"/>
    <col collapsed="false" customWidth="true" hidden="false" outlineLevel="0" max="22" min="22" style="0" width="22"/>
    <col collapsed="false" customWidth="true" hidden="false" outlineLevel="0" max="23" min="23" style="0" width="27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7" min="26" style="0" width="21"/>
    <col collapsed="false" customWidth="true" hidden="false" outlineLevel="0" max="28" min="28" style="0" width="10"/>
    <col collapsed="false" customWidth="true" hidden="false" outlineLevel="0" max="29" min="29" style="0" width="21"/>
    <col collapsed="false" customWidth="true" hidden="false" outlineLevel="0" max="30" min="30" style="0" width="11"/>
    <col collapsed="false" customWidth="true" hidden="false" outlineLevel="0" max="31" min="31" style="0" width="16"/>
    <col collapsed="false" customWidth="true" hidden="false" outlineLevel="0" max="32" min="32" style="0" width="10"/>
    <col collapsed="false" customWidth="true" hidden="false" outlineLevel="0" max="33" min="33" style="0" width="36"/>
    <col collapsed="false" customWidth="true" hidden="false" outlineLevel="0" max="34" min="34" style="0" width="21"/>
    <col collapsed="false" customWidth="true" hidden="false" outlineLevel="0" max="35" min="35" style="0" width="15"/>
    <col collapsed="false" customWidth="true" hidden="false" outlineLevel="0" max="36" min="36" style="0" width="13"/>
    <col collapsed="false" customWidth="true" hidden="false" outlineLevel="0" max="37" min="37" style="0" width="24"/>
  </cols>
  <sheetData>
    <row r="1" customFormat="false" ht="15" hidden="false" customHeight="false" outlineLevel="0" collapsed="false">
      <c r="A1" s="10" t="s">
        <v>345</v>
      </c>
    </row>
    <row r="2" customFormat="false" ht="23.85" hidden="false" customHeight="false" outlineLevel="0" collapsed="false">
      <c r="A2" s="11" t="s">
        <v>131</v>
      </c>
      <c r="B2" s="11" t="s">
        <v>212</v>
      </c>
      <c r="C2" s="11" t="s">
        <v>346</v>
      </c>
      <c r="D2" s="11" t="s">
        <v>347</v>
      </c>
      <c r="E2" s="11" t="s">
        <v>348</v>
      </c>
      <c r="F2" s="11" t="s">
        <v>349</v>
      </c>
      <c r="G2" s="11" t="s">
        <v>350</v>
      </c>
      <c r="H2" s="11" t="s">
        <v>351</v>
      </c>
      <c r="I2" s="11" t="s">
        <v>352</v>
      </c>
      <c r="J2" s="11" t="s">
        <v>353</v>
      </c>
      <c r="K2" s="11" t="s">
        <v>354</v>
      </c>
      <c r="L2" s="11" t="s">
        <v>355</v>
      </c>
      <c r="M2" s="11" t="s">
        <v>356</v>
      </c>
      <c r="N2" s="11" t="s">
        <v>267</v>
      </c>
      <c r="O2" s="11" t="s">
        <v>357</v>
      </c>
      <c r="P2" s="11" t="s">
        <v>230</v>
      </c>
      <c r="Q2" s="11" t="s">
        <v>358</v>
      </c>
      <c r="R2" s="11" t="s">
        <v>359</v>
      </c>
      <c r="S2" s="11" t="s">
        <v>360</v>
      </c>
      <c r="T2" s="11" t="s">
        <v>361</v>
      </c>
      <c r="U2" s="11" t="s">
        <v>362</v>
      </c>
      <c r="V2" s="11" t="s">
        <v>363</v>
      </c>
      <c r="W2" s="11" t="s">
        <v>364</v>
      </c>
      <c r="X2" s="11" t="s">
        <v>365</v>
      </c>
      <c r="Y2" s="11" t="s">
        <v>366</v>
      </c>
      <c r="Z2" s="11" t="s">
        <v>367</v>
      </c>
      <c r="AA2" s="11" t="s">
        <v>368</v>
      </c>
      <c r="AB2" s="11" t="s">
        <v>369</v>
      </c>
      <c r="AC2" s="11" t="s">
        <v>370</v>
      </c>
      <c r="AD2" s="11" t="s">
        <v>371</v>
      </c>
      <c r="AE2" s="11" t="s">
        <v>372</v>
      </c>
      <c r="AF2" s="11" t="s">
        <v>373</v>
      </c>
      <c r="AG2" s="11" t="s">
        <v>374</v>
      </c>
      <c r="AH2" s="11" t="s">
        <v>375</v>
      </c>
      <c r="AI2" s="11" t="s">
        <v>376</v>
      </c>
      <c r="AJ2" s="11" t="s">
        <v>377</v>
      </c>
      <c r="AK2" s="11" t="s">
        <v>378</v>
      </c>
    </row>
    <row r="3" customFormat="false" ht="15" hidden="false" customHeight="false" outlineLevel="0" collapsed="false">
      <c r="A3" s="7" t="s">
        <v>137</v>
      </c>
      <c r="B3" s="20" t="n">
        <v>44957</v>
      </c>
      <c r="C3" s="8" t="n">
        <v>38650</v>
      </c>
      <c r="D3" s="8" t="n">
        <v>0</v>
      </c>
      <c r="E3" s="8" t="n">
        <v>0</v>
      </c>
      <c r="F3" s="8" t="n">
        <v>71120.24</v>
      </c>
      <c r="G3" s="8" t="n">
        <v>0</v>
      </c>
      <c r="H3" s="8" t="n">
        <v>0</v>
      </c>
      <c r="I3" s="8" t="n">
        <v>-13566.98</v>
      </c>
      <c r="J3" s="8" t="n">
        <v>-33014.27</v>
      </c>
      <c r="K3" s="8" t="n">
        <v>0</v>
      </c>
      <c r="L3" s="8" t="n">
        <v>0</v>
      </c>
      <c r="M3" s="8" t="n">
        <v>0</v>
      </c>
      <c r="N3" s="16" t="n">
        <v>-3184.55</v>
      </c>
      <c r="O3" s="8" t="n">
        <v>0</v>
      </c>
      <c r="P3" s="8" t="n">
        <v>-11780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31000</v>
      </c>
      <c r="W3" s="8" t="n">
        <v>-42000</v>
      </c>
      <c r="X3" s="8" t="n">
        <v>-1035.26</v>
      </c>
      <c r="Y3" s="8" t="n">
        <v>0</v>
      </c>
      <c r="Z3" s="8" t="n">
        <v>0</v>
      </c>
      <c r="AA3" s="16" t="n">
        <v>-4000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-431.2</v>
      </c>
      <c r="AG3" s="8" t="n">
        <v>-3000</v>
      </c>
      <c r="AH3" s="8" t="n">
        <v>0</v>
      </c>
      <c r="AI3" s="8" t="n">
        <v>-9892.02</v>
      </c>
      <c r="AJ3" s="16" t="n">
        <v>28757.98</v>
      </c>
      <c r="AK3" s="8" t="n">
        <v>59000</v>
      </c>
    </row>
    <row r="4" customFormat="false" ht="15" hidden="false" customHeight="false" outlineLevel="0" collapsed="false">
      <c r="A4" s="7" t="s">
        <v>137</v>
      </c>
      <c r="B4" s="20" t="n">
        <v>44985</v>
      </c>
      <c r="C4" s="8" t="n">
        <v>28757.98</v>
      </c>
      <c r="D4" s="8" t="n">
        <v>0</v>
      </c>
      <c r="E4" s="8" t="n">
        <v>0</v>
      </c>
      <c r="F4" s="8" t="n">
        <v>0</v>
      </c>
      <c r="G4" s="8" t="n">
        <v>-1344</v>
      </c>
      <c r="H4" s="8" t="n">
        <v>0</v>
      </c>
      <c r="I4" s="8" t="n">
        <v>-501.3</v>
      </c>
      <c r="J4" s="8" t="n">
        <v>-739.82</v>
      </c>
      <c r="K4" s="8" t="n">
        <v>0</v>
      </c>
      <c r="L4" s="8" t="n">
        <v>0</v>
      </c>
      <c r="M4" s="8" t="n">
        <v>0</v>
      </c>
      <c r="N4" s="16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-4282.74</v>
      </c>
      <c r="Y4" s="8" t="n">
        <v>0</v>
      </c>
      <c r="Z4" s="8" t="n">
        <v>0</v>
      </c>
      <c r="AA4" s="16" t="n">
        <v>-4000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-10867.86</v>
      </c>
      <c r="AJ4" s="16" t="n">
        <v>17890.12</v>
      </c>
      <c r="AK4" s="8" t="n">
        <v>59000</v>
      </c>
    </row>
    <row r="5" customFormat="false" ht="15" hidden="false" customHeight="false" outlineLevel="0" collapsed="false">
      <c r="A5" s="7" t="s">
        <v>137</v>
      </c>
      <c r="B5" s="20" t="n">
        <v>45016</v>
      </c>
      <c r="C5" s="8" t="n">
        <v>17890.12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-612.53</v>
      </c>
      <c r="J5" s="8" t="n">
        <v>-742.23</v>
      </c>
      <c r="K5" s="8" t="n">
        <v>0</v>
      </c>
      <c r="L5" s="8" t="n">
        <v>0</v>
      </c>
      <c r="M5" s="8" t="n">
        <v>0</v>
      </c>
      <c r="N5" s="16" t="n">
        <v>0</v>
      </c>
      <c r="O5" s="8" t="n">
        <v>0</v>
      </c>
      <c r="P5" s="8" t="n">
        <v>-6700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14000</v>
      </c>
      <c r="W5" s="8" t="n">
        <v>0</v>
      </c>
      <c r="X5" s="8" t="n">
        <v>-825.66</v>
      </c>
      <c r="Y5" s="8" t="n">
        <v>0</v>
      </c>
      <c r="Z5" s="8" t="n">
        <v>0</v>
      </c>
      <c r="AA5" s="16" t="n">
        <v>-4000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1119.58</v>
      </c>
      <c r="AJ5" s="16" t="n">
        <v>19009.7</v>
      </c>
      <c r="AK5" s="8" t="n">
        <v>73000</v>
      </c>
    </row>
    <row r="6" customFormat="false" ht="15" hidden="false" customHeight="false" outlineLevel="0" collapsed="false">
      <c r="A6" s="7" t="s">
        <v>137</v>
      </c>
      <c r="B6" s="20" t="n">
        <v>45046</v>
      </c>
      <c r="C6" s="8" t="n">
        <v>19009.7</v>
      </c>
      <c r="D6" s="8" t="n">
        <v>0</v>
      </c>
      <c r="E6" s="8" t="n">
        <v>-1120</v>
      </c>
      <c r="F6" s="8" t="n">
        <v>4493.52</v>
      </c>
      <c r="G6" s="8" t="n">
        <v>-2304</v>
      </c>
      <c r="H6" s="8" t="n">
        <v>0</v>
      </c>
      <c r="I6" s="8" t="n">
        <v>-707.77</v>
      </c>
      <c r="J6" s="8" t="n">
        <v>-744.64</v>
      </c>
      <c r="K6" s="8" t="n">
        <v>0</v>
      </c>
      <c r="L6" s="8" t="n">
        <v>0</v>
      </c>
      <c r="M6" s="8" t="n">
        <v>-4096</v>
      </c>
      <c r="N6" s="16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13000</v>
      </c>
      <c r="W6" s="8" t="n">
        <v>0</v>
      </c>
      <c r="X6" s="8" t="n">
        <v>-757.88</v>
      </c>
      <c r="Y6" s="8" t="n">
        <v>0</v>
      </c>
      <c r="Z6" s="8" t="n">
        <v>0</v>
      </c>
      <c r="AA6" s="16" t="n">
        <v>-4000</v>
      </c>
      <c r="AB6" s="8" t="n">
        <v>0</v>
      </c>
      <c r="AC6" s="8" t="n">
        <v>0</v>
      </c>
      <c r="AD6" s="8" t="n">
        <v>-1290.98</v>
      </c>
      <c r="AE6" s="8" t="n">
        <v>0</v>
      </c>
      <c r="AF6" s="8" t="n">
        <v>0</v>
      </c>
      <c r="AG6" s="8" t="n">
        <v>-3000</v>
      </c>
      <c r="AH6" s="8" t="n">
        <v>0</v>
      </c>
      <c r="AI6" s="8" t="n">
        <v>-527.75</v>
      </c>
      <c r="AJ6" s="16" t="n">
        <v>18481.95</v>
      </c>
      <c r="AK6" s="8" t="n">
        <v>86000</v>
      </c>
    </row>
    <row r="7" customFormat="false" ht="15" hidden="false" customHeight="false" outlineLevel="0" collapsed="false">
      <c r="A7" s="7" t="s">
        <v>137</v>
      </c>
      <c r="B7" s="20" t="n">
        <v>45077</v>
      </c>
      <c r="C7" s="8" t="n">
        <v>18481.95</v>
      </c>
      <c r="D7" s="8" t="n">
        <v>0</v>
      </c>
      <c r="E7" s="8" t="n">
        <v>-8299.5</v>
      </c>
      <c r="F7" s="8" t="n">
        <v>0</v>
      </c>
      <c r="G7" s="8" t="n">
        <v>-864</v>
      </c>
      <c r="H7" s="8" t="n">
        <v>0</v>
      </c>
      <c r="I7" s="8" t="n">
        <v>-969.3</v>
      </c>
      <c r="J7" s="8" t="n">
        <v>-747.06</v>
      </c>
      <c r="K7" s="8" t="n">
        <v>0</v>
      </c>
      <c r="L7" s="8" t="n">
        <v>0</v>
      </c>
      <c r="M7" s="8" t="n">
        <v>-19911.3</v>
      </c>
      <c r="N7" s="16" t="n">
        <v>-2040.57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40000</v>
      </c>
      <c r="W7" s="8" t="n">
        <v>0</v>
      </c>
      <c r="X7" s="8" t="n">
        <v>-1182.85</v>
      </c>
      <c r="Y7" s="8" t="n">
        <v>0</v>
      </c>
      <c r="Z7" s="8" t="n">
        <v>0</v>
      </c>
      <c r="AA7" s="16" t="n">
        <v>-4000</v>
      </c>
      <c r="AB7" s="8" t="n">
        <v>-2197.93</v>
      </c>
      <c r="AC7" s="8" t="n">
        <v>0</v>
      </c>
      <c r="AD7" s="8" t="n">
        <v>0</v>
      </c>
      <c r="AE7" s="8" t="n">
        <v>-6240</v>
      </c>
      <c r="AF7" s="8" t="n">
        <v>-3390.12</v>
      </c>
      <c r="AG7" s="8" t="n">
        <v>0</v>
      </c>
      <c r="AH7" s="8" t="n">
        <v>0</v>
      </c>
      <c r="AI7" s="8" t="n">
        <v>-9842.63</v>
      </c>
      <c r="AJ7" s="16" t="n">
        <v>8639.32</v>
      </c>
      <c r="AK7" s="8" t="n">
        <v>126000</v>
      </c>
    </row>
    <row r="8" customFormat="false" ht="15" hidden="false" customHeight="false" outlineLevel="0" collapsed="false">
      <c r="A8" s="7" t="s">
        <v>137</v>
      </c>
      <c r="B8" s="20" t="n">
        <v>45107</v>
      </c>
      <c r="C8" s="8" t="n">
        <v>8639.32</v>
      </c>
      <c r="D8" s="8" t="n">
        <v>0</v>
      </c>
      <c r="E8" s="8" t="n">
        <v>-4990.5</v>
      </c>
      <c r="F8" s="8" t="n">
        <v>0</v>
      </c>
      <c r="G8" s="8" t="n">
        <v>-2304</v>
      </c>
      <c r="H8" s="8" t="n">
        <v>0</v>
      </c>
      <c r="I8" s="8" t="n">
        <v>-1215.74</v>
      </c>
      <c r="J8" s="8" t="n">
        <v>-749.49</v>
      </c>
      <c r="K8" s="8" t="n">
        <v>0</v>
      </c>
      <c r="L8" s="8" t="n">
        <v>0</v>
      </c>
      <c r="M8" s="8" t="n">
        <v>0</v>
      </c>
      <c r="N8" s="16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32000</v>
      </c>
      <c r="W8" s="8" t="n">
        <v>0</v>
      </c>
      <c r="X8" s="8" t="n">
        <v>-723.22</v>
      </c>
      <c r="Y8" s="8" t="n">
        <v>0</v>
      </c>
      <c r="Z8" s="8" t="n">
        <v>0</v>
      </c>
      <c r="AA8" s="16" t="n">
        <v>-4000</v>
      </c>
      <c r="AB8" s="8" t="n">
        <v>-3490.6</v>
      </c>
      <c r="AC8" s="8" t="n">
        <v>0</v>
      </c>
      <c r="AD8" s="8" t="n">
        <v>0</v>
      </c>
      <c r="AE8" s="8" t="n">
        <v>-7872</v>
      </c>
      <c r="AF8" s="8" t="n">
        <v>0</v>
      </c>
      <c r="AG8" s="8" t="n">
        <v>-3000</v>
      </c>
      <c r="AH8" s="8" t="n">
        <v>0</v>
      </c>
      <c r="AI8" s="8" t="n">
        <v>3654.45</v>
      </c>
      <c r="AJ8" s="16" t="n">
        <v>12293.77</v>
      </c>
      <c r="AK8" s="8" t="n">
        <v>158000</v>
      </c>
    </row>
    <row r="9" customFormat="false" ht="15" hidden="false" customHeight="false" outlineLevel="0" collapsed="false">
      <c r="A9" s="7" t="s">
        <v>137</v>
      </c>
      <c r="B9" s="20" t="n">
        <v>45138</v>
      </c>
      <c r="C9" s="8" t="n">
        <v>12293.77</v>
      </c>
      <c r="D9" s="8" t="n">
        <v>0</v>
      </c>
      <c r="E9" s="8" t="n">
        <v>-3144</v>
      </c>
      <c r="F9" s="8" t="n">
        <v>16308.24</v>
      </c>
      <c r="G9" s="8" t="n">
        <v>-864</v>
      </c>
      <c r="H9" s="8" t="n">
        <v>0</v>
      </c>
      <c r="I9" s="8" t="n">
        <v>-1503.85</v>
      </c>
      <c r="J9" s="8" t="n">
        <v>-751.92</v>
      </c>
      <c r="K9" s="8" t="n">
        <v>0</v>
      </c>
      <c r="L9" s="8" t="n">
        <v>0</v>
      </c>
      <c r="M9" s="8" t="n">
        <v>0</v>
      </c>
      <c r="N9" s="16" t="n">
        <v>-660.44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18000</v>
      </c>
      <c r="W9" s="8" t="n">
        <v>0</v>
      </c>
      <c r="X9" s="8" t="n">
        <v>-7029.57</v>
      </c>
      <c r="Y9" s="8" t="n">
        <v>0</v>
      </c>
      <c r="Z9" s="8" t="n">
        <v>0</v>
      </c>
      <c r="AA9" s="16" t="n">
        <v>-4000</v>
      </c>
      <c r="AB9" s="8" t="n">
        <v>-3395.79</v>
      </c>
      <c r="AC9" s="8" t="n">
        <v>0</v>
      </c>
      <c r="AD9" s="8" t="n">
        <v>-6856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6102.67</v>
      </c>
      <c r="AJ9" s="16" t="n">
        <v>18396.44</v>
      </c>
      <c r="AK9" s="8" t="n">
        <v>176000</v>
      </c>
    </row>
    <row r="10" customFormat="false" ht="15" hidden="false" customHeight="false" outlineLevel="0" collapsed="false">
      <c r="A10" s="7" t="s">
        <v>137</v>
      </c>
      <c r="B10" s="20" t="n">
        <v>45169</v>
      </c>
      <c r="C10" s="8" t="n">
        <v>18396.44</v>
      </c>
      <c r="D10" s="8" t="n">
        <v>0</v>
      </c>
      <c r="E10" s="8" t="n">
        <v>-3500</v>
      </c>
      <c r="F10" s="8" t="n">
        <v>0</v>
      </c>
      <c r="G10" s="8" t="n">
        <v>0</v>
      </c>
      <c r="H10" s="8" t="n">
        <v>48288.58</v>
      </c>
      <c r="I10" s="8" t="n">
        <v>-1620.09</v>
      </c>
      <c r="J10" s="8" t="n">
        <v>-754.37</v>
      </c>
      <c r="K10" s="8" t="n">
        <v>0</v>
      </c>
      <c r="L10" s="8" t="n">
        <v>0</v>
      </c>
      <c r="M10" s="8" t="n">
        <v>0</v>
      </c>
      <c r="N10" s="16" t="n">
        <v>-9294.25</v>
      </c>
      <c r="O10" s="8" t="n">
        <v>0</v>
      </c>
      <c r="P10" s="8" t="n">
        <v>-1392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14000</v>
      </c>
      <c r="W10" s="8" t="n">
        <v>-20000</v>
      </c>
      <c r="X10" s="8" t="n">
        <v>-8587.6</v>
      </c>
      <c r="Y10" s="8" t="n">
        <v>0</v>
      </c>
      <c r="Z10" s="8" t="n">
        <v>0</v>
      </c>
      <c r="AA10" s="16" t="n">
        <v>-4000</v>
      </c>
      <c r="AB10" s="8" t="n">
        <v>-2629.01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10511.26</v>
      </c>
      <c r="AJ10" s="16" t="n">
        <v>28907.7</v>
      </c>
      <c r="AK10" s="8" t="n">
        <v>170000</v>
      </c>
    </row>
    <row r="11" customFormat="false" ht="15" hidden="false" customHeight="false" outlineLevel="0" collapsed="false">
      <c r="A11" s="7" t="s">
        <v>137</v>
      </c>
      <c r="B11" s="20" t="n">
        <v>45199</v>
      </c>
      <c r="C11" s="8" t="n">
        <v>28907.7</v>
      </c>
      <c r="D11" s="8" t="n">
        <v>0</v>
      </c>
      <c r="E11" s="8" t="n">
        <v>0</v>
      </c>
      <c r="F11" s="8" t="n">
        <v>27942.4</v>
      </c>
      <c r="G11" s="8" t="n">
        <v>-120</v>
      </c>
      <c r="H11" s="8" t="n">
        <v>8157.41</v>
      </c>
      <c r="I11" s="8" t="n">
        <v>-1415.67</v>
      </c>
      <c r="J11" s="8" t="n">
        <v>-756.82</v>
      </c>
      <c r="K11" s="8" t="n">
        <v>0</v>
      </c>
      <c r="L11" s="8" t="n">
        <v>0</v>
      </c>
      <c r="M11" s="8" t="n">
        <v>0</v>
      </c>
      <c r="N11" s="16" t="n">
        <v>0</v>
      </c>
      <c r="O11" s="8" t="n">
        <v>0</v>
      </c>
      <c r="P11" s="8" t="n">
        <v>0</v>
      </c>
      <c r="Q11" s="8" t="n">
        <v>4871.6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-5899.33</v>
      </c>
      <c r="Y11" s="8" t="n">
        <v>0</v>
      </c>
      <c r="Z11" s="8" t="n">
        <v>0</v>
      </c>
      <c r="AA11" s="16" t="n">
        <v>-4000</v>
      </c>
      <c r="AB11" s="8" t="n">
        <v>-5763.25</v>
      </c>
      <c r="AC11" s="8" t="n">
        <v>0</v>
      </c>
      <c r="AD11" s="8" t="n">
        <v>-4250</v>
      </c>
      <c r="AE11" s="8" t="n">
        <v>0</v>
      </c>
      <c r="AF11" s="8" t="n">
        <v>0</v>
      </c>
      <c r="AG11" s="8" t="n">
        <v>-3000</v>
      </c>
      <c r="AH11" s="8" t="n">
        <v>0</v>
      </c>
      <c r="AI11" s="8" t="n">
        <v>15766.34</v>
      </c>
      <c r="AJ11" s="16" t="n">
        <v>44674.04</v>
      </c>
      <c r="AK11" s="8" t="n">
        <v>170000</v>
      </c>
    </row>
    <row r="12" customFormat="false" ht="15" hidden="false" customHeight="false" outlineLevel="0" collapsed="false">
      <c r="A12" s="7" t="s">
        <v>137</v>
      </c>
      <c r="B12" s="20" t="n">
        <v>45230</v>
      </c>
      <c r="C12" s="8" t="n">
        <v>44674.04</v>
      </c>
      <c r="D12" s="8" t="n">
        <v>0</v>
      </c>
      <c r="E12" s="8" t="n">
        <v>0</v>
      </c>
      <c r="F12" s="8" t="n">
        <v>59010.82</v>
      </c>
      <c r="G12" s="8" t="n">
        <v>0</v>
      </c>
      <c r="H12" s="8" t="n">
        <v>10043.04</v>
      </c>
      <c r="I12" s="8" t="n">
        <v>-1457.45</v>
      </c>
      <c r="J12" s="8" t="n">
        <v>-759.28</v>
      </c>
      <c r="K12" s="8" t="n">
        <v>0</v>
      </c>
      <c r="L12" s="8" t="n">
        <v>0</v>
      </c>
      <c r="M12" s="8" t="n">
        <v>0</v>
      </c>
      <c r="N12" s="16" t="n">
        <v>-973.28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-57000</v>
      </c>
      <c r="X12" s="8" t="n">
        <v>-4452.53</v>
      </c>
      <c r="Y12" s="8" t="n">
        <v>0</v>
      </c>
      <c r="Z12" s="8" t="n">
        <v>0</v>
      </c>
      <c r="AA12" s="16" t="n">
        <v>-4000</v>
      </c>
      <c r="AB12" s="8" t="n">
        <v>-4650.91</v>
      </c>
      <c r="AC12" s="8" t="n">
        <v>0</v>
      </c>
      <c r="AD12" s="8" t="n">
        <v>-12195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-16434.59</v>
      </c>
      <c r="AJ12" s="16" t="n">
        <v>28239.45</v>
      </c>
      <c r="AK12" s="8" t="n">
        <v>113000</v>
      </c>
    </row>
    <row r="13" customFormat="false" ht="15" hidden="false" customHeight="false" outlineLevel="0" collapsed="false">
      <c r="A13" s="7" t="s">
        <v>137</v>
      </c>
      <c r="B13" s="20" t="n">
        <v>45260</v>
      </c>
      <c r="C13" s="8" t="n">
        <v>28239.45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33867.06</v>
      </c>
      <c r="I13" s="8" t="n">
        <v>-965.67</v>
      </c>
      <c r="J13" s="8" t="n">
        <v>-761.75</v>
      </c>
      <c r="K13" s="8" t="n">
        <v>0</v>
      </c>
      <c r="L13" s="8" t="n">
        <v>0</v>
      </c>
      <c r="M13" s="8" t="n">
        <v>-1976</v>
      </c>
      <c r="N13" s="16" t="n">
        <v>-9751.7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-819.05</v>
      </c>
      <c r="Y13" s="8" t="n">
        <v>0</v>
      </c>
      <c r="Z13" s="8" t="n">
        <v>0</v>
      </c>
      <c r="AA13" s="16" t="n">
        <v>-4000</v>
      </c>
      <c r="AB13" s="8" t="n">
        <v>-2402.61</v>
      </c>
      <c r="AC13" s="8" t="n">
        <v>0</v>
      </c>
      <c r="AD13" s="8" t="n">
        <v>-4430.78</v>
      </c>
      <c r="AE13" s="8" t="n">
        <v>-2296</v>
      </c>
      <c r="AF13" s="8" t="n">
        <v>0</v>
      </c>
      <c r="AG13" s="8" t="n">
        <v>0</v>
      </c>
      <c r="AH13" s="8" t="n">
        <v>0</v>
      </c>
      <c r="AI13" s="8" t="n">
        <v>6463.5</v>
      </c>
      <c r="AJ13" s="16" t="n">
        <v>34702.95</v>
      </c>
      <c r="AK13" s="8" t="n">
        <v>113000</v>
      </c>
    </row>
    <row r="14" customFormat="false" ht="15" hidden="false" customHeight="false" outlineLevel="0" collapsed="false">
      <c r="A14" s="7" t="s">
        <v>137</v>
      </c>
      <c r="B14" s="20" t="n">
        <v>45291</v>
      </c>
      <c r="C14" s="8" t="n">
        <v>34702.95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76850.79</v>
      </c>
      <c r="I14" s="8" t="n">
        <v>-16914.84</v>
      </c>
      <c r="J14" s="8" t="n">
        <v>-16889.18</v>
      </c>
      <c r="K14" s="8" t="n">
        <v>0</v>
      </c>
      <c r="L14" s="8" t="n">
        <v>0</v>
      </c>
      <c r="M14" s="8" t="n">
        <v>0</v>
      </c>
      <c r="N14" s="16" t="n">
        <v>-8762.09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22000</v>
      </c>
      <c r="W14" s="8" t="n">
        <v>-43000</v>
      </c>
      <c r="X14" s="8" t="n">
        <v>-973.8</v>
      </c>
      <c r="Y14" s="8" t="n">
        <v>0</v>
      </c>
      <c r="Z14" s="8" t="n">
        <v>0</v>
      </c>
      <c r="AA14" s="16" t="n">
        <v>-4000</v>
      </c>
      <c r="AB14" s="8" t="n">
        <v>-179.2</v>
      </c>
      <c r="AC14" s="8" t="n">
        <v>0</v>
      </c>
      <c r="AD14" s="8" t="n">
        <v>-1991.24</v>
      </c>
      <c r="AE14" s="8" t="n">
        <v>-8968.75</v>
      </c>
      <c r="AF14" s="8" t="n">
        <v>-3390</v>
      </c>
      <c r="AG14" s="8" t="n">
        <v>0</v>
      </c>
      <c r="AH14" s="8" t="n">
        <v>0</v>
      </c>
      <c r="AI14" s="8" t="n">
        <v>-6218.31</v>
      </c>
      <c r="AJ14" s="16" t="n">
        <v>28484.64</v>
      </c>
      <c r="AK14" s="8" t="n">
        <v>92000</v>
      </c>
    </row>
    <row r="15" customFormat="false" ht="15" hidden="false" customHeight="false" outlineLevel="0" collapsed="false">
      <c r="A15" s="7" t="s">
        <v>137</v>
      </c>
      <c r="B15" s="20" t="n">
        <v>45322</v>
      </c>
      <c r="C15" s="8" t="n">
        <v>28484.64</v>
      </c>
      <c r="D15" s="8" t="n">
        <v>0</v>
      </c>
      <c r="E15" s="8" t="n">
        <v>0</v>
      </c>
      <c r="F15" s="8" t="n">
        <v>10609</v>
      </c>
      <c r="G15" s="8" t="n">
        <v>-6720</v>
      </c>
      <c r="H15" s="8" t="n">
        <v>0</v>
      </c>
      <c r="I15" s="8" t="n">
        <v>-12266.85</v>
      </c>
      <c r="J15" s="8" t="n">
        <v>-34625.12</v>
      </c>
      <c r="K15" s="8" t="n">
        <v>0</v>
      </c>
      <c r="L15" s="8" t="n">
        <v>0</v>
      </c>
      <c r="M15" s="8" t="n">
        <v>0</v>
      </c>
      <c r="N15" s="16" t="n">
        <v>0</v>
      </c>
      <c r="O15" s="8" t="n">
        <v>0</v>
      </c>
      <c r="P15" s="8" t="n">
        <v>-12690</v>
      </c>
      <c r="Q15" s="8" t="n">
        <v>8312.4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47000</v>
      </c>
      <c r="W15" s="8" t="n">
        <v>0</v>
      </c>
      <c r="X15" s="8" t="n">
        <v>-1487.16</v>
      </c>
      <c r="Y15" s="8" t="n">
        <v>0</v>
      </c>
      <c r="Z15" s="8" t="n">
        <v>0</v>
      </c>
      <c r="AA15" s="16" t="n">
        <v>-4100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-431</v>
      </c>
      <c r="AG15" s="8" t="n">
        <v>-3500</v>
      </c>
      <c r="AH15" s="8" t="n">
        <v>0</v>
      </c>
      <c r="AI15" s="8" t="n">
        <v>-9898.73</v>
      </c>
      <c r="AJ15" s="16" t="n">
        <v>18585.91</v>
      </c>
      <c r="AK15" s="8" t="n">
        <v>139000</v>
      </c>
    </row>
    <row r="16" customFormat="false" ht="15" hidden="false" customHeight="false" outlineLevel="0" collapsed="false">
      <c r="A16" s="7" t="s">
        <v>137</v>
      </c>
      <c r="B16" s="20" t="n">
        <v>45351</v>
      </c>
      <c r="C16" s="8" t="n">
        <v>18585.91</v>
      </c>
      <c r="D16" s="8" t="n">
        <v>0</v>
      </c>
      <c r="E16" s="8" t="n">
        <v>0</v>
      </c>
      <c r="F16" s="8" t="n">
        <v>4703.04</v>
      </c>
      <c r="G16" s="8" t="n">
        <v>-4961.28</v>
      </c>
      <c r="H16" s="8" t="n">
        <v>19679.53</v>
      </c>
      <c r="I16" s="8" t="n">
        <v>-1125.05</v>
      </c>
      <c r="J16" s="8" t="n">
        <v>-769.2</v>
      </c>
      <c r="K16" s="8" t="n">
        <v>0</v>
      </c>
      <c r="L16" s="8" t="n">
        <v>0</v>
      </c>
      <c r="M16" s="8" t="n">
        <v>0</v>
      </c>
      <c r="N16" s="16" t="n">
        <v>0</v>
      </c>
      <c r="O16" s="8" t="n">
        <v>0</v>
      </c>
      <c r="P16" s="8" t="n">
        <v>0</v>
      </c>
      <c r="Q16" s="8" t="n">
        <v>3609.6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-4484.17</v>
      </c>
      <c r="Y16" s="8" t="n">
        <v>0</v>
      </c>
      <c r="Z16" s="8" t="n">
        <v>0</v>
      </c>
      <c r="AA16" s="16" t="n">
        <v>-4100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12552.47</v>
      </c>
      <c r="AJ16" s="16" t="n">
        <v>31138.38</v>
      </c>
      <c r="AK16" s="8" t="n">
        <v>139000</v>
      </c>
    </row>
    <row r="17" customFormat="false" ht="15" hidden="false" customHeight="false" outlineLevel="0" collapsed="false">
      <c r="A17" s="7" t="s">
        <v>137</v>
      </c>
      <c r="B17" s="20" t="n">
        <v>45382</v>
      </c>
      <c r="C17" s="8" t="n">
        <v>31138.38</v>
      </c>
      <c r="D17" s="8" t="n">
        <v>0</v>
      </c>
      <c r="E17" s="8" t="n">
        <v>0</v>
      </c>
      <c r="F17" s="8" t="n">
        <v>38578.56</v>
      </c>
      <c r="G17" s="8" t="n">
        <v>0</v>
      </c>
      <c r="H17" s="8" t="n">
        <v>0</v>
      </c>
      <c r="I17" s="8" t="n">
        <v>-1194.91</v>
      </c>
      <c r="J17" s="8" t="n">
        <v>-771.7</v>
      </c>
      <c r="K17" s="8" t="n">
        <v>0</v>
      </c>
      <c r="L17" s="8" t="n">
        <v>0</v>
      </c>
      <c r="M17" s="8" t="n">
        <v>0</v>
      </c>
      <c r="N17" s="16" t="n">
        <v>0</v>
      </c>
      <c r="O17" s="8" t="n">
        <v>0</v>
      </c>
      <c r="P17" s="8" t="n">
        <v>-4150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-30000</v>
      </c>
      <c r="X17" s="8" t="n">
        <v>-779.19</v>
      </c>
      <c r="Y17" s="8" t="n">
        <v>0</v>
      </c>
      <c r="Z17" s="8" t="n">
        <v>0</v>
      </c>
      <c r="AA17" s="16" t="n">
        <v>-4100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-2417.24</v>
      </c>
      <c r="AJ17" s="16" t="n">
        <v>28721.14</v>
      </c>
      <c r="AK17" s="8" t="n">
        <v>109000</v>
      </c>
    </row>
    <row r="18" customFormat="false" ht="15" hidden="false" customHeight="false" outlineLevel="0" collapsed="false">
      <c r="A18" s="7" t="s">
        <v>137</v>
      </c>
      <c r="B18" s="20" t="n">
        <v>45412</v>
      </c>
      <c r="C18" s="8" t="n">
        <v>28721.14</v>
      </c>
      <c r="D18" s="8" t="n">
        <v>0</v>
      </c>
      <c r="E18" s="8" t="n">
        <v>-1148</v>
      </c>
      <c r="F18" s="8" t="n">
        <v>2893.36</v>
      </c>
      <c r="G18" s="8" t="n">
        <v>-2373.12</v>
      </c>
      <c r="H18" s="8" t="n">
        <v>0</v>
      </c>
      <c r="I18" s="8" t="n">
        <v>-921.99</v>
      </c>
      <c r="J18" s="8" t="n">
        <v>-774.2</v>
      </c>
      <c r="K18" s="8" t="n">
        <v>0</v>
      </c>
      <c r="L18" s="8" t="n">
        <v>0</v>
      </c>
      <c r="M18" s="8" t="n">
        <v>-3200</v>
      </c>
      <c r="N18" s="16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-791.76</v>
      </c>
      <c r="Y18" s="8" t="n">
        <v>0</v>
      </c>
      <c r="Z18" s="8" t="n">
        <v>0</v>
      </c>
      <c r="AA18" s="16" t="n">
        <v>-4100</v>
      </c>
      <c r="AB18" s="8" t="n">
        <v>0</v>
      </c>
      <c r="AC18" s="8" t="n">
        <v>0</v>
      </c>
      <c r="AD18" s="8" t="n">
        <v>-1755.35</v>
      </c>
      <c r="AE18" s="8" t="n">
        <v>0</v>
      </c>
      <c r="AF18" s="8" t="n">
        <v>0</v>
      </c>
      <c r="AG18" s="8" t="n">
        <v>-3500</v>
      </c>
      <c r="AH18" s="8" t="n">
        <v>0</v>
      </c>
      <c r="AI18" s="8" t="n">
        <v>-15671.06</v>
      </c>
      <c r="AJ18" s="16" t="n">
        <v>13050.08</v>
      </c>
      <c r="AK18" s="8" t="n">
        <v>109000</v>
      </c>
    </row>
    <row r="19" customFormat="false" ht="15" hidden="false" customHeight="false" outlineLevel="0" collapsed="false">
      <c r="A19" s="7" t="s">
        <v>137</v>
      </c>
      <c r="B19" s="20" t="n">
        <v>45443</v>
      </c>
      <c r="C19" s="8" t="n">
        <v>13050.08</v>
      </c>
      <c r="D19" s="8" t="n">
        <v>0</v>
      </c>
      <c r="E19" s="8" t="n">
        <v>-2175.36</v>
      </c>
      <c r="F19" s="8" t="n">
        <v>27493.25</v>
      </c>
      <c r="G19" s="8" t="n">
        <v>-889.92</v>
      </c>
      <c r="H19" s="8" t="n">
        <v>0</v>
      </c>
      <c r="I19" s="8" t="n">
        <v>-1039.45</v>
      </c>
      <c r="J19" s="8" t="n">
        <v>-776.72</v>
      </c>
      <c r="K19" s="8" t="n">
        <v>0</v>
      </c>
      <c r="L19" s="8" t="n">
        <v>0</v>
      </c>
      <c r="M19" s="8" t="n">
        <v>-7032.9</v>
      </c>
      <c r="N19" s="16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16000</v>
      </c>
      <c r="W19" s="8" t="n">
        <v>0</v>
      </c>
      <c r="X19" s="8" t="n">
        <v>-1203.82</v>
      </c>
      <c r="Y19" s="8" t="n">
        <v>0</v>
      </c>
      <c r="Z19" s="8" t="n">
        <v>0</v>
      </c>
      <c r="AA19" s="16" t="n">
        <v>-4100</v>
      </c>
      <c r="AB19" s="8" t="n">
        <v>-2446.25</v>
      </c>
      <c r="AC19" s="8" t="n">
        <v>0</v>
      </c>
      <c r="AD19" s="8" t="n">
        <v>0</v>
      </c>
      <c r="AE19" s="8" t="n">
        <v>0</v>
      </c>
      <c r="AF19" s="8" t="n">
        <v>-3390</v>
      </c>
      <c r="AG19" s="8" t="n">
        <v>0</v>
      </c>
      <c r="AH19" s="8" t="n">
        <v>0</v>
      </c>
      <c r="AI19" s="8" t="n">
        <v>20438.83</v>
      </c>
      <c r="AJ19" s="16" t="n">
        <v>33488.91</v>
      </c>
      <c r="AK19" s="8" t="n">
        <v>125000</v>
      </c>
    </row>
    <row r="20" customFormat="false" ht="15" hidden="false" customHeight="false" outlineLevel="0" collapsed="false">
      <c r="A20" s="7" t="s">
        <v>137</v>
      </c>
      <c r="B20" s="20" t="n">
        <v>45473</v>
      </c>
      <c r="C20" s="8" t="n">
        <v>33488.91</v>
      </c>
      <c r="D20" s="8" t="n">
        <v>0</v>
      </c>
      <c r="E20" s="8" t="n">
        <v>-7191.84</v>
      </c>
      <c r="F20" s="8" t="n">
        <v>0</v>
      </c>
      <c r="G20" s="8" t="n">
        <v>-2373.12</v>
      </c>
      <c r="H20" s="8" t="n">
        <v>0</v>
      </c>
      <c r="I20" s="8" t="n">
        <v>-1083.51</v>
      </c>
      <c r="J20" s="8" t="n">
        <v>-779.25</v>
      </c>
      <c r="K20" s="8" t="n">
        <v>0</v>
      </c>
      <c r="L20" s="8" t="n">
        <v>0</v>
      </c>
      <c r="M20" s="8" t="n">
        <v>0</v>
      </c>
      <c r="N20" s="16" t="n">
        <v>-1375.45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16000</v>
      </c>
      <c r="W20" s="8" t="n">
        <v>0</v>
      </c>
      <c r="X20" s="8" t="n">
        <v>-740.45</v>
      </c>
      <c r="Y20" s="8" t="n">
        <v>0</v>
      </c>
      <c r="Z20" s="8" t="n">
        <v>0</v>
      </c>
      <c r="AA20" s="16" t="n">
        <v>-4100</v>
      </c>
      <c r="AB20" s="8" t="n">
        <v>-5220.68</v>
      </c>
      <c r="AC20" s="8" t="n">
        <v>0</v>
      </c>
      <c r="AD20" s="8" t="n">
        <v>0</v>
      </c>
      <c r="AE20" s="8" t="n">
        <v>-12864.16</v>
      </c>
      <c r="AF20" s="8" t="n">
        <v>0</v>
      </c>
      <c r="AG20" s="8" t="n">
        <v>-3500</v>
      </c>
      <c r="AH20" s="8" t="n">
        <v>0</v>
      </c>
      <c r="AI20" s="8" t="n">
        <v>-23228.46</v>
      </c>
      <c r="AJ20" s="16" t="n">
        <v>10260.45</v>
      </c>
      <c r="AK20" s="8" t="n">
        <v>141000</v>
      </c>
    </row>
    <row r="21" customFormat="false" ht="15" hidden="false" customHeight="false" outlineLevel="0" collapsed="false">
      <c r="A21" s="7" t="s">
        <v>137</v>
      </c>
      <c r="B21" s="20" t="n">
        <v>45504</v>
      </c>
      <c r="C21" s="8" t="n">
        <v>10260.45</v>
      </c>
      <c r="D21" s="8" t="n">
        <v>0</v>
      </c>
      <c r="E21" s="8" t="n">
        <v>-5812.32</v>
      </c>
      <c r="F21" s="8" t="n">
        <v>15103.6</v>
      </c>
      <c r="G21" s="8" t="n">
        <v>-889.92</v>
      </c>
      <c r="H21" s="8" t="n">
        <v>0</v>
      </c>
      <c r="I21" s="8" t="n">
        <v>-1325.64</v>
      </c>
      <c r="J21" s="8" t="n">
        <v>-781.78</v>
      </c>
      <c r="K21" s="8" t="n">
        <v>0</v>
      </c>
      <c r="L21" s="8" t="n">
        <v>0</v>
      </c>
      <c r="M21" s="8" t="n">
        <v>0</v>
      </c>
      <c r="N21" s="16" t="n">
        <v>-593.56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29000</v>
      </c>
      <c r="W21" s="8" t="n">
        <v>0</v>
      </c>
      <c r="X21" s="8" t="n">
        <v>-2686.47</v>
      </c>
      <c r="Y21" s="8" t="n">
        <v>0</v>
      </c>
      <c r="Z21" s="8" t="n">
        <v>0</v>
      </c>
      <c r="AA21" s="16" t="n">
        <v>-4100</v>
      </c>
      <c r="AB21" s="8" t="n">
        <v>-3830.44</v>
      </c>
      <c r="AC21" s="8" t="n">
        <v>0</v>
      </c>
      <c r="AD21" s="8" t="n">
        <v>-14952.16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9131.31</v>
      </c>
      <c r="AJ21" s="16" t="n">
        <v>19391.76</v>
      </c>
      <c r="AK21" s="8" t="n">
        <v>170000</v>
      </c>
    </row>
    <row r="22" customFormat="false" ht="15" hidden="false" customHeight="false" outlineLevel="0" collapsed="false">
      <c r="A22" s="7" t="s">
        <v>137</v>
      </c>
      <c r="B22" s="20" t="n">
        <v>45535</v>
      </c>
      <c r="C22" s="8" t="n">
        <v>19391.76</v>
      </c>
      <c r="D22" s="8" t="n">
        <v>0</v>
      </c>
      <c r="E22" s="8" t="n">
        <v>-4203.07</v>
      </c>
      <c r="F22" s="8" t="n">
        <v>0</v>
      </c>
      <c r="G22" s="8" t="n">
        <v>-889.92</v>
      </c>
      <c r="H22" s="8" t="n">
        <v>59034.53</v>
      </c>
      <c r="I22" s="8" t="n">
        <v>-1628.4</v>
      </c>
      <c r="J22" s="8" t="n">
        <v>-784.32</v>
      </c>
      <c r="K22" s="8" t="n">
        <v>-98500</v>
      </c>
      <c r="L22" s="8" t="n">
        <v>0</v>
      </c>
      <c r="M22" s="8" t="n">
        <v>0</v>
      </c>
      <c r="N22" s="16" t="n">
        <v>-9728.25</v>
      </c>
      <c r="O22" s="8" t="n">
        <v>0</v>
      </c>
      <c r="P22" s="8" t="n">
        <v>-1433.76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72000</v>
      </c>
      <c r="V22" s="8" t="n">
        <v>34000</v>
      </c>
      <c r="W22" s="8" t="n">
        <v>-27000</v>
      </c>
      <c r="X22" s="8" t="n">
        <v>-4831.65</v>
      </c>
      <c r="Y22" s="8" t="n">
        <v>0</v>
      </c>
      <c r="Z22" s="8" t="n">
        <v>0</v>
      </c>
      <c r="AA22" s="16" t="n">
        <v>-4100</v>
      </c>
      <c r="AB22" s="8" t="n">
        <v>-2716.15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9219.01</v>
      </c>
      <c r="AJ22" s="16" t="n">
        <v>28610.77</v>
      </c>
      <c r="AK22" s="8" t="n">
        <v>177000</v>
      </c>
    </row>
    <row r="23" customFormat="false" ht="15" hidden="false" customHeight="false" outlineLevel="0" collapsed="false">
      <c r="A23" s="7" t="s">
        <v>137</v>
      </c>
      <c r="B23" s="20" t="n">
        <v>45565</v>
      </c>
      <c r="C23" s="8" t="n">
        <v>28610.77</v>
      </c>
      <c r="D23" s="8" t="n">
        <v>14500</v>
      </c>
      <c r="E23" s="8" t="n">
        <v>0</v>
      </c>
      <c r="F23" s="8" t="n">
        <v>0</v>
      </c>
      <c r="G23" s="8" t="n">
        <v>-123.6</v>
      </c>
      <c r="H23" s="8" t="n">
        <v>25312.89</v>
      </c>
      <c r="I23" s="8" t="n">
        <v>-1802.54</v>
      </c>
      <c r="J23" s="8" t="n">
        <v>-2084.36</v>
      </c>
      <c r="K23" s="8" t="n">
        <v>0</v>
      </c>
      <c r="L23" s="8" t="n">
        <v>0</v>
      </c>
      <c r="M23" s="8" t="n">
        <v>0</v>
      </c>
      <c r="N23" s="16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-20000</v>
      </c>
      <c r="X23" s="8" t="n">
        <v>-4697.31</v>
      </c>
      <c r="Y23" s="8" t="n">
        <v>0</v>
      </c>
      <c r="Z23" s="8" t="n">
        <v>0</v>
      </c>
      <c r="AA23" s="16" t="n">
        <v>-4100</v>
      </c>
      <c r="AB23" s="8" t="n">
        <v>-3586.21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-3500</v>
      </c>
      <c r="AH23" s="8" t="n">
        <v>0</v>
      </c>
      <c r="AI23" s="8" t="n">
        <v>-81.13</v>
      </c>
      <c r="AJ23" s="16" t="n">
        <v>28529.64</v>
      </c>
      <c r="AK23" s="8" t="n">
        <v>157000</v>
      </c>
    </row>
    <row r="24" customFormat="false" ht="15" hidden="false" customHeight="false" outlineLevel="0" collapsed="false">
      <c r="A24" s="7" t="s">
        <v>137</v>
      </c>
      <c r="B24" s="20" t="n">
        <v>45596</v>
      </c>
      <c r="C24" s="8" t="n">
        <v>28529.64</v>
      </c>
      <c r="D24" s="8" t="n">
        <v>0</v>
      </c>
      <c r="E24" s="8" t="n">
        <v>0</v>
      </c>
      <c r="F24" s="8" t="n">
        <v>69795.76</v>
      </c>
      <c r="G24" s="8" t="n">
        <v>0</v>
      </c>
      <c r="H24" s="8" t="n">
        <v>0</v>
      </c>
      <c r="I24" s="8" t="n">
        <v>-1682.9</v>
      </c>
      <c r="J24" s="8" t="n">
        <v>-2094.76</v>
      </c>
      <c r="K24" s="8" t="n">
        <v>0</v>
      </c>
      <c r="L24" s="8" t="n">
        <v>0</v>
      </c>
      <c r="M24" s="8" t="n">
        <v>0</v>
      </c>
      <c r="N24" s="16" t="n">
        <v>0</v>
      </c>
      <c r="O24" s="8" t="n">
        <v>0</v>
      </c>
      <c r="P24" s="8" t="n">
        <v>0</v>
      </c>
      <c r="Q24" s="8" t="n">
        <v>1388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-42000</v>
      </c>
      <c r="X24" s="8" t="n">
        <v>-4739.31</v>
      </c>
      <c r="Y24" s="8" t="n">
        <v>0</v>
      </c>
      <c r="Z24" s="8" t="n">
        <v>0</v>
      </c>
      <c r="AA24" s="16" t="n">
        <v>-4100</v>
      </c>
      <c r="AB24" s="8" t="n">
        <v>-4802.13</v>
      </c>
      <c r="AC24" s="8" t="n">
        <v>0</v>
      </c>
      <c r="AD24" s="8" t="n">
        <v>-11746.8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17.86</v>
      </c>
      <c r="AJ24" s="16" t="n">
        <v>28547.5</v>
      </c>
      <c r="AK24" s="8" t="n">
        <v>115000</v>
      </c>
    </row>
    <row r="25" customFormat="false" ht="15" hidden="false" customHeight="false" outlineLevel="0" collapsed="false">
      <c r="A25" s="7" t="s">
        <v>137</v>
      </c>
      <c r="B25" s="20" t="n">
        <v>45626</v>
      </c>
      <c r="C25" s="8" t="n">
        <v>28547.5</v>
      </c>
      <c r="D25" s="8" t="n">
        <v>0</v>
      </c>
      <c r="E25" s="8" t="n">
        <v>-1779.84</v>
      </c>
      <c r="F25" s="8" t="n">
        <v>0</v>
      </c>
      <c r="G25" s="8" t="n">
        <v>-889.92</v>
      </c>
      <c r="H25" s="8" t="n">
        <v>26060.15</v>
      </c>
      <c r="I25" s="8" t="n">
        <v>-1299.42</v>
      </c>
      <c r="J25" s="8" t="n">
        <v>-2105.21</v>
      </c>
      <c r="K25" s="8" t="n">
        <v>0</v>
      </c>
      <c r="L25" s="8" t="n">
        <v>0</v>
      </c>
      <c r="M25" s="8" t="n">
        <v>-2080</v>
      </c>
      <c r="N25" s="16" t="n">
        <v>-9724.4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-834.46</v>
      </c>
      <c r="Y25" s="8" t="n">
        <v>0</v>
      </c>
      <c r="Z25" s="8" t="n">
        <v>0</v>
      </c>
      <c r="AA25" s="16" t="n">
        <v>-4100</v>
      </c>
      <c r="AB25" s="8" t="n">
        <v>-4320.23</v>
      </c>
      <c r="AC25" s="8" t="n">
        <v>0</v>
      </c>
      <c r="AD25" s="8" t="n">
        <v>-5498.02</v>
      </c>
      <c r="AE25" s="8" t="n">
        <v>-2352</v>
      </c>
      <c r="AF25" s="8" t="n">
        <v>0</v>
      </c>
      <c r="AG25" s="8" t="n">
        <v>0</v>
      </c>
      <c r="AH25" s="8" t="n">
        <v>0</v>
      </c>
      <c r="AI25" s="8" t="n">
        <v>-8923.35</v>
      </c>
      <c r="AJ25" s="16" t="n">
        <v>19624.15</v>
      </c>
      <c r="AK25" s="8" t="n">
        <v>115000</v>
      </c>
    </row>
    <row r="26" customFormat="false" ht="15" hidden="false" customHeight="false" outlineLevel="0" collapsed="false">
      <c r="A26" s="7" t="s">
        <v>137</v>
      </c>
      <c r="B26" s="20" t="n">
        <v>45657</v>
      </c>
      <c r="C26" s="8" t="n">
        <v>19624.15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82355.44</v>
      </c>
      <c r="I26" s="8" t="n">
        <v>-16602.48</v>
      </c>
      <c r="J26" s="8" t="n">
        <v>-18942.1</v>
      </c>
      <c r="K26" s="8" t="n">
        <v>0</v>
      </c>
      <c r="L26" s="8" t="n">
        <v>0</v>
      </c>
      <c r="M26" s="8" t="n">
        <v>-12925</v>
      </c>
      <c r="N26" s="16" t="n">
        <v>-8703.71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37000</v>
      </c>
      <c r="W26" s="8" t="n">
        <v>-28000</v>
      </c>
      <c r="X26" s="8" t="n">
        <v>-966.24</v>
      </c>
      <c r="Y26" s="8" t="n">
        <v>0</v>
      </c>
      <c r="Z26" s="8" t="n">
        <v>0</v>
      </c>
      <c r="AA26" s="16" t="n">
        <v>-4100</v>
      </c>
      <c r="AB26" s="8" t="n">
        <v>-345.29</v>
      </c>
      <c r="AC26" s="8" t="n">
        <v>0</v>
      </c>
      <c r="AD26" s="8" t="n">
        <v>-1644.71</v>
      </c>
      <c r="AE26" s="8" t="n">
        <v>-15225</v>
      </c>
      <c r="AF26" s="8" t="n">
        <v>-3508.65</v>
      </c>
      <c r="AG26" s="8" t="n">
        <v>0</v>
      </c>
      <c r="AH26" s="8" t="n">
        <v>0</v>
      </c>
      <c r="AI26" s="8" t="n">
        <v>8392.26</v>
      </c>
      <c r="AJ26" s="16" t="n">
        <v>28016.41</v>
      </c>
      <c r="AK26" s="8" t="n">
        <v>124000</v>
      </c>
    </row>
    <row r="27" customFormat="false" ht="15" hidden="false" customHeight="false" outlineLevel="0" collapsed="false">
      <c r="A27" s="7" t="s">
        <v>137</v>
      </c>
      <c r="B27" s="20" t="n">
        <v>45688</v>
      </c>
      <c r="C27" s="8" t="n">
        <v>28016.41</v>
      </c>
      <c r="D27" s="8" t="n">
        <v>0</v>
      </c>
      <c r="E27" s="8" t="n">
        <v>0</v>
      </c>
      <c r="F27" s="8" t="n">
        <v>63382.05</v>
      </c>
      <c r="G27" s="8" t="n">
        <v>-6912</v>
      </c>
      <c r="H27" s="8" t="n">
        <v>28775.25</v>
      </c>
      <c r="I27" s="8" t="n">
        <v>-11002.53</v>
      </c>
      <c r="J27" s="8" t="n">
        <v>-37643.75</v>
      </c>
      <c r="K27" s="8" t="n">
        <v>0</v>
      </c>
      <c r="L27" s="8" t="n">
        <v>0</v>
      </c>
      <c r="M27" s="8" t="n">
        <v>0</v>
      </c>
      <c r="N27" s="16" t="n">
        <v>0</v>
      </c>
      <c r="O27" s="8" t="n">
        <v>0</v>
      </c>
      <c r="P27" s="8" t="n">
        <v>-17230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14000</v>
      </c>
      <c r="W27" s="8" t="n">
        <v>-25000</v>
      </c>
      <c r="X27" s="8" t="n">
        <v>-1962.09</v>
      </c>
      <c r="Y27" s="8" t="n">
        <v>0</v>
      </c>
      <c r="Z27" s="8" t="n">
        <v>0</v>
      </c>
      <c r="AA27" s="16" t="n">
        <v>-4200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-443.93</v>
      </c>
      <c r="AG27" s="8" t="n">
        <v>-1500</v>
      </c>
      <c r="AH27" s="8" t="n">
        <v>0</v>
      </c>
      <c r="AI27" s="8" t="n">
        <v>263</v>
      </c>
      <c r="AJ27" s="16" t="n">
        <v>28279.41</v>
      </c>
      <c r="AK27" s="8" t="n">
        <v>113000</v>
      </c>
    </row>
    <row r="28" customFormat="false" ht="15" hidden="false" customHeight="false" outlineLevel="0" collapsed="false">
      <c r="A28" s="7" t="s">
        <v>137</v>
      </c>
      <c r="B28" s="20" t="n">
        <v>45716</v>
      </c>
      <c r="C28" s="8" t="n">
        <v>28279.41</v>
      </c>
      <c r="D28" s="8" t="n">
        <v>0</v>
      </c>
      <c r="E28" s="8" t="n">
        <v>0</v>
      </c>
      <c r="F28" s="8" t="n">
        <v>6220.28</v>
      </c>
      <c r="G28" s="8" t="n">
        <v>-7624.7</v>
      </c>
      <c r="H28" s="8" t="n">
        <v>13839.52</v>
      </c>
      <c r="I28" s="8" t="n">
        <v>-1177.5</v>
      </c>
      <c r="J28" s="8" t="n">
        <v>-2136.9</v>
      </c>
      <c r="K28" s="8" t="n">
        <v>0</v>
      </c>
      <c r="L28" s="8" t="n">
        <v>0</v>
      </c>
      <c r="M28" s="8" t="n">
        <v>0</v>
      </c>
      <c r="N28" s="16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-4589.55</v>
      </c>
      <c r="Y28" s="8" t="n">
        <v>0</v>
      </c>
      <c r="Z28" s="8" t="n">
        <v>0</v>
      </c>
      <c r="AA28" s="16" t="n">
        <v>-4200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331.15</v>
      </c>
      <c r="AJ28" s="16" t="n">
        <v>28610.56</v>
      </c>
      <c r="AK28" s="8" t="n">
        <v>113000</v>
      </c>
    </row>
    <row r="29" customFormat="false" ht="15" hidden="false" customHeight="false" outlineLevel="0" collapsed="false">
      <c r="A29" s="7" t="s">
        <v>137</v>
      </c>
      <c r="B29" s="20" t="n">
        <v>45747</v>
      </c>
      <c r="C29" s="8" t="n">
        <v>28610.56</v>
      </c>
      <c r="D29" s="8" t="n">
        <v>58000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-1490.29</v>
      </c>
      <c r="J29" s="8" t="n">
        <v>-2147.58</v>
      </c>
      <c r="K29" s="8" t="n">
        <v>-268500</v>
      </c>
      <c r="L29" s="8" t="n">
        <v>0</v>
      </c>
      <c r="M29" s="8" t="n">
        <v>0</v>
      </c>
      <c r="N29" s="16" t="n">
        <v>0</v>
      </c>
      <c r="O29" s="8" t="n">
        <v>0</v>
      </c>
      <c r="P29" s="8" t="n">
        <v>-5900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165000</v>
      </c>
      <c r="V29" s="8" t="n">
        <v>42000</v>
      </c>
      <c r="W29" s="8" t="n">
        <v>0</v>
      </c>
      <c r="X29" s="8" t="n">
        <v>-753</v>
      </c>
      <c r="Y29" s="8" t="n">
        <v>0</v>
      </c>
      <c r="Z29" s="8" t="n">
        <v>0</v>
      </c>
      <c r="AA29" s="16" t="n">
        <v>-4200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-17990.87</v>
      </c>
      <c r="AJ29" s="16" t="n">
        <v>10619.69</v>
      </c>
      <c r="AK29" s="8" t="n">
        <v>155000</v>
      </c>
    </row>
    <row r="30" customFormat="false" ht="15" hidden="false" customHeight="false" outlineLevel="0" collapsed="false">
      <c r="A30" s="7" t="s">
        <v>137</v>
      </c>
      <c r="B30" s="20" t="n">
        <v>45777</v>
      </c>
      <c r="C30" s="8" t="n">
        <v>10619.69</v>
      </c>
      <c r="D30" s="8" t="n">
        <v>0</v>
      </c>
      <c r="E30" s="8" t="n">
        <v>-1176</v>
      </c>
      <c r="F30" s="8" t="n">
        <v>4346.78</v>
      </c>
      <c r="G30" s="8" t="n">
        <v>-2442.24</v>
      </c>
      <c r="H30" s="8" t="n">
        <v>0</v>
      </c>
      <c r="I30" s="8" t="n">
        <v>-1620.91</v>
      </c>
      <c r="J30" s="8" t="n">
        <v>-2158.31</v>
      </c>
      <c r="K30" s="8" t="n">
        <v>0</v>
      </c>
      <c r="L30" s="8" t="n">
        <v>0</v>
      </c>
      <c r="M30" s="8" t="n">
        <v>-3008</v>
      </c>
      <c r="N30" s="16" t="n">
        <v>0</v>
      </c>
      <c r="O30" s="8" t="n">
        <v>0</v>
      </c>
      <c r="P30" s="8" t="n">
        <v>0</v>
      </c>
      <c r="Q30" s="8" t="n">
        <v>16691.04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17000</v>
      </c>
      <c r="W30" s="8" t="n">
        <v>0</v>
      </c>
      <c r="X30" s="8" t="n">
        <v>-792.04</v>
      </c>
      <c r="Y30" s="8" t="n">
        <v>0</v>
      </c>
      <c r="Z30" s="8" t="n">
        <v>0</v>
      </c>
      <c r="AA30" s="16" t="n">
        <v>-4200</v>
      </c>
      <c r="AB30" s="8" t="n">
        <v>0</v>
      </c>
      <c r="AC30" s="8" t="n">
        <v>0</v>
      </c>
      <c r="AD30" s="8" t="n">
        <v>-1500.64</v>
      </c>
      <c r="AE30" s="8" t="n">
        <v>0</v>
      </c>
      <c r="AF30" s="8" t="n">
        <v>0</v>
      </c>
      <c r="AG30" s="8" t="n">
        <v>-1500</v>
      </c>
      <c r="AH30" s="8" t="n">
        <v>0</v>
      </c>
      <c r="AI30" s="8" t="n">
        <v>19639.68</v>
      </c>
      <c r="AJ30" s="16" t="n">
        <v>30259.37</v>
      </c>
      <c r="AK30" s="8" t="n">
        <v>172000</v>
      </c>
    </row>
    <row r="31" customFormat="false" ht="15" hidden="false" customHeight="false" outlineLevel="0" collapsed="false">
      <c r="A31" s="7" t="s">
        <v>137</v>
      </c>
      <c r="B31" s="20" t="n">
        <v>45808</v>
      </c>
      <c r="C31" s="8" t="n">
        <v>30259.37</v>
      </c>
      <c r="D31" s="8" t="n">
        <v>0</v>
      </c>
      <c r="E31" s="8" t="n">
        <v>-6425.6</v>
      </c>
      <c r="F31" s="8" t="n">
        <v>0</v>
      </c>
      <c r="G31" s="8" t="n">
        <v>-915.84</v>
      </c>
      <c r="H31" s="8" t="n">
        <v>0</v>
      </c>
      <c r="I31" s="8" t="n">
        <v>-1698.62</v>
      </c>
      <c r="J31" s="8" t="n">
        <v>-2169.1</v>
      </c>
      <c r="K31" s="8" t="n">
        <v>0</v>
      </c>
      <c r="L31" s="8" t="n">
        <v>0</v>
      </c>
      <c r="M31" s="8" t="n">
        <v>-10311.8</v>
      </c>
      <c r="N31" s="16" t="n">
        <v>-1071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13000</v>
      </c>
      <c r="W31" s="8" t="n">
        <v>0</v>
      </c>
      <c r="X31" s="8" t="n">
        <v>-1205.36</v>
      </c>
      <c r="Y31" s="8" t="n">
        <v>0</v>
      </c>
      <c r="Z31" s="8" t="n">
        <v>0</v>
      </c>
      <c r="AA31" s="16" t="n">
        <v>-4200</v>
      </c>
      <c r="AB31" s="8" t="n">
        <v>-2591.05</v>
      </c>
      <c r="AC31" s="8" t="n">
        <v>0</v>
      </c>
      <c r="AD31" s="8" t="n">
        <v>-1334.81</v>
      </c>
      <c r="AE31" s="8" t="n">
        <v>0</v>
      </c>
      <c r="AF31" s="8" t="n">
        <v>-3508.65</v>
      </c>
      <c r="AG31" s="8" t="n">
        <v>0</v>
      </c>
      <c r="AH31" s="8" t="n">
        <v>0</v>
      </c>
      <c r="AI31" s="8" t="n">
        <v>-22431.83</v>
      </c>
      <c r="AJ31" s="16" t="n">
        <v>7827.54</v>
      </c>
      <c r="AK31" s="8" t="n">
        <v>185000</v>
      </c>
    </row>
    <row r="32" customFormat="false" ht="15" hidden="false" customHeight="false" outlineLevel="0" collapsed="false">
      <c r="A32" s="7" t="s">
        <v>137</v>
      </c>
      <c r="B32" s="20" t="n">
        <v>45838</v>
      </c>
      <c r="C32" s="8" t="n">
        <v>7827.54</v>
      </c>
      <c r="D32" s="8" t="n">
        <v>0</v>
      </c>
      <c r="E32" s="8" t="n">
        <v>-6984.62</v>
      </c>
      <c r="F32" s="8" t="n">
        <v>0</v>
      </c>
      <c r="G32" s="8" t="n">
        <v>0</v>
      </c>
      <c r="H32" s="8" t="n">
        <v>0</v>
      </c>
      <c r="I32" s="8" t="n">
        <v>-1838.66</v>
      </c>
      <c r="J32" s="8" t="n">
        <v>-2179.96</v>
      </c>
      <c r="K32" s="8" t="n">
        <v>0</v>
      </c>
      <c r="L32" s="8" t="n">
        <v>0</v>
      </c>
      <c r="M32" s="8" t="n">
        <v>0</v>
      </c>
      <c r="N32" s="16" t="n">
        <v>-514.08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33000</v>
      </c>
      <c r="W32" s="8" t="n">
        <v>0</v>
      </c>
      <c r="X32" s="8" t="n">
        <v>-799.72</v>
      </c>
      <c r="Y32" s="8" t="n">
        <v>0</v>
      </c>
      <c r="Z32" s="8" t="n">
        <v>0</v>
      </c>
      <c r="AA32" s="16" t="n">
        <v>-4200</v>
      </c>
      <c r="AB32" s="8" t="n">
        <v>-4745.96</v>
      </c>
      <c r="AC32" s="8" t="n">
        <v>0</v>
      </c>
      <c r="AD32" s="8" t="n">
        <v>0</v>
      </c>
      <c r="AE32" s="8" t="n">
        <v>-4872</v>
      </c>
      <c r="AF32" s="8" t="n">
        <v>0</v>
      </c>
      <c r="AG32" s="8" t="n">
        <v>-1500</v>
      </c>
      <c r="AH32" s="8" t="n">
        <v>0</v>
      </c>
      <c r="AI32" s="8" t="n">
        <v>5365</v>
      </c>
      <c r="AJ32" s="16" t="n">
        <v>13192.54</v>
      </c>
      <c r="AK32" s="8" t="n">
        <v>218000</v>
      </c>
    </row>
    <row r="33" customFormat="false" ht="15" hidden="false" customHeight="false" outlineLevel="0" collapsed="false">
      <c r="A33" s="7" t="s">
        <v>137</v>
      </c>
      <c r="B33" s="20" t="n">
        <v>45869</v>
      </c>
      <c r="C33" s="8" t="n">
        <v>13192.54</v>
      </c>
      <c r="D33" s="8" t="n">
        <v>0</v>
      </c>
      <c r="E33" s="8" t="n">
        <v>-3532.68</v>
      </c>
      <c r="F33" s="8" t="n">
        <v>14565.18</v>
      </c>
      <c r="G33" s="8" t="n">
        <v>-2442.24</v>
      </c>
      <c r="H33" s="8" t="n">
        <v>8213.4</v>
      </c>
      <c r="I33" s="8" t="n">
        <v>-2125.37</v>
      </c>
      <c r="J33" s="8" t="n">
        <v>-2190.87</v>
      </c>
      <c r="K33" s="8" t="n">
        <v>0</v>
      </c>
      <c r="L33" s="8" t="n">
        <v>0</v>
      </c>
      <c r="M33" s="8" t="n">
        <v>0</v>
      </c>
      <c r="N33" s="16" t="n">
        <v>-568.48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28000</v>
      </c>
      <c r="W33" s="8" t="n">
        <v>0</v>
      </c>
      <c r="X33" s="8" t="n">
        <v>-6523.91</v>
      </c>
      <c r="Y33" s="8" t="n">
        <v>0</v>
      </c>
      <c r="Z33" s="8" t="n">
        <v>0</v>
      </c>
      <c r="AA33" s="16" t="n">
        <v>-4200</v>
      </c>
      <c r="AB33" s="8" t="n">
        <v>-3772.41</v>
      </c>
      <c r="AC33" s="8" t="n">
        <v>0</v>
      </c>
      <c r="AD33" s="8" t="n">
        <v>-8774.24</v>
      </c>
      <c r="AE33" s="8" t="n">
        <v>-8344.32</v>
      </c>
      <c r="AF33" s="8" t="n">
        <v>0</v>
      </c>
      <c r="AG33" s="8" t="n">
        <v>0</v>
      </c>
      <c r="AH33" s="8" t="n">
        <v>0</v>
      </c>
      <c r="AI33" s="8" t="n">
        <v>8304.06</v>
      </c>
      <c r="AJ33" s="16" t="n">
        <v>21496.6</v>
      </c>
      <c r="AK33" s="8" t="n">
        <v>246000</v>
      </c>
    </row>
    <row r="34" customFormat="false" ht="15" hidden="false" customHeight="false" outlineLevel="0" collapsed="false">
      <c r="A34" s="7" t="s">
        <v>137</v>
      </c>
      <c r="B34" s="20" t="n">
        <v>45900</v>
      </c>
      <c r="C34" s="8" t="n">
        <v>21496.6</v>
      </c>
      <c r="D34" s="8" t="n">
        <v>0</v>
      </c>
      <c r="E34" s="8" t="n">
        <v>-6524.28</v>
      </c>
      <c r="F34" s="8" t="n">
        <v>0</v>
      </c>
      <c r="G34" s="8" t="n">
        <v>-1831.68</v>
      </c>
      <c r="H34" s="8" t="n">
        <v>64686.6</v>
      </c>
      <c r="I34" s="8" t="n">
        <v>-2176.82</v>
      </c>
      <c r="J34" s="8" t="n">
        <v>-2201.83</v>
      </c>
      <c r="K34" s="8" t="n">
        <v>0</v>
      </c>
      <c r="L34" s="8" t="n">
        <v>0</v>
      </c>
      <c r="M34" s="8" t="n">
        <v>0</v>
      </c>
      <c r="N34" s="16" t="n">
        <v>-10363.05</v>
      </c>
      <c r="O34" s="8" t="n">
        <v>0</v>
      </c>
      <c r="P34" s="8" t="n">
        <v>-1475.52</v>
      </c>
      <c r="Q34" s="8" t="n">
        <v>6215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4000</v>
      </c>
      <c r="W34" s="8" t="n">
        <v>-29000</v>
      </c>
      <c r="X34" s="8" t="n">
        <v>-7144.25</v>
      </c>
      <c r="Y34" s="8" t="n">
        <v>0</v>
      </c>
      <c r="Z34" s="8" t="n">
        <v>0</v>
      </c>
      <c r="AA34" s="16" t="n">
        <v>-4200</v>
      </c>
      <c r="AB34" s="8" t="n">
        <v>-2956.73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7027.44</v>
      </c>
      <c r="AJ34" s="16" t="n">
        <v>28524.04</v>
      </c>
      <c r="AK34" s="8" t="n">
        <v>221000</v>
      </c>
    </row>
    <row r="35" customFormat="false" ht="15" hidden="false" customHeight="false" outlineLevel="0" collapsed="false">
      <c r="A35" s="7" t="s">
        <v>137</v>
      </c>
      <c r="B35" s="20" t="n">
        <v>45930</v>
      </c>
      <c r="C35" s="8" t="n">
        <v>28524.04</v>
      </c>
      <c r="D35" s="8" t="n">
        <v>0</v>
      </c>
      <c r="E35" s="8" t="n">
        <v>0</v>
      </c>
      <c r="F35" s="8" t="n">
        <v>0</v>
      </c>
      <c r="G35" s="8" t="n">
        <v>-127.2</v>
      </c>
      <c r="H35" s="8" t="n">
        <v>24543</v>
      </c>
      <c r="I35" s="8" t="n">
        <v>-1863.28</v>
      </c>
      <c r="J35" s="8" t="n">
        <v>-2212.86</v>
      </c>
      <c r="K35" s="8" t="n">
        <v>0</v>
      </c>
      <c r="L35" s="8" t="n">
        <v>0</v>
      </c>
      <c r="M35" s="8" t="n">
        <v>0</v>
      </c>
      <c r="N35" s="16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-4893.25</v>
      </c>
      <c r="Y35" s="8" t="n">
        <v>0</v>
      </c>
      <c r="Z35" s="8" t="n">
        <v>0</v>
      </c>
      <c r="AA35" s="16" t="n">
        <v>-4200</v>
      </c>
      <c r="AB35" s="8" t="n">
        <v>-3932.9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-1500</v>
      </c>
      <c r="AH35" s="8" t="n">
        <v>0</v>
      </c>
      <c r="AI35" s="8" t="n">
        <v>5813.51</v>
      </c>
      <c r="AJ35" s="16" t="n">
        <v>34337.55</v>
      </c>
      <c r="AK35" s="8" t="n">
        <v>221000</v>
      </c>
    </row>
    <row r="36" customFormat="false" ht="15" hidden="false" customHeight="false" outlineLevel="0" collapsed="false">
      <c r="A36" s="7" t="s">
        <v>137</v>
      </c>
      <c r="B36" s="20" t="n">
        <v>45961</v>
      </c>
      <c r="C36" s="8" t="n">
        <v>34337.55</v>
      </c>
      <c r="D36" s="8" t="n">
        <v>0</v>
      </c>
      <c r="E36" s="8" t="n">
        <v>0</v>
      </c>
      <c r="F36" s="8" t="n">
        <v>60374.86</v>
      </c>
      <c r="G36" s="8" t="n">
        <v>0</v>
      </c>
      <c r="H36" s="8" t="n">
        <v>0</v>
      </c>
      <c r="I36" s="8" t="n">
        <v>-1855.23</v>
      </c>
      <c r="J36" s="8" t="n">
        <v>-2223.94</v>
      </c>
      <c r="K36" s="8" t="n">
        <v>0</v>
      </c>
      <c r="L36" s="8" t="n">
        <v>0</v>
      </c>
      <c r="M36" s="8" t="n">
        <v>0</v>
      </c>
      <c r="N36" s="16" t="n">
        <v>0</v>
      </c>
      <c r="O36" s="8" t="n">
        <v>0</v>
      </c>
      <c r="P36" s="8" t="n">
        <v>0</v>
      </c>
      <c r="Q36" s="8" t="n">
        <v>2944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-18000</v>
      </c>
      <c r="X36" s="8" t="n">
        <v>-5108.47</v>
      </c>
      <c r="Y36" s="8" t="n">
        <v>0</v>
      </c>
      <c r="Z36" s="8" t="n">
        <v>0</v>
      </c>
      <c r="AA36" s="16" t="n">
        <v>-4200</v>
      </c>
      <c r="AB36" s="8" t="n">
        <v>-7175.72</v>
      </c>
      <c r="AC36" s="8" t="n">
        <v>0</v>
      </c>
      <c r="AD36" s="8" t="n">
        <v>-31077.6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-6322.1</v>
      </c>
      <c r="AJ36" s="16" t="n">
        <v>28015.45</v>
      </c>
      <c r="AK36" s="8" t="n">
        <v>203000</v>
      </c>
    </row>
    <row r="37" customFormat="false" ht="15" hidden="false" customHeight="false" outlineLevel="0" collapsed="false">
      <c r="A37" s="7" t="s">
        <v>137</v>
      </c>
      <c r="B37" s="20" t="n">
        <v>45991</v>
      </c>
      <c r="C37" s="8" t="n">
        <v>28015.45</v>
      </c>
      <c r="D37" s="8" t="n">
        <v>0</v>
      </c>
      <c r="E37" s="8" t="n">
        <v>-1831.68</v>
      </c>
      <c r="F37" s="8" t="n">
        <v>0</v>
      </c>
      <c r="G37" s="8" t="n">
        <v>-915.84</v>
      </c>
      <c r="H37" s="8" t="n">
        <v>37192.45</v>
      </c>
      <c r="I37" s="8" t="n">
        <v>-1677.28</v>
      </c>
      <c r="J37" s="8" t="n">
        <v>-2235.09</v>
      </c>
      <c r="K37" s="8" t="n">
        <v>0</v>
      </c>
      <c r="L37" s="8" t="n">
        <v>0</v>
      </c>
      <c r="M37" s="8" t="n">
        <v>-2246.4</v>
      </c>
      <c r="N37" s="16" t="n">
        <v>-9898.5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-775.21</v>
      </c>
      <c r="Y37" s="8" t="n">
        <v>0</v>
      </c>
      <c r="Z37" s="8" t="n">
        <v>0</v>
      </c>
      <c r="AA37" s="16" t="n">
        <v>-4200</v>
      </c>
      <c r="AB37" s="8" t="n">
        <v>-1800.92</v>
      </c>
      <c r="AC37" s="8" t="n">
        <v>0</v>
      </c>
      <c r="AD37" s="8" t="n">
        <v>-7104.88</v>
      </c>
      <c r="AE37" s="8" t="n">
        <v>-2408</v>
      </c>
      <c r="AF37" s="8" t="n">
        <v>0</v>
      </c>
      <c r="AG37" s="8" t="n">
        <v>0</v>
      </c>
      <c r="AH37" s="8" t="n">
        <v>0</v>
      </c>
      <c r="AI37" s="8" t="n">
        <v>2098.65</v>
      </c>
      <c r="AJ37" s="16" t="n">
        <v>30114.1</v>
      </c>
      <c r="AK37" s="8" t="n">
        <v>203000</v>
      </c>
    </row>
    <row r="38" customFormat="false" ht="15" hidden="false" customHeight="false" outlineLevel="0" collapsed="false">
      <c r="A38" s="7" t="s">
        <v>137</v>
      </c>
      <c r="B38" s="20" t="n">
        <v>46022</v>
      </c>
      <c r="C38" s="8" t="n">
        <v>30114.1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90915.6</v>
      </c>
      <c r="I38" s="8" t="n">
        <v>-16070.97</v>
      </c>
      <c r="J38" s="8" t="n">
        <v>-19804.63</v>
      </c>
      <c r="K38" s="8" t="n">
        <v>0</v>
      </c>
      <c r="L38" s="8" t="n">
        <v>0</v>
      </c>
      <c r="M38" s="8" t="n">
        <v>0</v>
      </c>
      <c r="N38" s="16" t="n">
        <v>-8666.74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14000</v>
      </c>
      <c r="W38" s="8" t="n">
        <v>-42000</v>
      </c>
      <c r="X38" s="8" t="n">
        <v>-865.85</v>
      </c>
      <c r="Y38" s="8" t="n">
        <v>0</v>
      </c>
      <c r="Z38" s="8" t="n">
        <v>0</v>
      </c>
      <c r="AA38" s="16" t="n">
        <v>-4200</v>
      </c>
      <c r="AB38" s="8" t="n">
        <v>-105.43</v>
      </c>
      <c r="AC38" s="8" t="n">
        <v>0</v>
      </c>
      <c r="AD38" s="8" t="n">
        <v>-1796.12</v>
      </c>
      <c r="AE38" s="8" t="n">
        <v>-9406.25</v>
      </c>
      <c r="AF38" s="8" t="n">
        <v>-3631.45</v>
      </c>
      <c r="AG38" s="8" t="n">
        <v>0</v>
      </c>
      <c r="AH38" s="8" t="n">
        <v>0</v>
      </c>
      <c r="AI38" s="8" t="n">
        <v>-1631.84</v>
      </c>
      <c r="AJ38" s="16" t="n">
        <v>28482.26</v>
      </c>
      <c r="AK38" s="8" t="n">
        <v>175000</v>
      </c>
    </row>
    <row r="39" customFormat="false" ht="15" hidden="false" customHeight="false" outlineLevel="0" collapsed="false">
      <c r="A39" s="7" t="s">
        <v>137</v>
      </c>
      <c r="B39" s="20" t="n">
        <v>46053</v>
      </c>
      <c r="C39" s="8" t="n">
        <v>28482.26</v>
      </c>
      <c r="D39" s="8" t="n">
        <v>0</v>
      </c>
      <c r="E39" s="8" t="n">
        <v>0</v>
      </c>
      <c r="F39" s="8" t="n">
        <v>34289.11</v>
      </c>
      <c r="G39" s="8" t="n">
        <v>-7200</v>
      </c>
      <c r="H39" s="8" t="n">
        <v>27293.3</v>
      </c>
      <c r="I39" s="8" t="n">
        <v>-9474.16</v>
      </c>
      <c r="J39" s="8" t="n">
        <v>-39515.38</v>
      </c>
      <c r="K39" s="8" t="n">
        <v>0</v>
      </c>
      <c r="L39" s="8" t="n">
        <v>0</v>
      </c>
      <c r="M39" s="8" t="n">
        <v>0</v>
      </c>
      <c r="N39" s="16" t="n">
        <v>0</v>
      </c>
      <c r="O39" s="8" t="n">
        <v>0</v>
      </c>
      <c r="P39" s="8" t="n">
        <v>-18330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45000</v>
      </c>
      <c r="W39" s="8" t="n">
        <v>-23000</v>
      </c>
      <c r="X39" s="8" t="n">
        <v>-1915.49</v>
      </c>
      <c r="Y39" s="8" t="n">
        <v>0</v>
      </c>
      <c r="Z39" s="8" t="n">
        <v>0</v>
      </c>
      <c r="AA39" s="16" t="n">
        <v>-4200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-457.25</v>
      </c>
      <c r="AG39" s="8" t="n">
        <v>-2500</v>
      </c>
      <c r="AH39" s="8" t="n">
        <v>0</v>
      </c>
      <c r="AI39" s="8" t="n">
        <v>-9.87</v>
      </c>
      <c r="AJ39" s="16" t="n">
        <v>28472.39</v>
      </c>
      <c r="AK39" s="8" t="n">
        <v>197000</v>
      </c>
    </row>
    <row r="40" customFormat="false" ht="15" hidden="false" customHeight="false" outlineLevel="0" collapsed="false">
      <c r="A40" s="7" t="s">
        <v>137</v>
      </c>
      <c r="B40" s="20" t="n">
        <v>46081</v>
      </c>
      <c r="C40" s="8" t="n">
        <v>28472.39</v>
      </c>
      <c r="D40" s="8" t="n">
        <v>0</v>
      </c>
      <c r="E40" s="8" t="n">
        <v>0</v>
      </c>
      <c r="F40" s="8" t="n">
        <v>50205.77</v>
      </c>
      <c r="G40" s="8" t="n">
        <v>-8567.23</v>
      </c>
      <c r="H40" s="8" t="n">
        <v>0</v>
      </c>
      <c r="I40" s="8" t="n">
        <v>-1479.91</v>
      </c>
      <c r="J40" s="8" t="n">
        <v>-2268.88</v>
      </c>
      <c r="K40" s="8" t="n">
        <v>0</v>
      </c>
      <c r="L40" s="8" t="n">
        <v>0</v>
      </c>
      <c r="M40" s="8" t="n">
        <v>0</v>
      </c>
      <c r="N40" s="16" t="n">
        <v>0</v>
      </c>
      <c r="O40" s="8" t="n">
        <v>0</v>
      </c>
      <c r="P40" s="8" t="n">
        <v>0</v>
      </c>
      <c r="Q40" s="8" t="n">
        <v>22429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-51000</v>
      </c>
      <c r="X40" s="8" t="n">
        <v>-4729.67</v>
      </c>
      <c r="Y40" s="8" t="n">
        <v>0</v>
      </c>
      <c r="Z40" s="8" t="n">
        <v>0</v>
      </c>
      <c r="AA40" s="16" t="n">
        <v>-4200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389.08</v>
      </c>
      <c r="AJ40" s="16" t="n">
        <v>28861.47</v>
      </c>
      <c r="AK40" s="8" t="n">
        <v>146000</v>
      </c>
    </row>
    <row r="41" customFormat="false" ht="15" hidden="false" customHeight="false" outlineLevel="0" collapsed="false">
      <c r="A41" s="7" t="s">
        <v>137</v>
      </c>
      <c r="B41" s="20" t="n">
        <v>46112</v>
      </c>
      <c r="C41" s="8" t="n">
        <v>28861.47</v>
      </c>
      <c r="D41" s="8" t="n">
        <v>0</v>
      </c>
      <c r="E41" s="8" t="n">
        <v>0</v>
      </c>
      <c r="F41" s="8" t="n">
        <v>11087.6</v>
      </c>
      <c r="G41" s="8" t="n">
        <v>0</v>
      </c>
      <c r="H41" s="8" t="n">
        <v>0</v>
      </c>
      <c r="I41" s="8" t="n">
        <v>-13781.36</v>
      </c>
      <c r="J41" s="8" t="n">
        <v>-25063.42</v>
      </c>
      <c r="K41" s="8" t="n">
        <v>0</v>
      </c>
      <c r="L41" s="8" t="n">
        <v>0</v>
      </c>
      <c r="M41" s="8" t="n">
        <v>0</v>
      </c>
      <c r="N41" s="16" t="n">
        <v>0</v>
      </c>
      <c r="O41" s="8" t="n">
        <v>0</v>
      </c>
      <c r="P41" s="8" t="n">
        <v>-4950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31000</v>
      </c>
      <c r="W41" s="8" t="n">
        <v>0</v>
      </c>
      <c r="X41" s="8" t="n">
        <v>-650.71</v>
      </c>
      <c r="Y41" s="8" t="n">
        <v>0</v>
      </c>
      <c r="Z41" s="8" t="n">
        <v>0</v>
      </c>
      <c r="AA41" s="16" t="n">
        <v>-4200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-6557.89</v>
      </c>
      <c r="AJ41" s="16" t="n">
        <v>22303.58</v>
      </c>
      <c r="AK41" s="8" t="n">
        <v>177000</v>
      </c>
    </row>
    <row r="42" customFormat="false" ht="15" hidden="false" customHeight="false" outlineLevel="0" collapsed="false">
      <c r="A42" s="7" t="s">
        <v>137</v>
      </c>
      <c r="B42" s="20" t="n">
        <v>46142</v>
      </c>
      <c r="C42" s="8" t="n">
        <v>22303.58</v>
      </c>
      <c r="D42" s="8" t="n">
        <v>0</v>
      </c>
      <c r="E42" s="8" t="n">
        <v>-1204</v>
      </c>
      <c r="F42" s="8" t="n">
        <v>41687.34</v>
      </c>
      <c r="G42" s="8" t="n">
        <v>-2511.36</v>
      </c>
      <c r="H42" s="8" t="n">
        <v>0</v>
      </c>
      <c r="I42" s="8" t="n">
        <v>-1413.34</v>
      </c>
      <c r="J42" s="8" t="n">
        <v>-2291.71</v>
      </c>
      <c r="K42" s="8" t="n">
        <v>0</v>
      </c>
      <c r="L42" s="8" t="n">
        <v>0</v>
      </c>
      <c r="M42" s="8" t="n">
        <v>-3968</v>
      </c>
      <c r="N42" s="16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-723.85</v>
      </c>
      <c r="Y42" s="8" t="n">
        <v>0</v>
      </c>
      <c r="Z42" s="8" t="n">
        <v>0</v>
      </c>
      <c r="AA42" s="16" t="n">
        <v>-4200</v>
      </c>
      <c r="AB42" s="8" t="n">
        <v>0</v>
      </c>
      <c r="AC42" s="8" t="n">
        <v>0</v>
      </c>
      <c r="AD42" s="8" t="n">
        <v>-1461.68</v>
      </c>
      <c r="AE42" s="8" t="n">
        <v>0</v>
      </c>
      <c r="AF42" s="8" t="n">
        <v>0</v>
      </c>
      <c r="AG42" s="8" t="n">
        <v>-2500</v>
      </c>
      <c r="AH42" s="8" t="n">
        <v>0</v>
      </c>
      <c r="AI42" s="8" t="n">
        <v>21413.4</v>
      </c>
      <c r="AJ42" s="16" t="n">
        <v>43716.98</v>
      </c>
      <c r="AK42" s="8" t="n">
        <v>177000</v>
      </c>
    </row>
    <row r="43" customFormat="false" ht="15" hidden="false" customHeight="false" outlineLevel="0" collapsed="false">
      <c r="A43" s="7" t="s">
        <v>137</v>
      </c>
      <c r="B43" s="20" t="n">
        <v>46173</v>
      </c>
      <c r="C43" s="8" t="n">
        <v>43716.98</v>
      </c>
      <c r="D43" s="8" t="n">
        <v>0</v>
      </c>
      <c r="E43" s="8" t="n">
        <v>-4667.08</v>
      </c>
      <c r="F43" s="8" t="n">
        <v>0</v>
      </c>
      <c r="G43" s="8" t="n">
        <v>-941.76</v>
      </c>
      <c r="H43" s="8" t="n">
        <v>0</v>
      </c>
      <c r="I43" s="8" t="n">
        <v>-1448.96</v>
      </c>
      <c r="J43" s="8" t="n">
        <v>-2303.22</v>
      </c>
      <c r="K43" s="8" t="n">
        <v>0</v>
      </c>
      <c r="L43" s="8" t="n">
        <v>0</v>
      </c>
      <c r="M43" s="8" t="n">
        <v>-16068.56</v>
      </c>
      <c r="N43" s="16" t="n">
        <v>-766.08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15000</v>
      </c>
      <c r="W43" s="8" t="n">
        <v>0</v>
      </c>
      <c r="X43" s="8" t="n">
        <v>-1193.15</v>
      </c>
      <c r="Y43" s="8" t="n">
        <v>0</v>
      </c>
      <c r="Z43" s="8" t="n">
        <v>0</v>
      </c>
      <c r="AA43" s="16" t="n">
        <v>-4200</v>
      </c>
      <c r="AB43" s="8" t="n">
        <v>-2748.22</v>
      </c>
      <c r="AC43" s="8" t="n">
        <v>0</v>
      </c>
      <c r="AD43" s="8" t="n">
        <v>-1574.36</v>
      </c>
      <c r="AE43" s="8" t="n">
        <v>0</v>
      </c>
      <c r="AF43" s="8" t="n">
        <v>-3631.45</v>
      </c>
      <c r="AG43" s="8" t="n">
        <v>0</v>
      </c>
      <c r="AH43" s="8" t="n">
        <v>0</v>
      </c>
      <c r="AI43" s="8" t="n">
        <v>-24542.84</v>
      </c>
      <c r="AJ43" s="16" t="n">
        <v>19174.14</v>
      </c>
      <c r="AK43" s="8" t="n">
        <v>192000</v>
      </c>
    </row>
    <row r="44" customFormat="false" ht="15" hidden="false" customHeight="false" outlineLevel="0" collapsed="false">
      <c r="A44" s="7" t="s">
        <v>137</v>
      </c>
      <c r="B44" s="20" t="n">
        <v>46203</v>
      </c>
      <c r="C44" s="8" t="n">
        <v>19174.14</v>
      </c>
      <c r="D44" s="8" t="n">
        <v>0</v>
      </c>
      <c r="E44" s="8" t="n">
        <v>-5431.02</v>
      </c>
      <c r="F44" s="8" t="n">
        <v>0</v>
      </c>
      <c r="G44" s="8" t="n">
        <v>-2511.36</v>
      </c>
      <c r="H44" s="8" t="n">
        <v>0</v>
      </c>
      <c r="I44" s="8" t="n">
        <v>-1587.71</v>
      </c>
      <c r="J44" s="8" t="n">
        <v>-2314.48</v>
      </c>
      <c r="K44" s="8" t="n">
        <v>0</v>
      </c>
      <c r="L44" s="8" t="n">
        <v>0</v>
      </c>
      <c r="M44" s="8" t="n">
        <v>0</v>
      </c>
      <c r="N44" s="16" t="n">
        <v>-897.75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36000</v>
      </c>
      <c r="W44" s="8" t="n">
        <v>0</v>
      </c>
      <c r="X44" s="8" t="n">
        <v>-691.21</v>
      </c>
      <c r="Y44" s="8" t="n">
        <v>0</v>
      </c>
      <c r="Z44" s="8" t="n">
        <v>0</v>
      </c>
      <c r="AA44" s="16" t="n">
        <v>-4200</v>
      </c>
      <c r="AB44" s="8" t="n">
        <v>-4910.43</v>
      </c>
      <c r="AC44" s="8" t="n">
        <v>0</v>
      </c>
      <c r="AD44" s="8" t="n">
        <v>0</v>
      </c>
      <c r="AE44" s="8" t="n">
        <v>-15288.48</v>
      </c>
      <c r="AF44" s="8" t="n">
        <v>0</v>
      </c>
      <c r="AG44" s="8" t="n">
        <v>-2500</v>
      </c>
      <c r="AH44" s="8" t="n">
        <v>0</v>
      </c>
      <c r="AI44" s="8" t="n">
        <v>-4332.44</v>
      </c>
      <c r="AJ44" s="16" t="n">
        <v>14841.7</v>
      </c>
      <c r="AK44" s="8" t="n">
        <v>228000</v>
      </c>
    </row>
    <row r="45" customFormat="false" ht="15" hidden="false" customHeight="false" outlineLevel="0" collapsed="false">
      <c r="A45" s="7" t="s">
        <v>137</v>
      </c>
      <c r="B45" s="20" t="n">
        <v>46234</v>
      </c>
      <c r="C45" s="8" t="n">
        <v>14841.7</v>
      </c>
      <c r="D45" s="8" t="n">
        <v>0</v>
      </c>
      <c r="E45" s="8" t="n">
        <v>-6302.46</v>
      </c>
      <c r="F45" s="8" t="n">
        <v>16165.66</v>
      </c>
      <c r="G45" s="8" t="n">
        <v>-941.76</v>
      </c>
      <c r="H45" s="8" t="n">
        <v>0</v>
      </c>
      <c r="I45" s="8" t="n">
        <v>-1863.79</v>
      </c>
      <c r="J45" s="8" t="n">
        <v>-1481.34</v>
      </c>
      <c r="K45" s="8" t="n">
        <v>0</v>
      </c>
      <c r="L45" s="8" t="n">
        <v>0</v>
      </c>
      <c r="M45" s="8" t="n">
        <v>0</v>
      </c>
      <c r="N45" s="16" t="n">
        <v>-635.36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17000</v>
      </c>
      <c r="W45" s="8" t="n">
        <v>0</v>
      </c>
      <c r="X45" s="8" t="n">
        <v>-3056.77</v>
      </c>
      <c r="Y45" s="8" t="n">
        <v>0</v>
      </c>
      <c r="Z45" s="8" t="n">
        <v>0</v>
      </c>
      <c r="AA45" s="16" t="n">
        <v>-4200</v>
      </c>
      <c r="AB45" s="8" t="n">
        <v>-4338.89</v>
      </c>
      <c r="AC45" s="8" t="n">
        <v>0</v>
      </c>
      <c r="AD45" s="8" t="n">
        <v>-13833.28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-3487.99</v>
      </c>
      <c r="AJ45" s="16" t="n">
        <v>11353.71</v>
      </c>
      <c r="AK45" s="8" t="n">
        <v>245000</v>
      </c>
    </row>
    <row r="46" customFormat="false" ht="15" hidden="false" customHeight="false" outlineLevel="0" collapsed="false">
      <c r="A46" s="7" t="s">
        <v>137</v>
      </c>
      <c r="B46" s="20" t="n">
        <v>46265</v>
      </c>
      <c r="C46" s="8" t="n">
        <v>11353.71</v>
      </c>
      <c r="D46" s="8" t="n">
        <v>0</v>
      </c>
      <c r="E46" s="8" t="n">
        <v>-4421.21</v>
      </c>
      <c r="F46" s="8" t="n">
        <v>0</v>
      </c>
      <c r="G46" s="8" t="n">
        <v>-941.76</v>
      </c>
      <c r="H46" s="8" t="n">
        <v>42205.88</v>
      </c>
      <c r="I46" s="8" t="n">
        <v>-1887.75</v>
      </c>
      <c r="J46" s="8" t="n">
        <v>-1490.29</v>
      </c>
      <c r="K46" s="8" t="n">
        <v>0</v>
      </c>
      <c r="L46" s="8" t="n">
        <v>0</v>
      </c>
      <c r="M46" s="8" t="n">
        <v>0</v>
      </c>
      <c r="N46" s="16" t="n">
        <v>-7068.95</v>
      </c>
      <c r="O46" s="8" t="n">
        <v>0</v>
      </c>
      <c r="P46" s="8" t="n">
        <v>-1517.28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5000</v>
      </c>
      <c r="W46" s="8" t="n">
        <v>0</v>
      </c>
      <c r="X46" s="8" t="n">
        <v>-5942.78</v>
      </c>
      <c r="Y46" s="8" t="n">
        <v>0</v>
      </c>
      <c r="Z46" s="8" t="n">
        <v>0</v>
      </c>
      <c r="AA46" s="16" t="n">
        <v>-4200</v>
      </c>
      <c r="AB46" s="8" t="n">
        <v>-3119.04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16616.82</v>
      </c>
      <c r="AJ46" s="16" t="n">
        <v>27970.53</v>
      </c>
      <c r="AK46" s="8" t="n">
        <v>250000</v>
      </c>
    </row>
    <row r="47" customFormat="false" ht="15" hidden="false" customHeight="false" outlineLevel="0" collapsed="false">
      <c r="A47" s="7" t="s">
        <v>137</v>
      </c>
      <c r="B47" s="20" t="n">
        <v>46295</v>
      </c>
      <c r="C47" s="8" t="n">
        <v>27970.53</v>
      </c>
      <c r="D47" s="8" t="n">
        <v>0</v>
      </c>
      <c r="E47" s="8" t="n">
        <v>0</v>
      </c>
      <c r="F47" s="8" t="n">
        <v>31752</v>
      </c>
      <c r="G47" s="8" t="n">
        <v>-130.8</v>
      </c>
      <c r="H47" s="8" t="n">
        <v>17901.11</v>
      </c>
      <c r="I47" s="8" t="n">
        <v>-1825.66</v>
      </c>
      <c r="J47" s="8" t="n">
        <v>-1499.3</v>
      </c>
      <c r="K47" s="8" t="n">
        <v>0</v>
      </c>
      <c r="L47" s="8" t="n">
        <v>0</v>
      </c>
      <c r="M47" s="8" t="n">
        <v>0</v>
      </c>
      <c r="N47" s="16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-29000</v>
      </c>
      <c r="X47" s="8" t="n">
        <v>-5964.37</v>
      </c>
      <c r="Y47" s="8" t="n">
        <v>0</v>
      </c>
      <c r="Z47" s="8" t="n">
        <v>0</v>
      </c>
      <c r="AA47" s="16" t="n">
        <v>-4200</v>
      </c>
      <c r="AB47" s="8" t="n">
        <v>-4159.91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-2500</v>
      </c>
      <c r="AH47" s="8" t="n">
        <v>0</v>
      </c>
      <c r="AI47" s="8" t="n">
        <v>373.07</v>
      </c>
      <c r="AJ47" s="16" t="n">
        <v>28343.6</v>
      </c>
      <c r="AK47" s="8" t="n">
        <v>221000</v>
      </c>
    </row>
  </sheetData>
  <autoFilter ref="A2:AK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3"/>
    <col collapsed="false" customWidth="true" hidden="false" outlineLevel="0" max="7" min="6" style="0" width="11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34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25"/>
    <col collapsed="false" customWidth="true" hidden="false" outlineLevel="0" max="17" min="17" style="0" width="31"/>
    <col collapsed="false" customWidth="true" hidden="false" outlineLevel="0" max="18" min="18" style="0" width="33"/>
    <col collapsed="false" customWidth="true" hidden="false" outlineLevel="0" max="19" min="19" style="0" width="26"/>
    <col collapsed="false" customWidth="true" hidden="false" outlineLevel="0" max="20" min="20" style="0" width="25"/>
    <col collapsed="false" customWidth="true" hidden="false" outlineLevel="0" max="21" min="21" style="0" width="16"/>
    <col collapsed="false" customWidth="true" hidden="false" outlineLevel="0" max="22" min="22" style="0" width="25"/>
    <col collapsed="false" customWidth="true" hidden="false" outlineLevel="0" max="23" min="23" style="0" width="28"/>
    <col collapsed="false" customWidth="true" hidden="false" outlineLevel="0" max="24" min="24" style="0" width="24"/>
    <col collapsed="false" customWidth="true" hidden="false" outlineLevel="0" max="25" min="25" style="0" width="23"/>
    <col collapsed="false" customWidth="true" hidden="false" outlineLevel="0" max="26" min="26" style="0" width="20"/>
    <col collapsed="false" customWidth="true" hidden="false" outlineLevel="0" max="27" min="27" style="0" width="21"/>
    <col collapsed="false" customWidth="true" hidden="false" outlineLevel="0" max="28" min="28" style="0" width="30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33"/>
    <col collapsed="false" customWidth="true" hidden="false" outlineLevel="0" max="32" min="32" style="0" width="18"/>
    <col collapsed="false" customWidth="true" hidden="false" outlineLevel="0" max="33" min="33" style="0" width="26"/>
    <col collapsed="false" customWidth="true" hidden="false" outlineLevel="0" max="34" min="34" style="0" width="12"/>
    <col collapsed="false" customWidth="true" hidden="false" outlineLevel="0" max="35" min="35" style="0" width="20"/>
    <col collapsed="false" customWidth="true" hidden="false" outlineLevel="0" max="36" min="36" style="0" width="10"/>
    <col collapsed="false" customWidth="true" hidden="false" outlineLevel="0" max="37" min="37" style="0" width="60"/>
  </cols>
  <sheetData>
    <row r="1" customFormat="false" ht="23.85" hidden="false" customHeight="false" outlineLevel="0" collapsed="false">
      <c r="A1" s="11" t="s">
        <v>131</v>
      </c>
      <c r="B1" s="11" t="s">
        <v>196</v>
      </c>
      <c r="C1" s="11" t="s">
        <v>379</v>
      </c>
      <c r="D1" s="11" t="s">
        <v>380</v>
      </c>
      <c r="E1" s="11" t="s">
        <v>381</v>
      </c>
      <c r="F1" s="11" t="s">
        <v>197</v>
      </c>
      <c r="G1" s="11" t="s">
        <v>203</v>
      </c>
      <c r="H1" s="11" t="s">
        <v>382</v>
      </c>
      <c r="I1" s="11" t="s">
        <v>383</v>
      </c>
      <c r="J1" s="11" t="s">
        <v>384</v>
      </c>
      <c r="K1" s="11" t="s">
        <v>385</v>
      </c>
      <c r="L1" s="11" t="s">
        <v>386</v>
      </c>
      <c r="M1" s="11" t="s">
        <v>387</v>
      </c>
      <c r="N1" s="11" t="s">
        <v>388</v>
      </c>
      <c r="O1" s="11" t="s">
        <v>389</v>
      </c>
      <c r="P1" s="11" t="s">
        <v>390</v>
      </c>
      <c r="Q1" s="11" t="s">
        <v>391</v>
      </c>
      <c r="R1" s="11" t="s">
        <v>392</v>
      </c>
      <c r="S1" s="11" t="s">
        <v>393</v>
      </c>
      <c r="T1" s="11" t="s">
        <v>394</v>
      </c>
      <c r="U1" s="11" t="s">
        <v>395</v>
      </c>
      <c r="V1" s="11" t="s">
        <v>396</v>
      </c>
      <c r="W1" s="11" t="s">
        <v>397</v>
      </c>
      <c r="X1" s="11" t="s">
        <v>398</v>
      </c>
      <c r="Y1" s="11" t="s">
        <v>399</v>
      </c>
      <c r="Z1" s="11" t="s">
        <v>400</v>
      </c>
      <c r="AA1" s="11" t="s">
        <v>401</v>
      </c>
      <c r="AB1" s="11" t="s">
        <v>402</v>
      </c>
      <c r="AC1" s="11" t="s">
        <v>403</v>
      </c>
      <c r="AD1" s="11" t="s">
        <v>404</v>
      </c>
      <c r="AE1" s="11" t="s">
        <v>405</v>
      </c>
      <c r="AF1" s="11" t="s">
        <v>406</v>
      </c>
      <c r="AG1" s="11" t="s">
        <v>407</v>
      </c>
      <c r="AH1" s="11" t="s">
        <v>408</v>
      </c>
      <c r="AI1" s="11" t="s">
        <v>409</v>
      </c>
      <c r="AJ1" s="11" t="s">
        <v>410</v>
      </c>
      <c r="AK1" s="11" t="s">
        <v>411</v>
      </c>
    </row>
    <row r="2" customFormat="false" ht="15" hidden="false" customHeight="false" outlineLevel="0" collapsed="false">
      <c r="A2" s="7" t="s">
        <v>137</v>
      </c>
      <c r="B2" s="7" t="s">
        <v>412</v>
      </c>
      <c r="C2" s="20" t="n">
        <v>44927</v>
      </c>
      <c r="D2" s="20" t="n">
        <v>45291</v>
      </c>
      <c r="E2" s="8" t="n">
        <v>389601.2</v>
      </c>
      <c r="F2" s="8" t="n">
        <v>374668.55</v>
      </c>
      <c r="G2" s="8" t="n">
        <v>108618.06</v>
      </c>
      <c r="H2" s="8" t="n">
        <v>14853.67</v>
      </c>
      <c r="I2" s="21" t="n">
        <v>0.9302</v>
      </c>
      <c r="J2" s="8" t="n">
        <v>-11630.71</v>
      </c>
      <c r="K2" s="8" t="n">
        <v>-0.0299</v>
      </c>
      <c r="L2" s="19" t="n">
        <v>0.3608</v>
      </c>
      <c r="M2" s="19" t="n">
        <v>0.6392</v>
      </c>
      <c r="N2" s="19" t="n">
        <v>0.5645</v>
      </c>
      <c r="O2" s="19" t="n">
        <v>0.245</v>
      </c>
      <c r="P2" s="16" t="n">
        <v>54962.35</v>
      </c>
      <c r="Q2" s="19" t="n">
        <v>0.0007</v>
      </c>
      <c r="R2" s="19" t="n">
        <v>0.0005</v>
      </c>
      <c r="S2" s="19" t="n">
        <v>-0.0315</v>
      </c>
      <c r="T2" s="19" t="n">
        <v>0.0034</v>
      </c>
      <c r="U2" s="19" t="n">
        <v>0.1954</v>
      </c>
      <c r="V2" s="19" t="n">
        <v>0.6829</v>
      </c>
      <c r="W2" s="19" t="n">
        <v>0.1726</v>
      </c>
      <c r="X2" s="19" t="n">
        <v>0.1064</v>
      </c>
      <c r="Y2" s="19" t="n">
        <v>0.0381</v>
      </c>
      <c r="Z2" s="8" t="n">
        <v>29714.77</v>
      </c>
      <c r="AA2" s="8" t="n">
        <v>57410.83</v>
      </c>
      <c r="AB2" s="8" t="n">
        <v>87125.6</v>
      </c>
      <c r="AC2" s="8" t="n">
        <v>60000</v>
      </c>
      <c r="AD2" s="8" t="n">
        <v>0</v>
      </c>
      <c r="AE2" s="8" t="n">
        <v>51814.29</v>
      </c>
      <c r="AF2" s="19" t="n">
        <v>-35311.31</v>
      </c>
      <c r="AG2" s="21" t="n">
        <v>0.5947</v>
      </c>
      <c r="AH2" s="8" t="n">
        <v>691664.29</v>
      </c>
      <c r="AI2" s="8" t="n">
        <v>92000</v>
      </c>
      <c r="AJ2" s="8" t="n">
        <v>28484.64</v>
      </c>
      <c r="AK2" s="7" t="s">
        <v>413</v>
      </c>
    </row>
    <row r="3" customFormat="false" ht="15" hidden="false" customHeight="false" outlineLevel="0" collapsed="false">
      <c r="A3" s="7" t="s">
        <v>137</v>
      </c>
      <c r="B3" s="7" t="s">
        <v>414</v>
      </c>
      <c r="C3" s="20" t="n">
        <v>45292</v>
      </c>
      <c r="D3" s="20" t="n">
        <v>45657</v>
      </c>
      <c r="E3" s="8" t="n">
        <v>417048.01</v>
      </c>
      <c r="F3" s="8" t="n">
        <v>429071.06</v>
      </c>
      <c r="G3" s="8" t="n">
        <v>200379.37</v>
      </c>
      <c r="H3" s="8" t="n">
        <v>76491.54</v>
      </c>
      <c r="I3" s="21" t="n">
        <v>0.8438</v>
      </c>
      <c r="J3" s="8" t="n">
        <v>-34489.54</v>
      </c>
      <c r="K3" s="8" t="n">
        <v>-0.0827</v>
      </c>
      <c r="L3" s="19" t="n">
        <v>0.3717</v>
      </c>
      <c r="M3" s="19" t="n">
        <v>0.6283</v>
      </c>
      <c r="N3" s="19" t="n">
        <v>0.5915</v>
      </c>
      <c r="O3" s="19" t="n">
        <v>0.2442</v>
      </c>
      <c r="P3" s="16" t="n">
        <v>55112.94</v>
      </c>
      <c r="Q3" s="19" t="n">
        <v>0.0319</v>
      </c>
      <c r="R3" s="19" t="n">
        <v>0.0213</v>
      </c>
      <c r="S3" s="19" t="n">
        <v>0.017</v>
      </c>
      <c r="T3" s="19" t="n">
        <v>0.1519</v>
      </c>
      <c r="U3" s="19" t="n">
        <v>0.2101</v>
      </c>
      <c r="V3" s="19" t="n">
        <v>0.5484</v>
      </c>
      <c r="W3" s="19" t="n">
        <v>0.1676</v>
      </c>
      <c r="X3" s="19" t="n">
        <v>0.1006</v>
      </c>
      <c r="Y3" s="19" t="n">
        <v>0.1834</v>
      </c>
      <c r="Z3" s="8" t="n">
        <v>28766.84</v>
      </c>
      <c r="AA3" s="8" t="n">
        <v>65288.72</v>
      </c>
      <c r="AB3" s="8" t="n">
        <v>94055.56</v>
      </c>
      <c r="AC3" s="8" t="n">
        <v>63200</v>
      </c>
      <c r="AD3" s="8" t="n">
        <v>0</v>
      </c>
      <c r="AE3" s="8" t="n">
        <v>111950.02</v>
      </c>
      <c r="AF3" s="19" t="n">
        <v>17894.46</v>
      </c>
      <c r="AG3" s="21" t="n">
        <v>1.1903</v>
      </c>
      <c r="AH3" s="8" t="n">
        <v>730375.57</v>
      </c>
      <c r="AI3" s="8" t="n">
        <v>124000</v>
      </c>
      <c r="AJ3" s="8" t="n">
        <v>28016.41</v>
      </c>
      <c r="AK3" s="7" t="s">
        <v>413</v>
      </c>
    </row>
    <row r="4" customFormat="false" ht="15" hidden="false" customHeight="false" outlineLevel="0" collapsed="false">
      <c r="A4" s="7" t="s">
        <v>137</v>
      </c>
      <c r="B4" s="7" t="s">
        <v>415</v>
      </c>
      <c r="C4" s="20" t="n">
        <v>45658</v>
      </c>
      <c r="D4" s="20" t="n">
        <v>46022</v>
      </c>
      <c r="E4" s="8" t="n">
        <v>510359.17</v>
      </c>
      <c r="F4" s="8" t="n">
        <v>443445.2</v>
      </c>
      <c r="G4" s="8" t="n">
        <v>155724.89</v>
      </c>
      <c r="H4" s="8" t="n">
        <v>101633.06</v>
      </c>
      <c r="I4" s="21" t="n">
        <v>0.7706</v>
      </c>
      <c r="J4" s="8" t="n">
        <v>-67672.96</v>
      </c>
      <c r="K4" s="8" t="n">
        <v>-0.1326</v>
      </c>
      <c r="L4" s="19" t="n">
        <v>0.4035</v>
      </c>
      <c r="M4" s="19" t="n">
        <v>0.5965</v>
      </c>
      <c r="N4" s="19" t="n">
        <v>0.6764</v>
      </c>
      <c r="O4" s="19" t="n">
        <v>0.2666</v>
      </c>
      <c r="P4" s="16" t="n">
        <v>54962.35</v>
      </c>
      <c r="Q4" s="19" t="n">
        <v>0.0434</v>
      </c>
      <c r="R4" s="19" t="n">
        <v>0.0286</v>
      </c>
      <c r="S4" s="19" t="n">
        <v>0.0363</v>
      </c>
      <c r="T4" s="19" t="n">
        <v>0.1788</v>
      </c>
      <c r="U4" s="19" t="n">
        <v>0.2426</v>
      </c>
      <c r="V4" s="19" t="n">
        <v>0.5638</v>
      </c>
      <c r="W4" s="19" t="n">
        <v>0.1497</v>
      </c>
      <c r="X4" s="19" t="n">
        <v>0.0874</v>
      </c>
      <c r="Y4" s="19" t="n">
        <v>0.1991</v>
      </c>
      <c r="Z4" s="8" t="n">
        <v>28610.66</v>
      </c>
      <c r="AA4" s="8" t="n">
        <v>79304.82</v>
      </c>
      <c r="AB4" s="8" t="n">
        <v>107915.48</v>
      </c>
      <c r="AC4" s="8" t="n">
        <v>56400</v>
      </c>
      <c r="AD4" s="8" t="n">
        <v>0</v>
      </c>
      <c r="AE4" s="8" t="n">
        <v>150252.06</v>
      </c>
      <c r="AF4" s="19" t="n">
        <v>42336.58</v>
      </c>
      <c r="AG4" s="21" t="n">
        <v>1.3923</v>
      </c>
      <c r="AH4" s="8" t="n">
        <v>867070.75</v>
      </c>
      <c r="AI4" s="8" t="n">
        <v>175000</v>
      </c>
      <c r="AJ4" s="8" t="n">
        <v>28482.26</v>
      </c>
      <c r="AK4" s="7" t="s">
        <v>413</v>
      </c>
    </row>
    <row r="5" customFormat="false" ht="15" hidden="false" customHeight="false" outlineLevel="0" collapsed="false">
      <c r="A5" s="7" t="s">
        <v>137</v>
      </c>
      <c r="B5" s="7" t="s">
        <v>416</v>
      </c>
      <c r="C5" s="20" t="n">
        <v>45931</v>
      </c>
      <c r="D5" s="20" t="n">
        <v>46295</v>
      </c>
      <c r="E5" s="8" t="n">
        <v>456122.69</v>
      </c>
      <c r="F5" s="8" t="n">
        <v>499554.13</v>
      </c>
      <c r="G5" s="8" t="n">
        <v>239191.75</v>
      </c>
      <c r="H5" s="8" t="n">
        <v>64423.35</v>
      </c>
      <c r="I5" s="21" t="n">
        <v>0.3415</v>
      </c>
      <c r="J5" s="8" t="n">
        <v>-225881.16</v>
      </c>
      <c r="K5" s="8" t="n">
        <v>-0.4952</v>
      </c>
      <c r="L5" s="19" t="n">
        <v>0.4223</v>
      </c>
      <c r="M5" s="19" t="n">
        <v>0.5777</v>
      </c>
      <c r="N5" s="19" t="n">
        <v>0.7309</v>
      </c>
      <c r="O5" s="19" t="n">
        <v>0.2686</v>
      </c>
      <c r="P5" s="16" t="n">
        <v>54962.35</v>
      </c>
      <c r="Q5" s="19" t="n">
        <v>0.0306</v>
      </c>
      <c r="R5" s="19" t="n">
        <v>0.0198</v>
      </c>
      <c r="S5" s="19" t="n">
        <v>0.0081</v>
      </c>
      <c r="T5" s="19" t="n">
        <v>0.1399</v>
      </c>
      <c r="U5" s="19" t="n">
        <v>0.2188</v>
      </c>
      <c r="V5" s="19" t="n">
        <v>0.5708</v>
      </c>
      <c r="W5" s="19" t="n">
        <v>0.1688</v>
      </c>
      <c r="X5" s="19" t="n">
        <v>0.1192</v>
      </c>
      <c r="Y5" s="19" t="n">
        <v>0.1412</v>
      </c>
      <c r="Z5" s="8" t="n">
        <v>38029.86</v>
      </c>
      <c r="AA5" s="8" t="n">
        <v>102491.68</v>
      </c>
      <c r="AB5" s="8" t="n">
        <v>140521.54</v>
      </c>
      <c r="AC5" s="8" t="n">
        <v>60400</v>
      </c>
      <c r="AD5" s="8" t="n">
        <v>0</v>
      </c>
      <c r="AE5" s="8" t="n">
        <v>119024.05</v>
      </c>
      <c r="AF5" s="19" t="n">
        <v>-21497.49</v>
      </c>
      <c r="AG5" s="21" t="n">
        <v>0.847</v>
      </c>
      <c r="AH5" s="8" t="n">
        <v>834842.73</v>
      </c>
      <c r="AI5" s="8" t="n">
        <v>221000</v>
      </c>
      <c r="AJ5" s="8" t="n">
        <v>28343.6</v>
      </c>
      <c r="AK5" s="7" t="s">
        <v>413</v>
      </c>
    </row>
    <row r="6" customFormat="false" ht="15" hidden="false" customHeight="false" outlineLevel="0" collapsed="false">
      <c r="A6" s="7" t="s">
        <v>137</v>
      </c>
      <c r="B6" s="7" t="s">
        <v>417</v>
      </c>
      <c r="C6" s="20" t="n">
        <v>46023</v>
      </c>
      <c r="D6" s="20" t="n">
        <v>46295</v>
      </c>
      <c r="E6" s="8" t="n">
        <v>194407.96</v>
      </c>
      <c r="F6" s="8" t="n">
        <v>234120.21</v>
      </c>
      <c r="G6" s="8" t="n">
        <v>41801.28</v>
      </c>
      <c r="H6" s="8" t="n">
        <v>-90401.74</v>
      </c>
      <c r="I6" s="21" t="n">
        <v>0.3415</v>
      </c>
      <c r="J6" s="8" t="n">
        <v>-225881.16</v>
      </c>
      <c r="K6" s="8" t="n">
        <v>-0.8684</v>
      </c>
      <c r="L6" s="19" t="n">
        <v>0.4223</v>
      </c>
      <c r="M6" s="19" t="n">
        <v>0.5777</v>
      </c>
      <c r="N6" s="19" t="n">
        <v>0.7309</v>
      </c>
      <c r="O6" s="19" t="n">
        <v>0.2686</v>
      </c>
      <c r="P6" s="16" t="n">
        <v>41108.83</v>
      </c>
      <c r="Q6" s="19" t="n">
        <v>-0.0458</v>
      </c>
      <c r="R6" s="19" t="n">
        <v>-0.0297</v>
      </c>
      <c r="S6" s="19" t="n">
        <v>-0.106</v>
      </c>
      <c r="T6" s="19" t="n">
        <v>-0.4977</v>
      </c>
      <c r="U6" s="19" t="n">
        <v>0.0921</v>
      </c>
      <c r="V6" s="19" t="n">
        <v>0.9893</v>
      </c>
      <c r="W6" s="19" t="n">
        <v>0.2969</v>
      </c>
      <c r="X6" s="19" t="n">
        <v>0.1788</v>
      </c>
      <c r="Y6" s="19" t="n">
        <v>-0.465</v>
      </c>
      <c r="Z6" s="8" t="n">
        <v>22691.1</v>
      </c>
      <c r="AA6" s="8" t="n">
        <v>78228.02</v>
      </c>
      <c r="AB6" s="8" t="n">
        <v>100919.12</v>
      </c>
      <c r="AC6" s="8" t="n">
        <v>47800</v>
      </c>
      <c r="AD6" s="8" t="n">
        <v>0</v>
      </c>
      <c r="AE6" s="8" t="n">
        <v>-57782.51</v>
      </c>
      <c r="AF6" s="19" t="n">
        <v>-158701.63</v>
      </c>
      <c r="AG6" s="21" t="n">
        <v>-0.5726</v>
      </c>
      <c r="AH6" s="8" t="n">
        <v>834842.73</v>
      </c>
      <c r="AI6" s="8" t="n">
        <v>221000</v>
      </c>
      <c r="AJ6" s="8" t="n">
        <v>28343.6</v>
      </c>
      <c r="AK6" s="7" t="s">
        <v>413</v>
      </c>
    </row>
  </sheetData>
  <autoFilter ref="A1:A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1"/>
    <col collapsed="false" customWidth="true" hidden="false" outlineLevel="0" max="13" min="13" style="0" width="26"/>
    <col collapsed="false" customWidth="true" hidden="false" outlineLevel="0" max="14" min="14" style="0" width="25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7" min="17" style="0" width="21"/>
    <col collapsed="false" customWidth="true" hidden="false" outlineLevel="0" max="18" min="18" style="0" width="60"/>
  </cols>
  <sheetData>
    <row r="1" customFormat="false" ht="23.85" hidden="false" customHeight="false" outlineLevel="0" collapsed="false">
      <c r="A1" s="11" t="s">
        <v>131</v>
      </c>
      <c r="B1" s="11" t="s">
        <v>213</v>
      </c>
      <c r="C1" s="11" t="s">
        <v>196</v>
      </c>
      <c r="D1" s="11" t="s">
        <v>130</v>
      </c>
      <c r="E1" s="11" t="s">
        <v>418</v>
      </c>
      <c r="F1" s="11" t="s">
        <v>419</v>
      </c>
      <c r="G1" s="11" t="s">
        <v>420</v>
      </c>
      <c r="H1" s="11" t="s">
        <v>421</v>
      </c>
      <c r="I1" s="11" t="s">
        <v>422</v>
      </c>
      <c r="J1" s="11" t="s">
        <v>423</v>
      </c>
      <c r="K1" s="11" t="s">
        <v>424</v>
      </c>
      <c r="L1" s="11" t="s">
        <v>425</v>
      </c>
      <c r="M1" s="11" t="s">
        <v>426</v>
      </c>
      <c r="N1" s="11" t="s">
        <v>427</v>
      </c>
      <c r="O1" s="11" t="s">
        <v>428</v>
      </c>
      <c r="P1" s="11" t="s">
        <v>429</v>
      </c>
      <c r="Q1" s="11" t="s">
        <v>430</v>
      </c>
      <c r="R1" s="11" t="s">
        <v>431</v>
      </c>
    </row>
    <row r="2" customFormat="false" ht="15" hidden="false" customHeight="false" outlineLevel="0" collapsed="false">
      <c r="A2" s="7" t="s">
        <v>137</v>
      </c>
      <c r="B2" s="16" t="n">
        <v>2023</v>
      </c>
      <c r="C2" s="7" t="s">
        <v>432</v>
      </c>
      <c r="D2" s="7" t="s">
        <v>141</v>
      </c>
      <c r="E2" s="8" t="n">
        <v>104022.8</v>
      </c>
      <c r="F2" s="8" t="n">
        <v>75862.9</v>
      </c>
      <c r="G2" s="8" t="n">
        <v>-28159.9</v>
      </c>
      <c r="H2" s="8" t="n">
        <v>119307.47</v>
      </c>
      <c r="I2" s="8" t="n">
        <v>122675.87</v>
      </c>
      <c r="J2" s="8" t="n">
        <v>3368.4</v>
      </c>
      <c r="K2" s="19" t="n">
        <v>3262.32</v>
      </c>
      <c r="L2" s="19" t="n">
        <v>-28265.98</v>
      </c>
      <c r="M2" s="19" t="n">
        <v>0.0314</v>
      </c>
      <c r="N2" s="19" t="n">
        <v>-0.3726</v>
      </c>
      <c r="O2" s="8" t="n">
        <v>-15284.67</v>
      </c>
      <c r="P2" s="8" t="n">
        <v>-46812.97</v>
      </c>
      <c r="Q2" s="8" t="n">
        <v>-31528.3</v>
      </c>
      <c r="R2" s="7" t="s">
        <v>433</v>
      </c>
    </row>
    <row r="3" customFormat="false" ht="15" hidden="false" customHeight="false" outlineLevel="0" collapsed="false">
      <c r="A3" s="7" t="s">
        <v>137</v>
      </c>
      <c r="B3" s="16" t="n">
        <v>2023</v>
      </c>
      <c r="C3" s="7" t="s">
        <v>432</v>
      </c>
      <c r="D3" s="7" t="s">
        <v>136</v>
      </c>
      <c r="E3" s="8" t="n">
        <v>41289.6</v>
      </c>
      <c r="F3" s="8" t="n">
        <v>23992.12</v>
      </c>
      <c r="G3" s="8" t="n">
        <v>-17297.48</v>
      </c>
      <c r="H3" s="8" t="n">
        <v>39354.2</v>
      </c>
      <c r="I3" s="8" t="n">
        <v>37228.76</v>
      </c>
      <c r="J3" s="8" t="n">
        <v>-2125.44</v>
      </c>
      <c r="K3" s="19" t="n">
        <v>2366.4</v>
      </c>
      <c r="L3" s="19" t="n">
        <v>-12805.64</v>
      </c>
      <c r="M3" s="19" t="n">
        <v>0.0573</v>
      </c>
      <c r="N3" s="19" t="n">
        <v>-0.5337</v>
      </c>
      <c r="O3" s="8" t="n">
        <v>1935.4</v>
      </c>
      <c r="P3" s="8" t="n">
        <v>-13236.64</v>
      </c>
      <c r="Q3" s="8" t="n">
        <v>-15172.04</v>
      </c>
      <c r="R3" s="7" t="s">
        <v>433</v>
      </c>
    </row>
    <row r="4" customFormat="false" ht="15" hidden="false" customHeight="false" outlineLevel="0" collapsed="false">
      <c r="A4" s="7" t="s">
        <v>137</v>
      </c>
      <c r="B4" s="16" t="n">
        <v>2023</v>
      </c>
      <c r="C4" s="7" t="s">
        <v>432</v>
      </c>
      <c r="D4" s="7" t="s">
        <v>149</v>
      </c>
      <c r="E4" s="8" t="n">
        <v>220678.64</v>
      </c>
      <c r="F4" s="8" t="n">
        <v>196886.41</v>
      </c>
      <c r="G4" s="8" t="n">
        <v>-23792.23</v>
      </c>
      <c r="H4" s="8" t="n">
        <v>109871.29</v>
      </c>
      <c r="I4" s="8" t="n">
        <v>104960.95</v>
      </c>
      <c r="J4" s="8" t="n">
        <v>-4910.34</v>
      </c>
      <c r="K4" s="19" t="n">
        <v>149220.61</v>
      </c>
      <c r="L4" s="19" t="n">
        <v>130338.72</v>
      </c>
      <c r="M4" s="19" t="n">
        <v>0.6762</v>
      </c>
      <c r="N4" s="19" t="n">
        <v>0.662</v>
      </c>
      <c r="O4" s="8" t="n">
        <v>110807.35</v>
      </c>
      <c r="P4" s="8" t="n">
        <v>91925.46</v>
      </c>
      <c r="Q4" s="8" t="n">
        <v>-18881.89</v>
      </c>
      <c r="R4" s="7" t="s">
        <v>433</v>
      </c>
    </row>
    <row r="5" customFormat="false" ht="15" hidden="false" customHeight="false" outlineLevel="0" collapsed="false">
      <c r="A5" s="7" t="s">
        <v>137</v>
      </c>
      <c r="B5" s="16" t="n">
        <v>2023</v>
      </c>
      <c r="C5" s="7" t="s">
        <v>432</v>
      </c>
      <c r="D5" s="7" t="s">
        <v>153</v>
      </c>
      <c r="E5" s="8" t="n">
        <v>0</v>
      </c>
      <c r="F5" s="8" t="n">
        <v>0</v>
      </c>
      <c r="G5" s="8" t="n">
        <v>0</v>
      </c>
      <c r="H5" s="8" t="n">
        <v>74797.81</v>
      </c>
      <c r="I5" s="8" t="n">
        <v>77965.15</v>
      </c>
      <c r="J5" s="8" t="n">
        <v>3167.34</v>
      </c>
      <c r="K5" s="19" t="n">
        <v>-12050.4</v>
      </c>
      <c r="L5" s="19" t="n">
        <v>-12366.52</v>
      </c>
      <c r="M5" s="19"/>
      <c r="N5" s="19"/>
      <c r="O5" s="8" t="n">
        <v>-74797.81</v>
      </c>
      <c r="P5" s="8" t="n">
        <v>-77965.15</v>
      </c>
      <c r="Q5" s="8" t="n">
        <v>-3167.34</v>
      </c>
      <c r="R5" s="7" t="s">
        <v>433</v>
      </c>
    </row>
    <row r="6" customFormat="false" ht="15" hidden="false" customHeight="false" outlineLevel="0" collapsed="false">
      <c r="A6" s="7" t="s">
        <v>137</v>
      </c>
      <c r="B6" s="16" t="n">
        <v>2023</v>
      </c>
      <c r="C6" s="7" t="s">
        <v>432</v>
      </c>
      <c r="D6" s="7" t="s">
        <v>144</v>
      </c>
      <c r="E6" s="8" t="n">
        <v>54644</v>
      </c>
      <c r="F6" s="8" t="n">
        <v>54644</v>
      </c>
      <c r="G6" s="8" t="n">
        <v>0</v>
      </c>
      <c r="H6" s="8" t="n">
        <v>11623.04</v>
      </c>
      <c r="I6" s="8" t="n">
        <v>11623.04</v>
      </c>
      <c r="J6" s="8" t="n">
        <v>0</v>
      </c>
      <c r="K6" s="19" t="n">
        <v>54644</v>
      </c>
      <c r="L6" s="19" t="n">
        <v>54644</v>
      </c>
      <c r="M6" s="19" t="n">
        <v>1</v>
      </c>
      <c r="N6" s="19" t="n">
        <v>1</v>
      </c>
      <c r="O6" s="8" t="n">
        <v>43020.96</v>
      </c>
      <c r="P6" s="8" t="n">
        <v>43020.96</v>
      </c>
      <c r="Q6" s="8" t="n">
        <v>0</v>
      </c>
      <c r="R6" s="7" t="s">
        <v>433</v>
      </c>
    </row>
    <row r="7" customFormat="false" ht="15" hidden="false" customHeight="false" outlineLevel="0" collapsed="false">
      <c r="A7" s="7" t="s">
        <v>137</v>
      </c>
      <c r="B7" s="16" t="n">
        <v>2023</v>
      </c>
      <c r="C7" s="7" t="s">
        <v>432</v>
      </c>
      <c r="D7" s="7" t="s">
        <v>146</v>
      </c>
      <c r="E7" s="8" t="n">
        <v>28913.76</v>
      </c>
      <c r="F7" s="8" t="n">
        <v>23283.12</v>
      </c>
      <c r="G7" s="8" t="n">
        <v>-5630.64</v>
      </c>
      <c r="H7" s="8" t="n">
        <v>20293.76</v>
      </c>
      <c r="I7" s="8" t="n">
        <v>20293.76</v>
      </c>
      <c r="J7" s="8" t="n">
        <v>0</v>
      </c>
      <c r="K7" s="19" t="n">
        <v>15539.72</v>
      </c>
      <c r="L7" s="19" t="n">
        <v>9909.08</v>
      </c>
      <c r="M7" s="19" t="n">
        <v>0.5375</v>
      </c>
      <c r="N7" s="19" t="n">
        <v>0.4256</v>
      </c>
      <c r="O7" s="8" t="n">
        <v>8620</v>
      </c>
      <c r="P7" s="8" t="n">
        <v>2989.36</v>
      </c>
      <c r="Q7" s="8" t="n">
        <v>-5630.64</v>
      </c>
      <c r="R7" s="7" t="s">
        <v>433</v>
      </c>
    </row>
    <row r="8" customFormat="false" ht="15" hidden="false" customHeight="false" outlineLevel="0" collapsed="false">
      <c r="A8" s="7" t="s">
        <v>137</v>
      </c>
      <c r="B8" s="16" t="n">
        <v>2023</v>
      </c>
      <c r="C8" s="7" t="s">
        <v>432</v>
      </c>
      <c r="D8" s="7" t="s">
        <v>211</v>
      </c>
      <c r="E8" s="8" t="n">
        <v>449548.8</v>
      </c>
      <c r="F8" s="8" t="n">
        <v>374668.55</v>
      </c>
      <c r="G8" s="8" t="n">
        <v>-74880.25</v>
      </c>
      <c r="H8" s="8" t="n">
        <v>375247.57</v>
      </c>
      <c r="I8" s="8" t="n">
        <v>374747.53</v>
      </c>
      <c r="J8" s="8" t="n">
        <v>-500.04</v>
      </c>
      <c r="K8" s="19" t="n">
        <v>212982.65</v>
      </c>
      <c r="L8" s="19" t="n">
        <v>141453.66</v>
      </c>
      <c r="M8" s="19" t="n">
        <v>0.4738</v>
      </c>
      <c r="N8" s="19" t="n">
        <v>0.3775</v>
      </c>
      <c r="O8" s="8" t="n">
        <v>74301.23</v>
      </c>
      <c r="P8" s="8" t="n">
        <v>-78.98</v>
      </c>
      <c r="Q8" s="8" t="n">
        <v>-74380.21</v>
      </c>
      <c r="R8" s="7" t="s">
        <v>433</v>
      </c>
    </row>
    <row r="9" customFormat="false" ht="15" hidden="false" customHeight="false" outlineLevel="0" collapsed="false">
      <c r="A9" s="7" t="s">
        <v>137</v>
      </c>
      <c r="B9" s="16" t="n">
        <v>2024</v>
      </c>
      <c r="C9" s="7" t="s">
        <v>432</v>
      </c>
      <c r="D9" s="7" t="s">
        <v>141</v>
      </c>
      <c r="E9" s="8" t="n">
        <v>92106</v>
      </c>
      <c r="F9" s="8" t="n">
        <v>74384.21</v>
      </c>
      <c r="G9" s="8" t="n">
        <v>-17721.79</v>
      </c>
      <c r="H9" s="8" t="n">
        <v>19769.47</v>
      </c>
      <c r="I9" s="8" t="n">
        <v>19769.47</v>
      </c>
      <c r="J9" s="8" t="n">
        <v>0</v>
      </c>
      <c r="K9" s="19" t="n">
        <v>91280.4</v>
      </c>
      <c r="L9" s="19" t="n">
        <v>73558.61</v>
      </c>
      <c r="M9" s="19" t="n">
        <v>0.991</v>
      </c>
      <c r="N9" s="19" t="n">
        <v>0.9889</v>
      </c>
      <c r="O9" s="8" t="n">
        <v>72336.53</v>
      </c>
      <c r="P9" s="8" t="n">
        <v>54614.74</v>
      </c>
      <c r="Q9" s="8" t="n">
        <v>-17721.79</v>
      </c>
      <c r="R9" s="7" t="s">
        <v>433</v>
      </c>
    </row>
    <row r="10" customFormat="false" ht="15" hidden="false" customHeight="false" outlineLevel="0" collapsed="false">
      <c r="A10" s="7" t="s">
        <v>137</v>
      </c>
      <c r="B10" s="16" t="n">
        <v>2024</v>
      </c>
      <c r="C10" s="7" t="s">
        <v>432</v>
      </c>
      <c r="D10" s="7" t="s">
        <v>136</v>
      </c>
      <c r="E10" s="8" t="n">
        <v>38493.73</v>
      </c>
      <c r="F10" s="8" t="n">
        <v>40196.43</v>
      </c>
      <c r="G10" s="8" t="n">
        <v>1702.7</v>
      </c>
      <c r="H10" s="8" t="n">
        <v>44514.89</v>
      </c>
      <c r="I10" s="8" t="n">
        <v>44885.83</v>
      </c>
      <c r="J10" s="8" t="n">
        <v>370.94</v>
      </c>
      <c r="K10" s="19" t="n">
        <v>-5577.23</v>
      </c>
      <c r="L10" s="19" t="n">
        <v>-4245.47</v>
      </c>
      <c r="M10" s="19" t="n">
        <v>-0.1449</v>
      </c>
      <c r="N10" s="19" t="n">
        <v>-0.1056</v>
      </c>
      <c r="O10" s="8" t="n">
        <v>-6021.16</v>
      </c>
      <c r="P10" s="8" t="n">
        <v>-4689.4</v>
      </c>
      <c r="Q10" s="8" t="n">
        <v>1331.76</v>
      </c>
      <c r="R10" s="7" t="s">
        <v>433</v>
      </c>
    </row>
    <row r="11" customFormat="false" ht="15" hidden="false" customHeight="false" outlineLevel="0" collapsed="false">
      <c r="A11" s="7" t="s">
        <v>137</v>
      </c>
      <c r="B11" s="16" t="n">
        <v>2024</v>
      </c>
      <c r="C11" s="7" t="s">
        <v>432</v>
      </c>
      <c r="D11" s="7" t="s">
        <v>149</v>
      </c>
      <c r="E11" s="8" t="n">
        <v>234502.72</v>
      </c>
      <c r="F11" s="8" t="n">
        <v>235377.78</v>
      </c>
      <c r="G11" s="8" t="n">
        <v>875.06</v>
      </c>
      <c r="H11" s="8" t="n">
        <v>115254.1</v>
      </c>
      <c r="I11" s="8" t="n">
        <v>116274.59</v>
      </c>
      <c r="J11" s="8" t="n">
        <v>1020.49</v>
      </c>
      <c r="K11" s="19" t="n">
        <v>160007.45</v>
      </c>
      <c r="L11" s="19" t="n">
        <v>159862.02</v>
      </c>
      <c r="M11" s="19" t="n">
        <v>0.6823</v>
      </c>
      <c r="N11" s="19" t="n">
        <v>0.6792</v>
      </c>
      <c r="O11" s="8" t="n">
        <v>119248.62</v>
      </c>
      <c r="P11" s="8" t="n">
        <v>119103.19</v>
      </c>
      <c r="Q11" s="8" t="n">
        <v>-145.43</v>
      </c>
      <c r="R11" s="7" t="s">
        <v>433</v>
      </c>
    </row>
    <row r="12" customFormat="false" ht="15" hidden="false" customHeight="false" outlineLevel="0" collapsed="false">
      <c r="A12" s="7" t="s">
        <v>137</v>
      </c>
      <c r="B12" s="16" t="n">
        <v>2024</v>
      </c>
      <c r="C12" s="7" t="s">
        <v>432</v>
      </c>
      <c r="D12" s="7" t="s">
        <v>153</v>
      </c>
      <c r="E12" s="8" t="n">
        <v>0</v>
      </c>
      <c r="F12" s="8" t="n">
        <v>0</v>
      </c>
      <c r="G12" s="8" t="n">
        <v>0</v>
      </c>
      <c r="H12" s="8" t="n">
        <v>70584.6</v>
      </c>
      <c r="I12" s="8" t="n">
        <v>80729.66</v>
      </c>
      <c r="J12" s="8" t="n">
        <v>10145.06</v>
      </c>
      <c r="K12" s="19" t="n">
        <v>-12532</v>
      </c>
      <c r="L12" s="19" t="n">
        <v>-13424.82</v>
      </c>
      <c r="M12" s="19"/>
      <c r="N12" s="19"/>
      <c r="O12" s="8" t="n">
        <v>-70584.6</v>
      </c>
      <c r="P12" s="8" t="n">
        <v>-80729.66</v>
      </c>
      <c r="Q12" s="8" t="n">
        <v>-10145.06</v>
      </c>
      <c r="R12" s="7" t="s">
        <v>433</v>
      </c>
    </row>
    <row r="13" customFormat="false" ht="15" hidden="false" customHeight="false" outlineLevel="0" collapsed="false">
      <c r="A13" s="7" t="s">
        <v>137</v>
      </c>
      <c r="B13" s="16" t="n">
        <v>2024</v>
      </c>
      <c r="C13" s="7" t="s">
        <v>432</v>
      </c>
      <c r="D13" s="7" t="s">
        <v>144</v>
      </c>
      <c r="E13" s="8" t="n">
        <v>76466.07</v>
      </c>
      <c r="F13" s="8" t="n">
        <v>66902.4</v>
      </c>
      <c r="G13" s="8" t="n">
        <v>-9563.67</v>
      </c>
      <c r="H13" s="8" t="n">
        <v>60668.58</v>
      </c>
      <c r="I13" s="8" t="n">
        <v>59258.58</v>
      </c>
      <c r="J13" s="8" t="n">
        <v>-1410</v>
      </c>
      <c r="K13" s="19" t="n">
        <v>27552.82</v>
      </c>
      <c r="L13" s="19" t="n">
        <v>19399.15</v>
      </c>
      <c r="M13" s="19" t="n">
        <v>0.3603</v>
      </c>
      <c r="N13" s="19" t="n">
        <v>0.29</v>
      </c>
      <c r="O13" s="8" t="n">
        <v>15797.49</v>
      </c>
      <c r="P13" s="8" t="n">
        <v>7643.82</v>
      </c>
      <c r="Q13" s="8" t="n">
        <v>-8153.67</v>
      </c>
      <c r="R13" s="7" t="s">
        <v>433</v>
      </c>
    </row>
    <row r="14" customFormat="false" ht="15" hidden="false" customHeight="false" outlineLevel="0" collapsed="false">
      <c r="A14" s="7" t="s">
        <v>137</v>
      </c>
      <c r="B14" s="16" t="n">
        <v>2024</v>
      </c>
      <c r="C14" s="7" t="s">
        <v>432</v>
      </c>
      <c r="D14" s="7" t="s">
        <v>146</v>
      </c>
      <c r="E14" s="8" t="n">
        <v>13278.91</v>
      </c>
      <c r="F14" s="8" t="n">
        <v>12210.24</v>
      </c>
      <c r="G14" s="8" t="n">
        <v>-1068.67</v>
      </c>
      <c r="H14" s="8" t="n">
        <v>19638.34</v>
      </c>
      <c r="I14" s="8" t="n">
        <v>19638.34</v>
      </c>
      <c r="J14" s="8" t="n">
        <v>0</v>
      </c>
      <c r="K14" s="19" t="n">
        <v>692.55</v>
      </c>
      <c r="L14" s="19" t="n">
        <v>-376.12</v>
      </c>
      <c r="M14" s="19" t="n">
        <v>0.0522</v>
      </c>
      <c r="N14" s="19" t="n">
        <v>-0.0308</v>
      </c>
      <c r="O14" s="8" t="n">
        <v>-6359.43</v>
      </c>
      <c r="P14" s="8" t="n">
        <v>-7428.1</v>
      </c>
      <c r="Q14" s="8" t="n">
        <v>-1068.67</v>
      </c>
      <c r="R14" s="7" t="s">
        <v>433</v>
      </c>
    </row>
    <row r="15" customFormat="false" ht="15" hidden="false" customHeight="false" outlineLevel="0" collapsed="false">
      <c r="A15" s="7" t="s">
        <v>137</v>
      </c>
      <c r="B15" s="16" t="n">
        <v>2024</v>
      </c>
      <c r="C15" s="7" t="s">
        <v>432</v>
      </c>
      <c r="D15" s="7" t="s">
        <v>211</v>
      </c>
      <c r="E15" s="8" t="n">
        <v>454847.43</v>
      </c>
      <c r="F15" s="8" t="n">
        <v>429071.06</v>
      </c>
      <c r="G15" s="8" t="n">
        <v>-25776.37</v>
      </c>
      <c r="H15" s="8" t="n">
        <v>330429.98</v>
      </c>
      <c r="I15" s="8" t="n">
        <v>340556.47</v>
      </c>
      <c r="J15" s="8" t="n">
        <v>10126.49</v>
      </c>
      <c r="K15" s="19" t="n">
        <v>261423.99</v>
      </c>
      <c r="L15" s="19" t="n">
        <v>234773.37</v>
      </c>
      <c r="M15" s="19" t="n">
        <v>0.5748</v>
      </c>
      <c r="N15" s="19" t="n">
        <v>0.5472</v>
      </c>
      <c r="O15" s="8" t="n">
        <v>124417.45</v>
      </c>
      <c r="P15" s="8" t="n">
        <v>88514.59</v>
      </c>
      <c r="Q15" s="8" t="n">
        <v>-35902.86</v>
      </c>
      <c r="R15" s="7" t="s">
        <v>433</v>
      </c>
    </row>
    <row r="16" customFormat="false" ht="15" hidden="false" customHeight="false" outlineLevel="0" collapsed="false">
      <c r="A16" s="7" t="s">
        <v>137</v>
      </c>
      <c r="B16" s="16" t="n">
        <v>2025</v>
      </c>
      <c r="C16" s="7" t="s">
        <v>432</v>
      </c>
      <c r="D16" s="7" t="s">
        <v>141</v>
      </c>
      <c r="E16" s="8" t="n">
        <v>38320.04</v>
      </c>
      <c r="F16" s="8" t="n">
        <v>39211.28</v>
      </c>
      <c r="G16" s="8" t="n">
        <v>891.24</v>
      </c>
      <c r="H16" s="8" t="n">
        <v>91761.97</v>
      </c>
      <c r="I16" s="8" t="n">
        <v>93162.37</v>
      </c>
      <c r="J16" s="8" t="n">
        <v>1400.4</v>
      </c>
      <c r="K16" s="19" t="n">
        <v>-33261.84</v>
      </c>
      <c r="L16" s="19" t="n">
        <v>-33771</v>
      </c>
      <c r="M16" s="19" t="n">
        <v>-0.868</v>
      </c>
      <c r="N16" s="19" t="n">
        <v>-0.8613</v>
      </c>
      <c r="O16" s="8" t="n">
        <v>-53441.93</v>
      </c>
      <c r="P16" s="8" t="n">
        <v>-53951.09</v>
      </c>
      <c r="Q16" s="8" t="n">
        <v>-509.16</v>
      </c>
      <c r="R16" s="7" t="s">
        <v>433</v>
      </c>
    </row>
    <row r="17" customFormat="false" ht="15" hidden="false" customHeight="false" outlineLevel="0" collapsed="false">
      <c r="A17" s="7" t="s">
        <v>137</v>
      </c>
      <c r="B17" s="16" t="n">
        <v>2025</v>
      </c>
      <c r="C17" s="7" t="s">
        <v>432</v>
      </c>
      <c r="D17" s="7" t="s">
        <v>136</v>
      </c>
      <c r="E17" s="8" t="n">
        <v>37120.38</v>
      </c>
      <c r="F17" s="8" t="n">
        <v>49296.28</v>
      </c>
      <c r="G17" s="8" t="n">
        <v>12175.9</v>
      </c>
      <c r="H17" s="8" t="n">
        <v>45763.01</v>
      </c>
      <c r="I17" s="8" t="n">
        <v>46867.2</v>
      </c>
      <c r="J17" s="8" t="n">
        <v>1104.19</v>
      </c>
      <c r="K17" s="19" t="n">
        <v>-8185.38</v>
      </c>
      <c r="L17" s="19" t="n">
        <v>2886.33</v>
      </c>
      <c r="M17" s="19" t="n">
        <v>-0.2205</v>
      </c>
      <c r="N17" s="19" t="n">
        <v>0.0586</v>
      </c>
      <c r="O17" s="8" t="n">
        <v>-8642.63</v>
      </c>
      <c r="P17" s="8" t="n">
        <v>2429.08</v>
      </c>
      <c r="Q17" s="8" t="n">
        <v>11071.71</v>
      </c>
      <c r="R17" s="7" t="s">
        <v>433</v>
      </c>
    </row>
    <row r="18" customFormat="false" ht="15" hidden="false" customHeight="false" outlineLevel="0" collapsed="false">
      <c r="A18" s="7" t="s">
        <v>137</v>
      </c>
      <c r="B18" s="16" t="n">
        <v>2025</v>
      </c>
      <c r="C18" s="7" t="s">
        <v>432</v>
      </c>
      <c r="D18" s="7" t="s">
        <v>149</v>
      </c>
      <c r="E18" s="8" t="n">
        <v>251815.75</v>
      </c>
      <c r="F18" s="8" t="n">
        <v>265687.6</v>
      </c>
      <c r="G18" s="8" t="n">
        <v>13871.85</v>
      </c>
      <c r="H18" s="8" t="n">
        <v>127932.66</v>
      </c>
      <c r="I18" s="8" t="n">
        <v>138718.88</v>
      </c>
      <c r="J18" s="8" t="n">
        <v>10786.22</v>
      </c>
      <c r="K18" s="19" t="n">
        <v>173752.83</v>
      </c>
      <c r="L18" s="19" t="n">
        <v>176838.46</v>
      </c>
      <c r="M18" s="19" t="n">
        <v>0.69</v>
      </c>
      <c r="N18" s="19" t="n">
        <v>0.6656</v>
      </c>
      <c r="O18" s="8" t="n">
        <v>123883.09</v>
      </c>
      <c r="P18" s="8" t="n">
        <v>126968.72</v>
      </c>
      <c r="Q18" s="8" t="n">
        <v>3085.63</v>
      </c>
      <c r="R18" s="7" t="s">
        <v>433</v>
      </c>
    </row>
    <row r="19" customFormat="false" ht="15" hidden="false" customHeight="false" outlineLevel="0" collapsed="false">
      <c r="A19" s="7" t="s">
        <v>137</v>
      </c>
      <c r="B19" s="16" t="n">
        <v>2025</v>
      </c>
      <c r="C19" s="7" t="s">
        <v>432</v>
      </c>
      <c r="D19" s="7" t="s">
        <v>153</v>
      </c>
      <c r="E19" s="8" t="n">
        <v>0</v>
      </c>
      <c r="F19" s="8" t="n">
        <v>6215</v>
      </c>
      <c r="G19" s="8" t="n">
        <v>6215</v>
      </c>
      <c r="H19" s="8" t="n">
        <v>72743.27</v>
      </c>
      <c r="I19" s="8" t="n">
        <v>83438.43</v>
      </c>
      <c r="J19" s="8" t="n">
        <v>10695.16</v>
      </c>
      <c r="K19" s="19" t="n">
        <v>-13013.6</v>
      </c>
      <c r="L19" s="19" t="n">
        <v>-7038.06</v>
      </c>
      <c r="M19" s="19"/>
      <c r="N19" s="19" t="n">
        <v>-1.1324</v>
      </c>
      <c r="O19" s="8" t="n">
        <v>-72743.27</v>
      </c>
      <c r="P19" s="8" t="n">
        <v>-77223.43</v>
      </c>
      <c r="Q19" s="8" t="n">
        <v>-4480.16</v>
      </c>
      <c r="R19" s="7" t="s">
        <v>433</v>
      </c>
    </row>
    <row r="20" customFormat="false" ht="15" hidden="false" customHeight="false" outlineLevel="0" collapsed="false">
      <c r="A20" s="7" t="s">
        <v>137</v>
      </c>
      <c r="B20" s="16" t="n">
        <v>2025</v>
      </c>
      <c r="C20" s="7" t="s">
        <v>432</v>
      </c>
      <c r="D20" s="7" t="s">
        <v>144</v>
      </c>
      <c r="E20" s="8" t="n">
        <v>59949.94</v>
      </c>
      <c r="F20" s="8" t="n">
        <v>62677.6</v>
      </c>
      <c r="G20" s="8" t="n">
        <v>2727.66</v>
      </c>
      <c r="H20" s="8" t="n">
        <v>25065.08</v>
      </c>
      <c r="I20" s="8" t="n">
        <v>25065.08</v>
      </c>
      <c r="J20" s="8" t="n">
        <v>0</v>
      </c>
      <c r="K20" s="19" t="n">
        <v>47669.14</v>
      </c>
      <c r="L20" s="19" t="n">
        <v>50396.8</v>
      </c>
      <c r="M20" s="19" t="n">
        <v>0.7951</v>
      </c>
      <c r="N20" s="19" t="n">
        <v>0.8041</v>
      </c>
      <c r="O20" s="8" t="n">
        <v>34884.86</v>
      </c>
      <c r="P20" s="8" t="n">
        <v>37612.52</v>
      </c>
      <c r="Q20" s="8" t="n">
        <v>2727.66</v>
      </c>
      <c r="R20" s="7" t="s">
        <v>433</v>
      </c>
    </row>
    <row r="21" customFormat="false" ht="15" hidden="false" customHeight="false" outlineLevel="0" collapsed="false">
      <c r="A21" s="7" t="s">
        <v>137</v>
      </c>
      <c r="B21" s="16" t="n">
        <v>2025</v>
      </c>
      <c r="C21" s="7" t="s">
        <v>432</v>
      </c>
      <c r="D21" s="7" t="s">
        <v>146</v>
      </c>
      <c r="E21" s="8" t="n">
        <v>18946.85</v>
      </c>
      <c r="F21" s="8" t="n">
        <v>20357.44</v>
      </c>
      <c r="G21" s="8" t="n">
        <v>1410.59</v>
      </c>
      <c r="H21" s="8" t="n">
        <v>19994.15</v>
      </c>
      <c r="I21" s="8" t="n">
        <v>21474.15</v>
      </c>
      <c r="J21" s="8" t="n">
        <v>1480</v>
      </c>
      <c r="K21" s="19" t="n">
        <v>6307.97</v>
      </c>
      <c r="L21" s="19" t="n">
        <v>6238.56</v>
      </c>
      <c r="M21" s="19" t="n">
        <v>0.3329</v>
      </c>
      <c r="N21" s="19" t="n">
        <v>0.3065</v>
      </c>
      <c r="O21" s="8" t="n">
        <v>-1047.3</v>
      </c>
      <c r="P21" s="8" t="n">
        <v>-1116.71</v>
      </c>
      <c r="Q21" s="8" t="n">
        <v>-69.41</v>
      </c>
      <c r="R21" s="7" t="s">
        <v>433</v>
      </c>
    </row>
    <row r="22" customFormat="false" ht="15" hidden="false" customHeight="false" outlineLevel="0" collapsed="false">
      <c r="A22" s="7" t="s">
        <v>137</v>
      </c>
      <c r="B22" s="16" t="n">
        <v>2025</v>
      </c>
      <c r="C22" s="7" t="s">
        <v>432</v>
      </c>
      <c r="D22" s="7" t="s">
        <v>211</v>
      </c>
      <c r="E22" s="8" t="n">
        <v>406152.96</v>
      </c>
      <c r="F22" s="8" t="n">
        <v>443445.2</v>
      </c>
      <c r="G22" s="8" t="n">
        <v>37292.24</v>
      </c>
      <c r="H22" s="8" t="n">
        <v>383260.14</v>
      </c>
      <c r="I22" s="8" t="n">
        <v>408726.11</v>
      </c>
      <c r="J22" s="8" t="n">
        <v>25465.97</v>
      </c>
      <c r="K22" s="19" t="n">
        <v>173269.12</v>
      </c>
      <c r="L22" s="19" t="n">
        <v>195551.09</v>
      </c>
      <c r="M22" s="19" t="n">
        <v>0.4266</v>
      </c>
      <c r="N22" s="19" t="n">
        <v>0.441</v>
      </c>
      <c r="O22" s="8" t="n">
        <v>22892.82</v>
      </c>
      <c r="P22" s="8" t="n">
        <v>34719.09</v>
      </c>
      <c r="Q22" s="8" t="n">
        <v>11826.27</v>
      </c>
      <c r="R22" s="7" t="s">
        <v>433</v>
      </c>
    </row>
    <row r="23" customFormat="false" ht="15" hidden="false" customHeight="false" outlineLevel="0" collapsed="false">
      <c r="A23" s="7" t="s">
        <v>137</v>
      </c>
      <c r="B23" s="16" t="n">
        <v>2026</v>
      </c>
      <c r="C23" s="7" t="s">
        <v>434</v>
      </c>
      <c r="D23" s="7" t="s">
        <v>141</v>
      </c>
      <c r="E23" s="8" t="n">
        <v>109054.51</v>
      </c>
      <c r="F23" s="8" t="n">
        <v>117118.74</v>
      </c>
      <c r="G23" s="8" t="n">
        <v>8064.23</v>
      </c>
      <c r="H23" s="8" t="n">
        <v>40592.36</v>
      </c>
      <c r="I23" s="8" t="n">
        <v>40592.36</v>
      </c>
      <c r="J23" s="8" t="n">
        <v>0</v>
      </c>
      <c r="K23" s="19" t="n">
        <v>83699.31</v>
      </c>
      <c r="L23" s="19" t="n">
        <v>91763.54</v>
      </c>
      <c r="M23" s="19" t="n">
        <v>0.7675</v>
      </c>
      <c r="N23" s="19" t="n">
        <v>0.7835</v>
      </c>
      <c r="O23" s="8" t="n">
        <v>68462.15</v>
      </c>
      <c r="P23" s="8" t="n">
        <v>76526.38</v>
      </c>
      <c r="Q23" s="8" t="n">
        <v>8064.23</v>
      </c>
      <c r="R23" s="7" t="s">
        <v>433</v>
      </c>
    </row>
    <row r="24" customFormat="false" ht="15" hidden="false" customHeight="false" outlineLevel="0" collapsed="false">
      <c r="A24" s="7" t="s">
        <v>137</v>
      </c>
      <c r="B24" s="16" t="n">
        <v>2026</v>
      </c>
      <c r="C24" s="7" t="s">
        <v>434</v>
      </c>
      <c r="D24" s="7" t="s">
        <v>136</v>
      </c>
      <c r="E24" s="8" t="n">
        <v>0</v>
      </c>
      <c r="F24" s="8" t="n">
        <v>11265.6</v>
      </c>
      <c r="G24" s="8" t="n">
        <v>11265.6</v>
      </c>
      <c r="H24" s="8" t="n">
        <v>30800.4</v>
      </c>
      <c r="I24" s="8" t="n">
        <v>30800.4</v>
      </c>
      <c r="J24" s="8" t="n">
        <v>0</v>
      </c>
      <c r="K24" s="19" t="n">
        <v>-30800.4</v>
      </c>
      <c r="L24" s="19" t="n">
        <v>-19534.8</v>
      </c>
      <c r="M24" s="19"/>
      <c r="N24" s="19" t="n">
        <v>-1.734</v>
      </c>
      <c r="O24" s="8" t="n">
        <v>-30800.4</v>
      </c>
      <c r="P24" s="8" t="n">
        <v>-19534.8</v>
      </c>
      <c r="Q24" s="8" t="n">
        <v>11265.6</v>
      </c>
      <c r="R24" s="7" t="s">
        <v>433</v>
      </c>
    </row>
    <row r="25" customFormat="false" ht="15" hidden="false" customHeight="false" outlineLevel="0" collapsed="false">
      <c r="A25" s="7" t="s">
        <v>137</v>
      </c>
      <c r="B25" s="16" t="n">
        <v>2026</v>
      </c>
      <c r="C25" s="7" t="s">
        <v>434</v>
      </c>
      <c r="D25" s="7" t="s">
        <v>149</v>
      </c>
      <c r="E25" s="8" t="n">
        <v>92173.75</v>
      </c>
      <c r="F25" s="8" t="n">
        <v>60106.99</v>
      </c>
      <c r="G25" s="8" t="n">
        <v>-32066.76</v>
      </c>
      <c r="H25" s="8" t="n">
        <v>98235.38</v>
      </c>
      <c r="I25" s="8" t="n">
        <v>92586.2</v>
      </c>
      <c r="J25" s="8" t="n">
        <v>-5649.18</v>
      </c>
      <c r="K25" s="19" t="n">
        <v>34160.2</v>
      </c>
      <c r="L25" s="19" t="n">
        <v>7742.62</v>
      </c>
      <c r="M25" s="19" t="n">
        <v>0.3706</v>
      </c>
      <c r="N25" s="19" t="n">
        <v>0.1288</v>
      </c>
      <c r="O25" s="8" t="n">
        <v>-6061.63</v>
      </c>
      <c r="P25" s="8" t="n">
        <v>-32479.21</v>
      </c>
      <c r="Q25" s="8" t="n">
        <v>-26417.58</v>
      </c>
      <c r="R25" s="7" t="s">
        <v>433</v>
      </c>
    </row>
    <row r="26" customFormat="false" ht="15" hidden="false" customHeight="false" outlineLevel="0" collapsed="false">
      <c r="A26" s="7" t="s">
        <v>137</v>
      </c>
      <c r="B26" s="16" t="n">
        <v>2026</v>
      </c>
      <c r="C26" s="7" t="s">
        <v>434</v>
      </c>
      <c r="D26" s="7" t="s">
        <v>153</v>
      </c>
      <c r="E26" s="8" t="n">
        <v>0</v>
      </c>
      <c r="F26" s="8" t="n">
        <v>0</v>
      </c>
      <c r="G26" s="8" t="n">
        <v>0</v>
      </c>
      <c r="H26" s="8" t="n">
        <v>55193.91</v>
      </c>
      <c r="I26" s="8" t="n">
        <v>61089.01</v>
      </c>
      <c r="J26" s="8" t="n">
        <v>5895.1</v>
      </c>
      <c r="K26" s="19" t="n">
        <v>-8595.6</v>
      </c>
      <c r="L26" s="19" t="n">
        <v>-8675.31</v>
      </c>
      <c r="M26" s="19"/>
      <c r="N26" s="19"/>
      <c r="O26" s="8" t="n">
        <v>-55193.91</v>
      </c>
      <c r="P26" s="8" t="n">
        <v>-61089.01</v>
      </c>
      <c r="Q26" s="8" t="n">
        <v>-5895.1</v>
      </c>
      <c r="R26" s="7" t="s">
        <v>433</v>
      </c>
    </row>
    <row r="27" customFormat="false" ht="15" hidden="false" customHeight="false" outlineLevel="0" collapsed="false">
      <c r="A27" s="7" t="s">
        <v>137</v>
      </c>
      <c r="B27" s="16" t="n">
        <v>2026</v>
      </c>
      <c r="C27" s="7" t="s">
        <v>434</v>
      </c>
      <c r="D27" s="7" t="s">
        <v>144</v>
      </c>
      <c r="E27" s="8" t="n">
        <v>15659.04</v>
      </c>
      <c r="F27" s="8" t="n">
        <v>19841.6</v>
      </c>
      <c r="G27" s="8" t="n">
        <v>4182.56</v>
      </c>
      <c r="H27" s="8" t="n">
        <v>44625.01</v>
      </c>
      <c r="I27" s="8" t="n">
        <v>45565.01</v>
      </c>
      <c r="J27" s="8" t="n">
        <v>940</v>
      </c>
      <c r="K27" s="19" t="n">
        <v>-19251.21</v>
      </c>
      <c r="L27" s="19" t="n">
        <v>-16008.65</v>
      </c>
      <c r="M27" s="19" t="n">
        <v>-1.2294</v>
      </c>
      <c r="N27" s="19" t="n">
        <v>-0.8068</v>
      </c>
      <c r="O27" s="8" t="n">
        <v>-28965.97</v>
      </c>
      <c r="P27" s="8" t="n">
        <v>-25723.41</v>
      </c>
      <c r="Q27" s="8" t="n">
        <v>3242.56</v>
      </c>
      <c r="R27" s="7" t="s">
        <v>433</v>
      </c>
    </row>
    <row r="28" customFormat="false" ht="15" hidden="false" customHeight="false" outlineLevel="0" collapsed="false">
      <c r="A28" s="7" t="s">
        <v>137</v>
      </c>
      <c r="B28" s="16" t="n">
        <v>2026</v>
      </c>
      <c r="C28" s="7" t="s">
        <v>434</v>
      </c>
      <c r="D28" s="7" t="s">
        <v>146</v>
      </c>
      <c r="E28" s="8" t="n">
        <v>23128.06</v>
      </c>
      <c r="F28" s="8" t="n">
        <v>25787.28</v>
      </c>
      <c r="G28" s="8" t="n">
        <v>2659.22</v>
      </c>
      <c r="H28" s="8" t="n">
        <v>14176.72</v>
      </c>
      <c r="I28" s="8" t="n">
        <v>14176.72</v>
      </c>
      <c r="J28" s="8" t="n">
        <v>0</v>
      </c>
      <c r="K28" s="19" t="n">
        <v>14485.5</v>
      </c>
      <c r="L28" s="19" t="n">
        <v>17144.72</v>
      </c>
      <c r="M28" s="19" t="n">
        <v>0.6263</v>
      </c>
      <c r="N28" s="19" t="n">
        <v>0.6649</v>
      </c>
      <c r="O28" s="8" t="n">
        <v>8951.34</v>
      </c>
      <c r="P28" s="8" t="n">
        <v>11610.56</v>
      </c>
      <c r="Q28" s="8" t="n">
        <v>2659.22</v>
      </c>
      <c r="R28" s="7" t="s">
        <v>433</v>
      </c>
    </row>
    <row r="29" customFormat="false" ht="15" hidden="false" customHeight="false" outlineLevel="0" collapsed="false">
      <c r="A29" s="7" t="s">
        <v>137</v>
      </c>
      <c r="B29" s="16" t="n">
        <v>2026</v>
      </c>
      <c r="C29" s="7" t="s">
        <v>434</v>
      </c>
      <c r="D29" s="7" t="s">
        <v>211</v>
      </c>
      <c r="E29" s="8" t="n">
        <v>240015.36</v>
      </c>
      <c r="F29" s="8" t="n">
        <v>234120.21</v>
      </c>
      <c r="G29" s="8" t="n">
        <v>-5895.15</v>
      </c>
      <c r="H29" s="8" t="n">
        <v>283623.78</v>
      </c>
      <c r="I29" s="8" t="n">
        <v>284809.7</v>
      </c>
      <c r="J29" s="8" t="n">
        <v>1185.92</v>
      </c>
      <c r="K29" s="19" t="n">
        <v>73697.8</v>
      </c>
      <c r="L29" s="19" t="n">
        <v>72432.12</v>
      </c>
      <c r="M29" s="19" t="n">
        <v>0.3071</v>
      </c>
      <c r="N29" s="19" t="n">
        <v>0.3094</v>
      </c>
      <c r="O29" s="8" t="n">
        <v>-43608.42</v>
      </c>
      <c r="P29" s="8" t="n">
        <v>-50689.49</v>
      </c>
      <c r="Q29" s="8" t="n">
        <v>-7081.07</v>
      </c>
      <c r="R29" s="7" t="s">
        <v>433</v>
      </c>
    </row>
    <row r="30" customFormat="false" ht="15" hidden="false" customHeight="false" outlineLevel="0" collapsed="false">
      <c r="A30" s="7" t="s">
        <v>137</v>
      </c>
      <c r="B30" s="16" t="n">
        <v>2026</v>
      </c>
      <c r="C30" s="7" t="s">
        <v>435</v>
      </c>
      <c r="D30" s="7" t="s">
        <v>141</v>
      </c>
      <c r="E30" s="8" t="n">
        <v>109054.51</v>
      </c>
      <c r="F30" s="8"/>
      <c r="G30" s="8"/>
      <c r="H30" s="8" t="n">
        <v>46049.42</v>
      </c>
      <c r="I30" s="8"/>
      <c r="J30" s="8"/>
      <c r="K30" s="19" t="n">
        <v>83321.31</v>
      </c>
      <c r="L30" s="19"/>
      <c r="M30" s="19" t="n">
        <v>0.764</v>
      </c>
      <c r="N30" s="19"/>
      <c r="O30" s="8" t="n">
        <v>63005.09</v>
      </c>
      <c r="P30" s="8"/>
      <c r="Q30" s="8"/>
      <c r="R30" s="7" t="s">
        <v>433</v>
      </c>
    </row>
    <row r="31" customFormat="false" ht="15" hidden="false" customHeight="false" outlineLevel="0" collapsed="false">
      <c r="A31" s="7" t="s">
        <v>137</v>
      </c>
      <c r="B31" s="16" t="n">
        <v>2026</v>
      </c>
      <c r="C31" s="7" t="s">
        <v>435</v>
      </c>
      <c r="D31" s="7" t="s">
        <v>136</v>
      </c>
      <c r="E31" s="8" t="n">
        <v>34776.19</v>
      </c>
      <c r="F31" s="8"/>
      <c r="G31" s="8"/>
      <c r="H31" s="8" t="n">
        <v>47709.45</v>
      </c>
      <c r="I31" s="8"/>
      <c r="J31" s="8"/>
      <c r="K31" s="19" t="n">
        <v>-12462.29</v>
      </c>
      <c r="L31" s="19"/>
      <c r="M31" s="19" t="n">
        <v>-0.3584</v>
      </c>
      <c r="N31" s="19"/>
      <c r="O31" s="8" t="n">
        <v>-12933.26</v>
      </c>
      <c r="P31" s="8"/>
      <c r="Q31" s="8"/>
      <c r="R31" s="7" t="s">
        <v>433</v>
      </c>
    </row>
    <row r="32" customFormat="false" ht="15" hidden="false" customHeight="false" outlineLevel="0" collapsed="false">
      <c r="A32" s="7" t="s">
        <v>137</v>
      </c>
      <c r="B32" s="16" t="n">
        <v>2026</v>
      </c>
      <c r="C32" s="7" t="s">
        <v>435</v>
      </c>
      <c r="D32" s="7" t="s">
        <v>149</v>
      </c>
      <c r="E32" s="8" t="n">
        <v>256327.13</v>
      </c>
      <c r="F32" s="8"/>
      <c r="G32" s="8"/>
      <c r="H32" s="8" t="n">
        <v>130572.61</v>
      </c>
      <c r="I32" s="8"/>
      <c r="J32" s="8"/>
      <c r="K32" s="19" t="n">
        <v>173421.85</v>
      </c>
      <c r="L32" s="19"/>
      <c r="M32" s="19" t="n">
        <v>0.6766</v>
      </c>
      <c r="N32" s="19"/>
      <c r="O32" s="8" t="n">
        <v>125754.52</v>
      </c>
      <c r="P32" s="8"/>
      <c r="Q32" s="8"/>
      <c r="R32" s="7" t="s">
        <v>433</v>
      </c>
    </row>
    <row r="33" customFormat="false" ht="15" hidden="false" customHeight="false" outlineLevel="0" collapsed="false">
      <c r="A33" s="7" t="s">
        <v>137</v>
      </c>
      <c r="B33" s="16" t="n">
        <v>2026</v>
      </c>
      <c r="C33" s="7" t="s">
        <v>435</v>
      </c>
      <c r="D33" s="7" t="s">
        <v>153</v>
      </c>
      <c r="E33" s="8" t="n">
        <v>14470</v>
      </c>
      <c r="F33" s="8"/>
      <c r="G33" s="8"/>
      <c r="H33" s="8" t="n">
        <v>87127.07</v>
      </c>
      <c r="I33" s="8"/>
      <c r="J33" s="8"/>
      <c r="K33" s="19" t="n">
        <v>974.8</v>
      </c>
      <c r="L33" s="19"/>
      <c r="M33" s="19" t="n">
        <v>0.0674</v>
      </c>
      <c r="N33" s="19"/>
      <c r="O33" s="8" t="n">
        <v>-72657.07</v>
      </c>
      <c r="P33" s="8"/>
      <c r="Q33" s="8"/>
      <c r="R33" s="7" t="s">
        <v>433</v>
      </c>
    </row>
    <row r="34" customFormat="false" ht="15" hidden="false" customHeight="false" outlineLevel="0" collapsed="false">
      <c r="A34" s="7" t="s">
        <v>137</v>
      </c>
      <c r="B34" s="16" t="n">
        <v>2026</v>
      </c>
      <c r="C34" s="7" t="s">
        <v>435</v>
      </c>
      <c r="D34" s="7" t="s">
        <v>144</v>
      </c>
      <c r="E34" s="8" t="n">
        <v>50507.65</v>
      </c>
      <c r="F34" s="8"/>
      <c r="G34" s="8"/>
      <c r="H34" s="8" t="n">
        <v>51413.01</v>
      </c>
      <c r="I34" s="8"/>
      <c r="J34" s="8"/>
      <c r="K34" s="19" t="n">
        <v>12047.65</v>
      </c>
      <c r="L34" s="19"/>
      <c r="M34" s="19" t="n">
        <v>0.2385</v>
      </c>
      <c r="N34" s="19"/>
      <c r="O34" s="8" t="n">
        <v>-905.36</v>
      </c>
      <c r="P34" s="8"/>
      <c r="Q34" s="8"/>
      <c r="R34" s="7" t="s">
        <v>433</v>
      </c>
    </row>
    <row r="35" customFormat="false" ht="15" hidden="false" customHeight="false" outlineLevel="0" collapsed="false">
      <c r="A35" s="7" t="s">
        <v>137</v>
      </c>
      <c r="B35" s="16" t="n">
        <v>2026</v>
      </c>
      <c r="C35" s="7" t="s">
        <v>435</v>
      </c>
      <c r="D35" s="7" t="s">
        <v>146</v>
      </c>
      <c r="E35" s="8" t="n">
        <v>28983.68</v>
      </c>
      <c r="F35" s="8"/>
      <c r="G35" s="8"/>
      <c r="H35" s="8" t="n">
        <v>21155.84</v>
      </c>
      <c r="I35" s="8"/>
      <c r="J35" s="8"/>
      <c r="K35" s="19" t="n">
        <v>15206.72</v>
      </c>
      <c r="L35" s="19"/>
      <c r="M35" s="19" t="n">
        <v>0.5247</v>
      </c>
      <c r="N35" s="19"/>
      <c r="O35" s="8" t="n">
        <v>7827.84</v>
      </c>
      <c r="P35" s="8"/>
      <c r="Q35" s="8"/>
      <c r="R35" s="7" t="s">
        <v>433</v>
      </c>
    </row>
    <row r="36" customFormat="false" ht="15" hidden="false" customHeight="false" outlineLevel="0" collapsed="false">
      <c r="A36" s="7" t="s">
        <v>137</v>
      </c>
      <c r="B36" s="16" t="n">
        <v>2026</v>
      </c>
      <c r="C36" s="7" t="s">
        <v>435</v>
      </c>
      <c r="D36" s="7" t="s">
        <v>211</v>
      </c>
      <c r="E36" s="8" t="n">
        <v>494119.16</v>
      </c>
      <c r="F36" s="8"/>
      <c r="G36" s="8"/>
      <c r="H36" s="8" t="n">
        <v>384027.4</v>
      </c>
      <c r="I36" s="8"/>
      <c r="J36" s="8"/>
      <c r="K36" s="19" t="n">
        <v>272510.04</v>
      </c>
      <c r="L36" s="19"/>
      <c r="M36" s="19" t="n">
        <v>0.5515</v>
      </c>
      <c r="N36" s="19"/>
      <c r="O36" s="8" t="n">
        <v>110091.76</v>
      </c>
      <c r="P36" s="8"/>
      <c r="Q36" s="8"/>
      <c r="R36" s="7" t="s">
        <v>433</v>
      </c>
    </row>
  </sheetData>
  <autoFilter ref="A1:R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1" t="s">
        <v>131</v>
      </c>
      <c r="B1" s="11" t="s">
        <v>212</v>
      </c>
      <c r="C1" s="11" t="s">
        <v>197</v>
      </c>
      <c r="D1" s="11" t="s">
        <v>199</v>
      </c>
      <c r="E1" s="11" t="s">
        <v>202</v>
      </c>
      <c r="F1" s="11" t="s">
        <v>204</v>
      </c>
      <c r="G1" s="11" t="s">
        <v>205</v>
      </c>
      <c r="H1" s="11" t="s">
        <v>207</v>
      </c>
    </row>
    <row r="2" customFormat="false" ht="15" hidden="false" customHeight="false" outlineLevel="0" collapsed="false">
      <c r="A2" s="7" t="s">
        <v>137</v>
      </c>
      <c r="B2" s="20" t="n">
        <v>44957</v>
      </c>
      <c r="C2" s="8" t="n">
        <v>54644</v>
      </c>
      <c r="D2" s="8" t="n">
        <v>1344</v>
      </c>
      <c r="E2" s="16" t="n">
        <v>13315</v>
      </c>
      <c r="F2" s="8" t="n">
        <v>5603.83</v>
      </c>
      <c r="G2" s="8" t="n">
        <v>13566.98</v>
      </c>
      <c r="H2" s="8" t="n">
        <v>20814.19</v>
      </c>
    </row>
    <row r="3" customFormat="false" ht="15" hidden="false" customHeight="false" outlineLevel="0" collapsed="false">
      <c r="A3" s="7" t="s">
        <v>137</v>
      </c>
      <c r="B3" s="20" t="n">
        <v>44985</v>
      </c>
      <c r="C3" s="8" t="n">
        <v>0</v>
      </c>
      <c r="D3" s="8" t="n">
        <v>0</v>
      </c>
      <c r="E3" s="16" t="n">
        <v>4295</v>
      </c>
      <c r="F3" s="8" t="n">
        <v>5603.81</v>
      </c>
      <c r="G3" s="8" t="n">
        <v>501.3</v>
      </c>
      <c r="H3" s="8" t="n">
        <v>-10400.11</v>
      </c>
    </row>
    <row r="4" customFormat="false" ht="15" hidden="false" customHeight="false" outlineLevel="0" collapsed="false">
      <c r="A4" s="7" t="s">
        <v>137</v>
      </c>
      <c r="B4" s="20" t="n">
        <v>45016</v>
      </c>
      <c r="C4" s="8" t="n">
        <v>0</v>
      </c>
      <c r="D4" s="8" t="n">
        <v>23232.5</v>
      </c>
      <c r="E4" s="16" t="n">
        <v>735</v>
      </c>
      <c r="F4" s="8" t="n">
        <v>5603.84</v>
      </c>
      <c r="G4" s="8" t="n">
        <v>612.53</v>
      </c>
      <c r="H4" s="8" t="n">
        <v>-30183.87</v>
      </c>
    </row>
    <row r="5" customFormat="false" ht="15" hidden="false" customHeight="false" outlineLevel="0" collapsed="false">
      <c r="A5" s="7" t="s">
        <v>137</v>
      </c>
      <c r="B5" s="20" t="n">
        <v>45046</v>
      </c>
      <c r="C5" s="8" t="n">
        <v>0</v>
      </c>
      <c r="D5" s="8" t="n">
        <v>62992.87</v>
      </c>
      <c r="E5" s="16" t="n">
        <v>1215</v>
      </c>
      <c r="F5" s="8" t="n">
        <v>5603.81</v>
      </c>
      <c r="G5" s="8" t="n">
        <v>707.77</v>
      </c>
      <c r="H5" s="8" t="n">
        <v>-70519.45</v>
      </c>
    </row>
    <row r="6" customFormat="false" ht="15" hidden="false" customHeight="false" outlineLevel="0" collapsed="false">
      <c r="A6" s="7" t="s">
        <v>137</v>
      </c>
      <c r="B6" s="20" t="n">
        <v>45077</v>
      </c>
      <c r="C6" s="8" t="n">
        <v>0</v>
      </c>
      <c r="D6" s="8" t="n">
        <v>17729.82</v>
      </c>
      <c r="E6" s="16" t="n">
        <v>735</v>
      </c>
      <c r="F6" s="8" t="n">
        <v>5603.82</v>
      </c>
      <c r="G6" s="8" t="n">
        <v>970.82</v>
      </c>
      <c r="H6" s="8" t="n">
        <v>-25039.46</v>
      </c>
    </row>
    <row r="7" customFormat="false" ht="15" hidden="false" customHeight="false" outlineLevel="0" collapsed="false">
      <c r="A7" s="7" t="s">
        <v>137</v>
      </c>
      <c r="B7" s="20" t="n">
        <v>45107</v>
      </c>
      <c r="C7" s="8" t="n">
        <v>89002.28</v>
      </c>
      <c r="D7" s="8" t="n">
        <v>20059.02</v>
      </c>
      <c r="E7" s="16" t="n">
        <v>735</v>
      </c>
      <c r="F7" s="8" t="n">
        <v>5603.8</v>
      </c>
      <c r="G7" s="8" t="n">
        <v>1215.74</v>
      </c>
      <c r="H7" s="8" t="n">
        <v>61388.72</v>
      </c>
    </row>
    <row r="8" customFormat="false" ht="15" hidden="false" customHeight="false" outlineLevel="0" collapsed="false">
      <c r="A8" s="7" t="s">
        <v>137</v>
      </c>
      <c r="B8" s="20" t="n">
        <v>45138</v>
      </c>
      <c r="C8" s="8" t="n">
        <v>6230.78</v>
      </c>
      <c r="D8" s="8" t="n">
        <v>25448.31</v>
      </c>
      <c r="E8" s="16" t="n">
        <v>735</v>
      </c>
      <c r="F8" s="8" t="n">
        <v>5603.83</v>
      </c>
      <c r="G8" s="8" t="n">
        <v>1503.85</v>
      </c>
      <c r="H8" s="8" t="n">
        <v>-27060.21</v>
      </c>
    </row>
    <row r="9" customFormat="false" ht="15" hidden="false" customHeight="false" outlineLevel="0" collapsed="false">
      <c r="A9" s="7" t="s">
        <v>137</v>
      </c>
      <c r="B9" s="20" t="n">
        <v>45169</v>
      </c>
      <c r="C9" s="8" t="n">
        <v>0</v>
      </c>
      <c r="D9" s="8" t="n">
        <v>12435.32</v>
      </c>
      <c r="E9" s="16" t="n">
        <v>735</v>
      </c>
      <c r="F9" s="8" t="n">
        <v>5603.83</v>
      </c>
      <c r="G9" s="8" t="n">
        <v>1012.87</v>
      </c>
      <c r="H9" s="8" t="n">
        <v>-19787.02</v>
      </c>
    </row>
    <row r="10" customFormat="false" ht="15" hidden="false" customHeight="false" outlineLevel="0" collapsed="false">
      <c r="A10" s="7" t="s">
        <v>137</v>
      </c>
      <c r="B10" s="20" t="n">
        <v>45199</v>
      </c>
      <c r="C10" s="8" t="n">
        <v>45628.8</v>
      </c>
      <c r="D10" s="8" t="n">
        <v>23752.78</v>
      </c>
      <c r="E10" s="16" t="n">
        <v>735</v>
      </c>
      <c r="F10" s="8" t="n">
        <v>5603.81</v>
      </c>
      <c r="G10" s="8" t="n">
        <v>1111.15</v>
      </c>
      <c r="H10" s="8" t="n">
        <v>14426.06</v>
      </c>
    </row>
    <row r="11" customFormat="false" ht="15" hidden="false" customHeight="false" outlineLevel="0" collapsed="false">
      <c r="A11" s="7" t="s">
        <v>137</v>
      </c>
      <c r="B11" s="20" t="n">
        <v>45230</v>
      </c>
      <c r="C11" s="8" t="n">
        <v>182335.53</v>
      </c>
      <c r="D11" s="8" t="n">
        <v>23817.66</v>
      </c>
      <c r="E11" s="16" t="n">
        <v>735</v>
      </c>
      <c r="F11" s="8" t="n">
        <v>5603.83</v>
      </c>
      <c r="G11" s="8" t="n">
        <v>989.48</v>
      </c>
      <c r="H11" s="8" t="n">
        <v>151189.56</v>
      </c>
    </row>
    <row r="12" customFormat="false" ht="15" hidden="false" customHeight="false" outlineLevel="0" collapsed="false">
      <c r="A12" s="7" t="s">
        <v>137</v>
      </c>
      <c r="B12" s="20" t="n">
        <v>45260</v>
      </c>
      <c r="C12" s="8" t="n">
        <v>30417.81</v>
      </c>
      <c r="D12" s="8" t="n">
        <v>20051.47</v>
      </c>
      <c r="E12" s="16" t="n">
        <v>735</v>
      </c>
      <c r="F12" s="8" t="n">
        <v>5603.81</v>
      </c>
      <c r="G12" s="8" t="n">
        <v>606.49</v>
      </c>
      <c r="H12" s="8" t="n">
        <v>3421.04</v>
      </c>
    </row>
    <row r="13" customFormat="false" ht="15" hidden="false" customHeight="false" outlineLevel="0" collapsed="false">
      <c r="A13" s="7" t="s">
        <v>137</v>
      </c>
      <c r="B13" s="20" t="n">
        <v>45291</v>
      </c>
      <c r="C13" s="8" t="n">
        <v>41289.6</v>
      </c>
      <c r="D13" s="8" t="n">
        <v>5702.4</v>
      </c>
      <c r="E13" s="16" t="n">
        <v>8106</v>
      </c>
      <c r="F13" s="8" t="n">
        <v>5603.83</v>
      </c>
      <c r="G13" s="8" t="n">
        <v>15825.59</v>
      </c>
      <c r="H13" s="8" t="n">
        <v>6051.78</v>
      </c>
    </row>
    <row r="14" customFormat="false" ht="15" hidden="false" customHeight="false" outlineLevel="0" collapsed="false">
      <c r="A14" s="7" t="s">
        <v>137</v>
      </c>
      <c r="B14" s="20" t="n">
        <v>45322</v>
      </c>
      <c r="C14" s="8" t="n">
        <v>0</v>
      </c>
      <c r="D14" s="8" t="n">
        <v>1384.32</v>
      </c>
      <c r="E14" s="16" t="n">
        <v>14225</v>
      </c>
      <c r="F14" s="8" t="n">
        <v>5603.81</v>
      </c>
      <c r="G14" s="8" t="n">
        <v>11597.17</v>
      </c>
      <c r="H14" s="8" t="n">
        <v>-32810.3</v>
      </c>
    </row>
    <row r="15" customFormat="false" ht="15" hidden="false" customHeight="false" outlineLevel="0" collapsed="false">
      <c r="A15" s="7" t="s">
        <v>137</v>
      </c>
      <c r="B15" s="20" t="n">
        <v>45351</v>
      </c>
      <c r="C15" s="8" t="n">
        <v>0</v>
      </c>
      <c r="D15" s="8" t="n">
        <v>0</v>
      </c>
      <c r="E15" s="16" t="n">
        <v>4445</v>
      </c>
      <c r="F15" s="8" t="n">
        <v>5603.82</v>
      </c>
      <c r="G15" s="8" t="n">
        <v>619.34</v>
      </c>
      <c r="H15" s="8" t="n">
        <v>-10668.16</v>
      </c>
    </row>
    <row r="16" customFormat="false" ht="15" hidden="false" customHeight="false" outlineLevel="0" collapsed="false">
      <c r="A16" s="7" t="s">
        <v>137</v>
      </c>
      <c r="B16" s="20" t="n">
        <v>45382</v>
      </c>
      <c r="C16" s="8" t="n">
        <v>53727.07</v>
      </c>
      <c r="D16" s="8" t="n">
        <v>12321.12</v>
      </c>
      <c r="E16" s="16" t="n">
        <v>735</v>
      </c>
      <c r="F16" s="8" t="n">
        <v>5603.81</v>
      </c>
      <c r="G16" s="8" t="n">
        <v>654.32</v>
      </c>
      <c r="H16" s="8" t="n">
        <v>34412.82</v>
      </c>
    </row>
    <row r="17" customFormat="false" ht="15" hidden="false" customHeight="false" outlineLevel="0" collapsed="false">
      <c r="A17" s="7" t="s">
        <v>137</v>
      </c>
      <c r="B17" s="20" t="n">
        <v>45412</v>
      </c>
      <c r="C17" s="8" t="n">
        <v>0</v>
      </c>
      <c r="D17" s="8" t="n">
        <v>10098.18</v>
      </c>
      <c r="E17" s="16" t="n">
        <v>1215</v>
      </c>
      <c r="F17" s="8" t="n">
        <v>5603.83</v>
      </c>
      <c r="G17" s="8" t="n">
        <v>351.99</v>
      </c>
      <c r="H17" s="8" t="n">
        <v>-17269</v>
      </c>
    </row>
    <row r="18" customFormat="false" ht="15" hidden="false" customHeight="false" outlineLevel="0" collapsed="false">
      <c r="A18" s="7" t="s">
        <v>137</v>
      </c>
      <c r="B18" s="20" t="n">
        <v>45443</v>
      </c>
      <c r="C18" s="8" t="n">
        <v>38378.93</v>
      </c>
      <c r="D18" s="8" t="n">
        <v>42351.56</v>
      </c>
      <c r="E18" s="16" t="n">
        <v>735</v>
      </c>
      <c r="F18" s="8" t="n">
        <v>5603.82</v>
      </c>
      <c r="G18" s="8" t="n">
        <v>433.27</v>
      </c>
      <c r="H18" s="8" t="n">
        <v>-10744.72</v>
      </c>
    </row>
    <row r="19" customFormat="false" ht="15" hidden="false" customHeight="false" outlineLevel="0" collapsed="false">
      <c r="A19" s="7" t="s">
        <v>137</v>
      </c>
      <c r="B19" s="20" t="n">
        <v>45473</v>
      </c>
      <c r="C19" s="8" t="n">
        <v>61044</v>
      </c>
      <c r="D19" s="8" t="n">
        <v>22119.8</v>
      </c>
      <c r="E19" s="16" t="n">
        <v>735</v>
      </c>
      <c r="F19" s="8" t="n">
        <v>5603.81</v>
      </c>
      <c r="G19" s="8" t="n">
        <v>458.59</v>
      </c>
      <c r="H19" s="8" t="n">
        <v>32126.8</v>
      </c>
    </row>
    <row r="20" customFormat="false" ht="15" hidden="false" customHeight="false" outlineLevel="0" collapsed="false">
      <c r="A20" s="7" t="s">
        <v>137</v>
      </c>
      <c r="B20" s="20" t="n">
        <v>45504</v>
      </c>
      <c r="C20" s="8" t="n">
        <v>34588.51</v>
      </c>
      <c r="D20" s="8" t="n">
        <v>23213.04</v>
      </c>
      <c r="E20" s="16" t="n">
        <v>735</v>
      </c>
      <c r="F20" s="8" t="n">
        <v>5603.83</v>
      </c>
      <c r="G20" s="8" t="n">
        <v>563.56</v>
      </c>
      <c r="H20" s="8" t="n">
        <v>4473.08</v>
      </c>
    </row>
    <row r="21" customFormat="false" ht="15" hidden="false" customHeight="false" outlineLevel="0" collapsed="false">
      <c r="A21" s="7" t="s">
        <v>137</v>
      </c>
      <c r="B21" s="20" t="n">
        <v>45535</v>
      </c>
      <c r="C21" s="8" t="n">
        <v>0</v>
      </c>
      <c r="D21" s="8" t="n">
        <v>8832</v>
      </c>
      <c r="E21" s="16" t="n">
        <v>735</v>
      </c>
      <c r="F21" s="8" t="n">
        <v>6132.99</v>
      </c>
      <c r="G21" s="8" t="n">
        <v>369.19</v>
      </c>
      <c r="H21" s="8" t="n">
        <v>-16069.18</v>
      </c>
    </row>
    <row r="22" customFormat="false" ht="15" hidden="false" customHeight="false" outlineLevel="0" collapsed="false">
      <c r="A22" s="7" t="s">
        <v>137</v>
      </c>
      <c r="B22" s="20" t="n">
        <v>45565</v>
      </c>
      <c r="C22" s="8" t="n">
        <v>0</v>
      </c>
      <c r="D22" s="8" t="n">
        <v>19524.72</v>
      </c>
      <c r="E22" s="16" t="n">
        <v>735</v>
      </c>
      <c r="F22" s="8" t="n">
        <v>6132.99</v>
      </c>
      <c r="G22" s="8" t="n">
        <v>940.51</v>
      </c>
      <c r="H22" s="8" t="n">
        <v>-17833.22</v>
      </c>
    </row>
    <row r="23" customFormat="false" ht="15" hidden="false" customHeight="false" outlineLevel="0" collapsed="false">
      <c r="A23" s="7" t="s">
        <v>137</v>
      </c>
      <c r="B23" s="20" t="n">
        <v>45596</v>
      </c>
      <c r="C23" s="8" t="n">
        <v>191430.65</v>
      </c>
      <c r="D23" s="8" t="n">
        <v>27010.23</v>
      </c>
      <c r="E23" s="16" t="n">
        <v>735</v>
      </c>
      <c r="F23" s="8" t="n">
        <v>6132.98</v>
      </c>
      <c r="G23" s="8" t="n">
        <v>949.09</v>
      </c>
      <c r="H23" s="8" t="n">
        <v>156603.35</v>
      </c>
    </row>
    <row r="24" customFormat="false" ht="15" hidden="false" customHeight="false" outlineLevel="0" collapsed="false">
      <c r="A24" s="7" t="s">
        <v>137</v>
      </c>
      <c r="B24" s="20" t="n">
        <v>45626</v>
      </c>
      <c r="C24" s="8" t="n">
        <v>38572.54</v>
      </c>
      <c r="D24" s="8" t="n">
        <v>20739.35</v>
      </c>
      <c r="E24" s="16" t="n">
        <v>735</v>
      </c>
      <c r="F24" s="8" t="n">
        <v>6132.99</v>
      </c>
      <c r="G24" s="8" t="n">
        <v>551.48</v>
      </c>
      <c r="H24" s="8" t="n">
        <v>10413.72</v>
      </c>
    </row>
    <row r="25" customFormat="false" ht="15" hidden="false" customHeight="false" outlineLevel="0" collapsed="false">
      <c r="A25" s="7" t="s">
        <v>137</v>
      </c>
      <c r="B25" s="20" t="n">
        <v>45657</v>
      </c>
      <c r="C25" s="8" t="n">
        <v>37105.73</v>
      </c>
      <c r="D25" s="8" t="n">
        <v>5829.12</v>
      </c>
      <c r="E25" s="16" t="n">
        <v>8356.23</v>
      </c>
      <c r="F25" s="8" t="n">
        <v>6132.96</v>
      </c>
      <c r="G25" s="8" t="n">
        <v>15505.16</v>
      </c>
      <c r="H25" s="8" t="n">
        <v>1282.26</v>
      </c>
    </row>
    <row r="26" customFormat="false" ht="15" hidden="false" customHeight="false" outlineLevel="0" collapsed="false">
      <c r="A26" s="7" t="s">
        <v>137</v>
      </c>
      <c r="B26" s="20" t="n">
        <v>45688</v>
      </c>
      <c r="C26" s="8" t="n">
        <v>54367.43</v>
      </c>
      <c r="D26" s="8" t="n">
        <v>1424.64</v>
      </c>
      <c r="E26" s="16" t="n">
        <v>19210</v>
      </c>
      <c r="F26" s="8" t="n">
        <v>6133</v>
      </c>
      <c r="G26" s="8" t="n">
        <v>10115.74</v>
      </c>
      <c r="H26" s="8" t="n">
        <v>17484.05</v>
      </c>
    </row>
    <row r="27" customFormat="false" ht="15" hidden="false" customHeight="false" outlineLevel="0" collapsed="false">
      <c r="A27" s="7" t="s">
        <v>137</v>
      </c>
      <c r="B27" s="20" t="n">
        <v>45716</v>
      </c>
      <c r="C27" s="8" t="n">
        <v>0</v>
      </c>
      <c r="D27" s="8" t="n">
        <v>0</v>
      </c>
      <c r="E27" s="16" t="n">
        <v>4595</v>
      </c>
      <c r="F27" s="8" t="n">
        <v>6132.99</v>
      </c>
      <c r="G27" s="8" t="n">
        <v>440.68</v>
      </c>
      <c r="H27" s="8" t="n">
        <v>-11168.67</v>
      </c>
    </row>
    <row r="28" customFormat="false" ht="15" hidden="false" customHeight="false" outlineLevel="0" collapsed="false">
      <c r="A28" s="7" t="s">
        <v>137</v>
      </c>
      <c r="B28" s="20" t="n">
        <v>45747</v>
      </c>
      <c r="C28" s="8" t="n">
        <v>0</v>
      </c>
      <c r="D28" s="8" t="n">
        <v>13976.24</v>
      </c>
      <c r="E28" s="16" t="n">
        <v>735</v>
      </c>
      <c r="F28" s="8" t="n">
        <v>6414.23</v>
      </c>
      <c r="G28" s="8" t="n">
        <v>645.41</v>
      </c>
      <c r="H28" s="8" t="n">
        <v>-13548.66</v>
      </c>
    </row>
    <row r="29" customFormat="false" ht="15" hidden="false" customHeight="false" outlineLevel="0" collapsed="false">
      <c r="A29" s="7" t="s">
        <v>137</v>
      </c>
      <c r="B29" s="20" t="n">
        <v>45777</v>
      </c>
      <c r="C29" s="8" t="n">
        <v>0</v>
      </c>
      <c r="D29" s="8" t="n">
        <v>48524.24</v>
      </c>
      <c r="E29" s="16" t="n">
        <v>1215</v>
      </c>
      <c r="F29" s="8" t="n">
        <v>6414.25</v>
      </c>
      <c r="G29" s="8" t="n">
        <v>789.54</v>
      </c>
      <c r="H29" s="8" t="n">
        <v>-56943.03</v>
      </c>
    </row>
    <row r="30" customFormat="false" ht="15" hidden="false" customHeight="false" outlineLevel="0" collapsed="false">
      <c r="A30" s="7" t="s">
        <v>137</v>
      </c>
      <c r="B30" s="20" t="n">
        <v>45808</v>
      </c>
      <c r="C30" s="8" t="n">
        <v>0</v>
      </c>
      <c r="D30" s="8" t="n">
        <v>26342.1</v>
      </c>
      <c r="E30" s="16" t="n">
        <v>735</v>
      </c>
      <c r="F30" s="8" t="n">
        <v>6414.23</v>
      </c>
      <c r="G30" s="8" t="n">
        <v>962.26</v>
      </c>
      <c r="H30" s="8" t="n">
        <v>-34453.59</v>
      </c>
    </row>
    <row r="31" customFormat="false" ht="15" hidden="false" customHeight="false" outlineLevel="0" collapsed="false">
      <c r="A31" s="7" t="s">
        <v>137</v>
      </c>
      <c r="B31" s="20" t="n">
        <v>45838</v>
      </c>
      <c r="C31" s="8" t="n">
        <v>87203.52</v>
      </c>
      <c r="D31" s="8" t="n">
        <v>23645.12</v>
      </c>
      <c r="E31" s="16" t="n">
        <v>735</v>
      </c>
      <c r="F31" s="8" t="n">
        <v>6414.24</v>
      </c>
      <c r="G31" s="8" t="n">
        <v>1110.22</v>
      </c>
      <c r="H31" s="8" t="n">
        <v>55298.94</v>
      </c>
    </row>
    <row r="32" customFormat="false" ht="15" hidden="false" customHeight="false" outlineLevel="0" collapsed="false">
      <c r="A32" s="7" t="s">
        <v>137</v>
      </c>
      <c r="B32" s="20" t="n">
        <v>45869</v>
      </c>
      <c r="C32" s="8" t="n">
        <v>14774.4</v>
      </c>
      <c r="D32" s="8" t="n">
        <v>26037.76</v>
      </c>
      <c r="E32" s="16" t="n">
        <v>735</v>
      </c>
      <c r="F32" s="8" t="n">
        <v>6414.22</v>
      </c>
      <c r="G32" s="8" t="n">
        <v>1360.6</v>
      </c>
      <c r="H32" s="8" t="n">
        <v>-19773.18</v>
      </c>
    </row>
    <row r="33" customFormat="false" ht="15" hidden="false" customHeight="false" outlineLevel="0" collapsed="false">
      <c r="A33" s="7" t="s">
        <v>137</v>
      </c>
      <c r="B33" s="20" t="n">
        <v>45900</v>
      </c>
      <c r="C33" s="8" t="n">
        <v>0</v>
      </c>
      <c r="D33" s="8" t="n">
        <v>16038.68</v>
      </c>
      <c r="E33" s="16" t="n">
        <v>735</v>
      </c>
      <c r="F33" s="8" t="n">
        <v>6414.25</v>
      </c>
      <c r="G33" s="8" t="n">
        <v>954.45</v>
      </c>
      <c r="H33" s="8" t="n">
        <v>-24142.38</v>
      </c>
    </row>
    <row r="34" customFormat="false" ht="15" hidden="false" customHeight="false" outlineLevel="0" collapsed="false">
      <c r="A34" s="7" t="s">
        <v>137</v>
      </c>
      <c r="B34" s="20" t="n">
        <v>45930</v>
      </c>
      <c r="C34" s="8" t="n">
        <v>0</v>
      </c>
      <c r="D34" s="8" t="n">
        <v>20463.86</v>
      </c>
      <c r="E34" s="16" t="n">
        <v>735</v>
      </c>
      <c r="F34" s="8" t="n">
        <v>6414.22</v>
      </c>
      <c r="G34" s="8" t="n">
        <v>1028.79</v>
      </c>
      <c r="H34" s="8" t="n">
        <v>-28641.87</v>
      </c>
    </row>
    <row r="35" customFormat="false" ht="15" hidden="false" customHeight="false" outlineLevel="0" collapsed="false">
      <c r="A35" s="7" t="s">
        <v>137</v>
      </c>
      <c r="B35" s="20" t="n">
        <v>45961</v>
      </c>
      <c r="C35" s="8" t="n">
        <v>173513.98</v>
      </c>
      <c r="D35" s="8" t="n">
        <v>32096.75</v>
      </c>
      <c r="E35" s="16" t="n">
        <v>735</v>
      </c>
      <c r="F35" s="8" t="n">
        <v>6414.25</v>
      </c>
      <c r="G35" s="8" t="n">
        <v>1158.9</v>
      </c>
      <c r="H35" s="8" t="n">
        <v>133109.08</v>
      </c>
    </row>
    <row r="36" customFormat="false" ht="15" hidden="false" customHeight="false" outlineLevel="0" collapsed="false">
      <c r="A36" s="7" t="s">
        <v>137</v>
      </c>
      <c r="B36" s="20" t="n">
        <v>45991</v>
      </c>
      <c r="C36" s="8" t="n">
        <v>42117.25</v>
      </c>
      <c r="D36" s="8" t="n">
        <v>18336.37</v>
      </c>
      <c r="E36" s="16" t="n">
        <v>735</v>
      </c>
      <c r="F36" s="8" t="n">
        <v>6414.24</v>
      </c>
      <c r="G36" s="8" t="n">
        <v>973.72</v>
      </c>
      <c r="H36" s="8" t="n">
        <v>15657.92</v>
      </c>
    </row>
    <row r="37" customFormat="false" ht="15" hidden="false" customHeight="false" outlineLevel="0" collapsed="false">
      <c r="A37" s="7" t="s">
        <v>137</v>
      </c>
      <c r="B37" s="20" t="n">
        <v>46022</v>
      </c>
      <c r="C37" s="8" t="n">
        <v>34176.38</v>
      </c>
      <c r="D37" s="8" t="n">
        <v>5998.08</v>
      </c>
      <c r="E37" s="16" t="n">
        <v>8615.15</v>
      </c>
      <c r="F37" s="8" t="n">
        <v>6414.22</v>
      </c>
      <c r="G37" s="8" t="n">
        <v>14912.5</v>
      </c>
      <c r="H37" s="8" t="n">
        <v>-1763.57</v>
      </c>
    </row>
    <row r="38" customFormat="false" ht="15" hidden="false" customHeight="false" outlineLevel="0" collapsed="false">
      <c r="A38" s="7" t="s">
        <v>137</v>
      </c>
      <c r="B38" s="20" t="n">
        <v>46053</v>
      </c>
      <c r="C38" s="8" t="n">
        <v>15659.04</v>
      </c>
      <c r="D38" s="8" t="n">
        <v>1464.96</v>
      </c>
      <c r="E38" s="16" t="n">
        <v>20310</v>
      </c>
      <c r="F38" s="8" t="n">
        <v>6414.25</v>
      </c>
      <c r="G38" s="8" t="n">
        <v>8609.34</v>
      </c>
      <c r="H38" s="8" t="n">
        <v>-21139.51</v>
      </c>
    </row>
    <row r="39" customFormat="false" ht="15" hidden="false" customHeight="false" outlineLevel="0" collapsed="false">
      <c r="A39" s="7" t="s">
        <v>137</v>
      </c>
      <c r="B39" s="20" t="n">
        <v>46081</v>
      </c>
      <c r="C39" s="8" t="n">
        <v>40295.3</v>
      </c>
      <c r="D39" s="8" t="n">
        <v>0</v>
      </c>
      <c r="E39" s="16" t="n">
        <v>4745</v>
      </c>
      <c r="F39" s="8" t="n">
        <v>6414.23</v>
      </c>
      <c r="G39" s="8" t="n">
        <v>849.71</v>
      </c>
      <c r="H39" s="8" t="n">
        <v>28286.36</v>
      </c>
    </row>
    <row r="40" customFormat="false" ht="15" hidden="false" customHeight="false" outlineLevel="0" collapsed="false">
      <c r="A40" s="7" t="s">
        <v>137</v>
      </c>
      <c r="B40" s="20" t="n">
        <v>46112</v>
      </c>
      <c r="C40" s="8" t="n">
        <v>10134.72</v>
      </c>
      <c r="D40" s="8" t="n">
        <v>14083.36</v>
      </c>
      <c r="E40" s="16" t="n">
        <v>735</v>
      </c>
      <c r="F40" s="8" t="n">
        <v>6414.25</v>
      </c>
      <c r="G40" s="8" t="n">
        <v>13207.44</v>
      </c>
      <c r="H40" s="8" t="n">
        <v>-24305.33</v>
      </c>
    </row>
    <row r="41" customFormat="false" ht="15" hidden="false" customHeight="false" outlineLevel="0" collapsed="false">
      <c r="A41" s="7" t="s">
        <v>137</v>
      </c>
      <c r="B41" s="20" t="n">
        <v>46142</v>
      </c>
      <c r="C41" s="8" t="n">
        <v>34537.61</v>
      </c>
      <c r="D41" s="8" t="n">
        <v>40207.73</v>
      </c>
      <c r="E41" s="16" t="n">
        <v>1215</v>
      </c>
      <c r="F41" s="8" t="n">
        <v>6414.22</v>
      </c>
      <c r="G41" s="8" t="n">
        <v>859.16</v>
      </c>
      <c r="H41" s="8" t="n">
        <v>-14158.5</v>
      </c>
    </row>
    <row r="42" customFormat="false" ht="15" hidden="false" customHeight="false" outlineLevel="0" collapsed="false">
      <c r="A42" s="7" t="s">
        <v>137</v>
      </c>
      <c r="B42" s="20" t="n">
        <v>46173</v>
      </c>
      <c r="C42" s="8" t="n">
        <v>0</v>
      </c>
      <c r="D42" s="8" t="n">
        <v>28028.67</v>
      </c>
      <c r="E42" s="16" t="n">
        <v>735</v>
      </c>
      <c r="F42" s="8" t="n">
        <v>6414.24</v>
      </c>
      <c r="G42" s="8" t="n">
        <v>878.22</v>
      </c>
      <c r="H42" s="8" t="n">
        <v>-36056.13</v>
      </c>
    </row>
    <row r="43" customFormat="false" ht="15" hidden="false" customHeight="false" outlineLevel="0" collapsed="false">
      <c r="A43" s="7" t="s">
        <v>137</v>
      </c>
      <c r="B43" s="20" t="n">
        <v>46203</v>
      </c>
      <c r="C43" s="8" t="n">
        <v>51706.31</v>
      </c>
      <c r="D43" s="8" t="n">
        <v>24075.9</v>
      </c>
      <c r="E43" s="16" t="n">
        <v>735</v>
      </c>
      <c r="F43" s="8" t="n">
        <v>6414.22</v>
      </c>
      <c r="G43" s="8" t="n">
        <v>1047.97</v>
      </c>
      <c r="H43" s="8" t="n">
        <v>19433.22</v>
      </c>
    </row>
    <row r="44" customFormat="false" ht="15" hidden="false" customHeight="false" outlineLevel="0" collapsed="false">
      <c r="A44" s="7" t="s">
        <v>137</v>
      </c>
      <c r="B44" s="20" t="n">
        <v>46234</v>
      </c>
      <c r="C44" s="8" t="n">
        <v>53460.78</v>
      </c>
      <c r="D44" s="8" t="n">
        <v>24839.49</v>
      </c>
      <c r="E44" s="16" t="n">
        <v>735</v>
      </c>
      <c r="F44" s="8" t="n">
        <v>6414.25</v>
      </c>
      <c r="G44" s="8" t="n">
        <v>1304.3</v>
      </c>
      <c r="H44" s="8" t="n">
        <v>20167.74</v>
      </c>
    </row>
    <row r="45" customFormat="false" ht="15" hidden="false" customHeight="false" outlineLevel="0" collapsed="false">
      <c r="A45" s="7" t="s">
        <v>137</v>
      </c>
      <c r="B45" s="20" t="n">
        <v>46265</v>
      </c>
      <c r="C45" s="8" t="n">
        <v>0</v>
      </c>
      <c r="D45" s="8" t="n">
        <v>9185.34</v>
      </c>
      <c r="E45" s="16" t="n">
        <v>735</v>
      </c>
      <c r="F45" s="8" t="n">
        <v>6414.25</v>
      </c>
      <c r="G45" s="8" t="n">
        <v>1157.12</v>
      </c>
      <c r="H45" s="8" t="n">
        <v>-17491.71</v>
      </c>
    </row>
    <row r="46" customFormat="false" ht="15" hidden="false" customHeight="false" outlineLevel="0" collapsed="false">
      <c r="A46" s="7" t="s">
        <v>137</v>
      </c>
      <c r="B46" s="20" t="n">
        <v>46295</v>
      </c>
      <c r="C46" s="8" t="n">
        <v>34221.6</v>
      </c>
      <c r="D46" s="8" t="n">
        <v>24432.11</v>
      </c>
      <c r="E46" s="16" t="n">
        <v>735</v>
      </c>
      <c r="F46" s="8" t="n">
        <v>6414.22</v>
      </c>
      <c r="G46" s="8" t="n">
        <v>984.83</v>
      </c>
      <c r="H46" s="8" t="n">
        <v>1655.44</v>
      </c>
    </row>
    <row r="47" customFormat="false" ht="15" hidden="false" customHeight="false" outlineLevel="0" collapsed="false">
      <c r="A47" s="7" t="s">
        <v>137</v>
      </c>
      <c r="B47" s="20" t="n">
        <v>46326</v>
      </c>
      <c r="C47" s="8" t="n">
        <v>213471.99</v>
      </c>
      <c r="D47" s="8" t="n">
        <v>29502.02</v>
      </c>
      <c r="E47" s="16" t="n">
        <v>735</v>
      </c>
      <c r="F47" s="8" t="n">
        <v>6414.25</v>
      </c>
      <c r="G47" s="8" t="n">
        <v>975.78</v>
      </c>
      <c r="H47" s="8" t="n">
        <v>175844.94</v>
      </c>
    </row>
    <row r="48" customFormat="false" ht="15" hidden="false" customHeight="false" outlineLevel="0" collapsed="false">
      <c r="A48" s="7" t="s">
        <v>137</v>
      </c>
      <c r="B48" s="20" t="n">
        <v>46356</v>
      </c>
      <c r="C48" s="8" t="n">
        <v>0</v>
      </c>
      <c r="D48" s="8" t="n">
        <v>19664.74</v>
      </c>
      <c r="E48" s="16" t="n">
        <v>735</v>
      </c>
      <c r="F48" s="8" t="n">
        <v>6414.23</v>
      </c>
      <c r="G48" s="8" t="n">
        <v>732.83</v>
      </c>
      <c r="H48" s="8" t="n">
        <v>-27546.8</v>
      </c>
    </row>
    <row r="49" customFormat="false" ht="15" hidden="false" customHeight="false" outlineLevel="0" collapsed="false">
      <c r="A49" s="7" t="s">
        <v>137</v>
      </c>
      <c r="B49" s="20" t="n">
        <v>46387</v>
      </c>
      <c r="C49" s="8" t="n">
        <v>40631.81</v>
      </c>
      <c r="D49" s="8" t="n">
        <v>6124.8</v>
      </c>
      <c r="E49" s="16" t="n">
        <v>8883.07</v>
      </c>
      <c r="F49" s="8" t="n">
        <v>6414.24</v>
      </c>
      <c r="G49" s="8" t="n">
        <v>13807.66</v>
      </c>
      <c r="H49" s="8" t="n">
        <v>5402.04</v>
      </c>
    </row>
  </sheetData>
  <autoFilter ref="A1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9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47"/>
    <col collapsed="false" customWidth="true" hidden="false" outlineLevel="0" max="18" min="17" style="0" width="29"/>
    <col collapsed="false" customWidth="true" hidden="false" outlineLevel="0" max="19" min="19" style="0" width="31"/>
    <col collapsed="false" customWidth="true" hidden="false" outlineLevel="0" max="20" min="20" style="0" width="36"/>
    <col collapsed="false" customWidth="true" hidden="false" outlineLevel="0" max="21" min="21" style="0" width="35"/>
    <col collapsed="false" customWidth="true" hidden="false" outlineLevel="0" max="22" min="22" style="0" width="16"/>
    <col collapsed="false" customWidth="true" hidden="false" outlineLevel="0" max="23" min="23" style="0" width="47"/>
    <col collapsed="false" customWidth="true" hidden="false" outlineLevel="0" max="24" min="24" style="0" width="12"/>
    <col collapsed="false" customWidth="true" hidden="false" outlineLevel="0" max="25" min="25" style="0" width="28"/>
    <col collapsed="false" customWidth="true" hidden="false" outlineLevel="0" max="26" min="26" style="0" width="24"/>
    <col collapsed="false" customWidth="true" hidden="false" outlineLevel="0" max="27" min="27" style="0" width="26"/>
    <col collapsed="false" customWidth="true" hidden="false" outlineLevel="0" max="28" min="28" style="0" width="15"/>
    <col collapsed="false" customWidth="true" hidden="false" outlineLevel="0" max="29" min="29" style="0" width="39"/>
    <col collapsed="false" customWidth="true" hidden="false" outlineLevel="0" max="30" min="30" style="0" width="14"/>
    <col collapsed="false" customWidth="true" hidden="false" outlineLevel="0" max="32" min="31" style="0" width="29"/>
    <col collapsed="false" customWidth="true" hidden="false" outlineLevel="0" max="34" min="33" style="0" width="28"/>
    <col collapsed="false" customWidth="true" hidden="false" outlineLevel="0" max="35" min="35" style="0" width="34"/>
    <col collapsed="false" customWidth="true" hidden="false" outlineLevel="0" max="36" min="36" style="0" width="24"/>
    <col collapsed="false" customWidth="true" hidden="false" outlineLevel="0" max="37" min="37" style="0" width="33"/>
    <col collapsed="false" customWidth="true" hidden="false" outlineLevel="0" max="38" min="38" style="0" width="25"/>
    <col collapsed="false" customWidth="true" hidden="false" outlineLevel="0" max="39" min="39" style="0" width="30"/>
    <col collapsed="false" customWidth="true" hidden="false" outlineLevel="0" max="40" min="40" style="0" width="23"/>
    <col collapsed="false" customWidth="true" hidden="false" outlineLevel="0" max="41" min="41" style="0" width="24"/>
    <col collapsed="false" customWidth="true" hidden="false" outlineLevel="0" max="42" min="42" style="0" width="13"/>
    <col collapsed="false" customWidth="true" hidden="false" outlineLevel="0" max="43" min="43" style="0" width="24"/>
  </cols>
  <sheetData>
    <row r="1" customFormat="false" ht="15" hidden="false" customHeight="false" outlineLevel="0" collapsed="false">
      <c r="A1" s="10" t="s">
        <v>436</v>
      </c>
    </row>
    <row r="2" customFormat="false" ht="23.85" hidden="false" customHeight="false" outlineLevel="0" collapsed="false">
      <c r="A2" s="11" t="s">
        <v>131</v>
      </c>
      <c r="B2" s="11" t="s">
        <v>437</v>
      </c>
      <c r="C2" s="11" t="s">
        <v>212</v>
      </c>
      <c r="D2" s="11" t="s">
        <v>197</v>
      </c>
      <c r="E2" s="11" t="s">
        <v>199</v>
      </c>
      <c r="F2" s="11" t="s">
        <v>200</v>
      </c>
      <c r="G2" s="11" t="s">
        <v>202</v>
      </c>
      <c r="H2" s="11" t="s">
        <v>203</v>
      </c>
      <c r="I2" s="11" t="s">
        <v>204</v>
      </c>
      <c r="J2" s="11" t="s">
        <v>205</v>
      </c>
      <c r="K2" s="11" t="s">
        <v>438</v>
      </c>
      <c r="L2" s="11" t="s">
        <v>208</v>
      </c>
      <c r="M2" s="11" t="s">
        <v>209</v>
      </c>
      <c r="N2" s="11" t="s">
        <v>382</v>
      </c>
      <c r="O2" s="11" t="s">
        <v>346</v>
      </c>
      <c r="P2" s="11" t="s">
        <v>439</v>
      </c>
      <c r="Q2" s="11" t="s">
        <v>440</v>
      </c>
      <c r="R2" s="11" t="s">
        <v>441</v>
      </c>
      <c r="S2" s="11" t="s">
        <v>442</v>
      </c>
      <c r="T2" s="11" t="s">
        <v>443</v>
      </c>
      <c r="U2" s="11" t="s">
        <v>444</v>
      </c>
      <c r="V2" s="11" t="s">
        <v>445</v>
      </c>
      <c r="W2" s="11" t="s">
        <v>446</v>
      </c>
      <c r="X2" s="11" t="s">
        <v>447</v>
      </c>
      <c r="Y2" s="11" t="s">
        <v>448</v>
      </c>
      <c r="Z2" s="11" t="s">
        <v>449</v>
      </c>
      <c r="AA2" s="11" t="s">
        <v>450</v>
      </c>
      <c r="AB2" s="11" t="s">
        <v>451</v>
      </c>
      <c r="AC2" s="11" t="s">
        <v>452</v>
      </c>
      <c r="AD2" s="11" t="s">
        <v>453</v>
      </c>
      <c r="AE2" s="11" t="s">
        <v>454</v>
      </c>
      <c r="AF2" s="11" t="s">
        <v>455</v>
      </c>
      <c r="AG2" s="11" t="s">
        <v>456</v>
      </c>
      <c r="AH2" s="11" t="s">
        <v>457</v>
      </c>
      <c r="AI2" s="11" t="s">
        <v>458</v>
      </c>
      <c r="AJ2" s="11" t="s">
        <v>459</v>
      </c>
      <c r="AK2" s="11" t="s">
        <v>460</v>
      </c>
      <c r="AL2" s="11" t="s">
        <v>461</v>
      </c>
      <c r="AM2" s="11" t="s">
        <v>462</v>
      </c>
      <c r="AN2" s="11" t="s">
        <v>463</v>
      </c>
      <c r="AO2" s="11" t="s">
        <v>464</v>
      </c>
      <c r="AP2" s="11" t="s">
        <v>377</v>
      </c>
      <c r="AQ2" s="11" t="s">
        <v>378</v>
      </c>
    </row>
    <row r="3" customFormat="false" ht="15" hidden="false" customHeight="false" outlineLevel="0" collapsed="false">
      <c r="A3" s="7" t="s">
        <v>137</v>
      </c>
      <c r="B3" s="7" t="s">
        <v>465</v>
      </c>
      <c r="C3" s="20" t="n">
        <v>46326</v>
      </c>
      <c r="D3" s="8" t="n">
        <v>207072.57</v>
      </c>
      <c r="E3" s="8" t="n">
        <v>29807.86</v>
      </c>
      <c r="F3" s="8" t="n">
        <v>177264.71</v>
      </c>
      <c r="G3" s="16" t="n">
        <v>694.51</v>
      </c>
      <c r="H3" s="8" t="n">
        <v>176570.2</v>
      </c>
      <c r="I3" s="8" t="n">
        <v>6414.25</v>
      </c>
      <c r="J3" s="8" t="n">
        <v>1687.77</v>
      </c>
      <c r="K3" s="8" t="n">
        <v>168468.18</v>
      </c>
      <c r="L3" s="8" t="n">
        <v>15753.57</v>
      </c>
      <c r="M3" s="8" t="n">
        <v>0</v>
      </c>
      <c r="N3" s="8" t="n">
        <v>184221.75</v>
      </c>
      <c r="O3" s="8" t="n">
        <v>28343.6</v>
      </c>
      <c r="P3" s="8" t="n">
        <v>4613.98</v>
      </c>
      <c r="Q3" s="8" t="n">
        <v>36449.6</v>
      </c>
      <c r="R3" s="8" t="n">
        <v>0</v>
      </c>
      <c r="S3" s="8" t="n">
        <v>0</v>
      </c>
      <c r="T3" s="8" t="n">
        <v>14470</v>
      </c>
      <c r="U3" s="8" t="n">
        <v>0</v>
      </c>
      <c r="V3" s="8" t="n">
        <v>0</v>
      </c>
      <c r="W3" s="8" t="n">
        <v>-21393.12</v>
      </c>
      <c r="X3" s="8" t="n">
        <v>-7152.45</v>
      </c>
      <c r="Y3" s="8" t="n">
        <v>0</v>
      </c>
      <c r="Z3" s="8" t="n">
        <v>0</v>
      </c>
      <c r="AA3" s="16" t="n">
        <v>0</v>
      </c>
      <c r="AB3" s="16" t="n">
        <v>0</v>
      </c>
      <c r="AC3" s="8" t="n">
        <v>0</v>
      </c>
      <c r="AD3" s="8" t="n">
        <v>0</v>
      </c>
      <c r="AE3" s="8" t="n">
        <v>0</v>
      </c>
      <c r="AF3" s="8" t="n">
        <v>-289.1</v>
      </c>
      <c r="AG3" s="8" t="n">
        <v>-1732.49</v>
      </c>
      <c r="AH3" s="8" t="n">
        <v>-1463.63</v>
      </c>
      <c r="AI3" s="8" t="n">
        <v>0</v>
      </c>
      <c r="AJ3" s="16" t="n">
        <v>-4200</v>
      </c>
      <c r="AK3" s="8" t="n">
        <v>0</v>
      </c>
      <c r="AL3" s="8" t="n">
        <v>17000</v>
      </c>
      <c r="AM3" s="8" t="n">
        <v>-36000</v>
      </c>
      <c r="AN3" s="8" t="n">
        <v>0</v>
      </c>
      <c r="AO3" s="8" t="n">
        <v>0</v>
      </c>
      <c r="AP3" s="16" t="n">
        <v>28646.39</v>
      </c>
      <c r="AQ3" s="8" t="n">
        <v>202000</v>
      </c>
    </row>
    <row r="4" customFormat="false" ht="15" hidden="false" customHeight="false" outlineLevel="0" collapsed="false">
      <c r="A4" s="7" t="s">
        <v>137</v>
      </c>
      <c r="B4" s="7" t="s">
        <v>465</v>
      </c>
      <c r="C4" s="20" t="n">
        <v>46356</v>
      </c>
      <c r="D4" s="8" t="n">
        <v>17904.97</v>
      </c>
      <c r="E4" s="8" t="n">
        <v>19857.55</v>
      </c>
      <c r="F4" s="8" t="n">
        <v>-1952.58</v>
      </c>
      <c r="G4" s="16" t="n">
        <v>746.1</v>
      </c>
      <c r="H4" s="8" t="n">
        <v>-2698.68</v>
      </c>
      <c r="I4" s="8" t="n">
        <v>6414.23</v>
      </c>
      <c r="J4" s="8" t="n">
        <v>1460.23</v>
      </c>
      <c r="K4" s="8" t="n">
        <v>-10573.14</v>
      </c>
      <c r="L4" s="8" t="n">
        <v>-33454.57</v>
      </c>
      <c r="M4" s="8" t="n">
        <v>0</v>
      </c>
      <c r="N4" s="8" t="n">
        <v>-44027.71</v>
      </c>
      <c r="O4" s="8" t="n">
        <v>28646.39</v>
      </c>
      <c r="P4" s="8" t="n">
        <v>0</v>
      </c>
      <c r="Q4" s="8" t="n">
        <v>0</v>
      </c>
      <c r="R4" s="8" t="n">
        <v>0</v>
      </c>
      <c r="S4" s="8" t="n">
        <v>61802.46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-2011.71</v>
      </c>
      <c r="Y4" s="8" t="n">
        <v>-6531.52</v>
      </c>
      <c r="Z4" s="8" t="n">
        <v>-941.76</v>
      </c>
      <c r="AA4" s="16" t="n">
        <v>0</v>
      </c>
      <c r="AB4" s="16" t="n">
        <v>0</v>
      </c>
      <c r="AC4" s="8" t="n">
        <v>-14552.71</v>
      </c>
      <c r="AD4" s="8" t="n">
        <v>0</v>
      </c>
      <c r="AE4" s="8" t="n">
        <v>0</v>
      </c>
      <c r="AF4" s="8" t="n">
        <v>-632.04</v>
      </c>
      <c r="AG4" s="8" t="n">
        <v>-1732.49</v>
      </c>
      <c r="AH4" s="8" t="n">
        <v>-1245.21</v>
      </c>
      <c r="AI4" s="8" t="n">
        <v>0</v>
      </c>
      <c r="AJ4" s="16" t="n">
        <v>-4200</v>
      </c>
      <c r="AK4" s="8" t="n">
        <v>0</v>
      </c>
      <c r="AL4" s="8" t="n">
        <v>0</v>
      </c>
      <c r="AM4" s="8" t="n">
        <v>-30000</v>
      </c>
      <c r="AN4" s="8" t="n">
        <v>0</v>
      </c>
      <c r="AO4" s="8" t="n">
        <v>0</v>
      </c>
      <c r="AP4" s="16" t="n">
        <v>28601.41</v>
      </c>
      <c r="AQ4" s="8" t="n">
        <v>172000</v>
      </c>
    </row>
    <row r="5" customFormat="false" ht="15" hidden="false" customHeight="false" outlineLevel="0" collapsed="false">
      <c r="A5" s="7" t="s">
        <v>137</v>
      </c>
      <c r="B5" s="7" t="s">
        <v>465</v>
      </c>
      <c r="C5" s="20" t="n">
        <v>46387</v>
      </c>
      <c r="D5" s="8" t="n">
        <v>47754.38</v>
      </c>
      <c r="E5" s="8" t="n">
        <v>6333.6</v>
      </c>
      <c r="F5" s="8" t="n">
        <v>41420.78</v>
      </c>
      <c r="G5" s="16" t="n">
        <v>8869.44</v>
      </c>
      <c r="H5" s="8" t="n">
        <v>32551.34</v>
      </c>
      <c r="I5" s="8" t="n">
        <v>6414.24</v>
      </c>
      <c r="J5" s="8" t="n">
        <v>15027.38</v>
      </c>
      <c r="K5" s="8" t="n">
        <v>11109.72</v>
      </c>
      <c r="L5" s="8" t="n">
        <v>-4709.93</v>
      </c>
      <c r="M5" s="8" t="n">
        <v>0</v>
      </c>
      <c r="N5" s="8" t="n">
        <v>6399.79</v>
      </c>
      <c r="O5" s="8" t="n">
        <v>28601.41</v>
      </c>
      <c r="P5" s="8" t="n">
        <v>12843.25</v>
      </c>
      <c r="Q5" s="8" t="n">
        <v>4803.84</v>
      </c>
      <c r="R5" s="8" t="n">
        <v>0</v>
      </c>
      <c r="S5" s="8" t="n">
        <v>58168.06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-121.64</v>
      </c>
      <c r="Y5" s="8" t="n">
        <v>-32450</v>
      </c>
      <c r="Z5" s="8" t="n">
        <v>0</v>
      </c>
      <c r="AA5" s="16" t="n">
        <v>0</v>
      </c>
      <c r="AB5" s="16" t="n">
        <v>0</v>
      </c>
      <c r="AC5" s="8" t="n">
        <v>-10865.62</v>
      </c>
      <c r="AD5" s="8" t="n">
        <v>0</v>
      </c>
      <c r="AE5" s="8" t="n">
        <v>-3758.55</v>
      </c>
      <c r="AF5" s="8" t="n">
        <v>-954.04</v>
      </c>
      <c r="AG5" s="8" t="n">
        <v>-33602.17</v>
      </c>
      <c r="AH5" s="8" t="n">
        <v>-1273.97</v>
      </c>
      <c r="AI5" s="8" t="n">
        <v>0</v>
      </c>
      <c r="AJ5" s="16" t="n">
        <v>-4200</v>
      </c>
      <c r="AK5" s="8" t="n">
        <v>0</v>
      </c>
      <c r="AL5" s="8" t="n">
        <v>28000</v>
      </c>
      <c r="AM5" s="8" t="n">
        <v>-17000</v>
      </c>
      <c r="AN5" s="8" t="n">
        <v>0</v>
      </c>
      <c r="AO5" s="8" t="n">
        <v>0</v>
      </c>
      <c r="AP5" s="16" t="n">
        <v>28190.57</v>
      </c>
      <c r="AQ5" s="8" t="n">
        <v>183000</v>
      </c>
    </row>
    <row r="6" customFormat="false" ht="15" hidden="false" customHeight="false" outlineLevel="0" collapsed="false">
      <c r="A6" s="7" t="s">
        <v>137</v>
      </c>
      <c r="B6" s="7" t="s">
        <v>465</v>
      </c>
      <c r="C6" s="20" t="n">
        <v>46418</v>
      </c>
      <c r="D6" s="8" t="n">
        <v>43855.98</v>
      </c>
      <c r="E6" s="8" t="n">
        <v>1505.28</v>
      </c>
      <c r="F6" s="8" t="n">
        <v>42350.7</v>
      </c>
      <c r="G6" s="16" t="n">
        <v>21261.67</v>
      </c>
      <c r="H6" s="8" t="n">
        <v>21089.03</v>
      </c>
      <c r="I6" s="8" t="n">
        <v>6414.22</v>
      </c>
      <c r="J6" s="8" t="n">
        <v>7393.69</v>
      </c>
      <c r="K6" s="8" t="n">
        <v>7281.12</v>
      </c>
      <c r="L6" s="8" t="n">
        <v>-42265.42</v>
      </c>
      <c r="M6" s="8" t="n">
        <v>0</v>
      </c>
      <c r="N6" s="8" t="n">
        <v>-34984.3</v>
      </c>
      <c r="O6" s="8" t="n">
        <v>28190.57</v>
      </c>
      <c r="P6" s="8" t="n">
        <v>0</v>
      </c>
      <c r="Q6" s="8" t="n">
        <v>63555.66</v>
      </c>
      <c r="R6" s="8" t="n">
        <v>0</v>
      </c>
      <c r="S6" s="8" t="n">
        <v>41634.89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-7488</v>
      </c>
      <c r="AA6" s="16" t="n">
        <v>0</v>
      </c>
      <c r="AB6" s="16" t="n">
        <v>0</v>
      </c>
      <c r="AC6" s="8" t="n">
        <v>0</v>
      </c>
      <c r="AD6" s="8" t="n">
        <v>-19300</v>
      </c>
      <c r="AE6" s="8" t="n">
        <v>-470.97</v>
      </c>
      <c r="AF6" s="8" t="n">
        <v>-2000.98</v>
      </c>
      <c r="AG6" s="8" t="n">
        <v>-46847.33</v>
      </c>
      <c r="AH6" s="8" t="n">
        <v>-1165.68</v>
      </c>
      <c r="AI6" s="8" t="n">
        <v>0</v>
      </c>
      <c r="AJ6" s="16" t="n">
        <v>-4200</v>
      </c>
      <c r="AK6" s="8" t="n">
        <v>-2500</v>
      </c>
      <c r="AL6" s="8" t="n">
        <v>0</v>
      </c>
      <c r="AM6" s="8" t="n">
        <v>-21000</v>
      </c>
      <c r="AN6" s="8" t="n">
        <v>0</v>
      </c>
      <c r="AO6" s="8" t="n">
        <v>0</v>
      </c>
      <c r="AP6" s="16" t="n">
        <v>28408.16</v>
      </c>
      <c r="AQ6" s="8" t="n">
        <v>162000</v>
      </c>
    </row>
    <row r="7" customFormat="false" ht="15" hidden="false" customHeight="false" outlineLevel="0" collapsed="false">
      <c r="A7" s="7" t="s">
        <v>137</v>
      </c>
      <c r="B7" s="7" t="s">
        <v>465</v>
      </c>
      <c r="C7" s="20" t="n">
        <v>46446</v>
      </c>
      <c r="D7" s="8" t="n">
        <v>0</v>
      </c>
      <c r="E7" s="8" t="n">
        <v>0</v>
      </c>
      <c r="F7" s="8" t="n">
        <v>0</v>
      </c>
      <c r="G7" s="16" t="n">
        <v>4818.1</v>
      </c>
      <c r="H7" s="8" t="n">
        <v>-4818.1</v>
      </c>
      <c r="I7" s="8" t="n">
        <v>6414.24</v>
      </c>
      <c r="J7" s="8" t="n">
        <v>1119.4</v>
      </c>
      <c r="K7" s="8" t="n">
        <v>-12351.74</v>
      </c>
      <c r="L7" s="8" t="n">
        <v>0.03</v>
      </c>
      <c r="M7" s="8" t="n">
        <v>0</v>
      </c>
      <c r="N7" s="8" t="n">
        <v>-12351.71</v>
      </c>
      <c r="O7" s="8" t="n">
        <v>28408.16</v>
      </c>
      <c r="P7" s="8" t="n">
        <v>0</v>
      </c>
      <c r="Q7" s="8" t="n">
        <v>7132.94</v>
      </c>
      <c r="R7" s="8" t="n">
        <v>0</v>
      </c>
      <c r="S7" s="8" t="n">
        <v>12452.53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-7838.88</v>
      </c>
      <c r="AA7" s="16" t="n">
        <v>0</v>
      </c>
      <c r="AB7" s="16" t="n">
        <v>0</v>
      </c>
      <c r="AC7" s="8" t="n">
        <v>0</v>
      </c>
      <c r="AD7" s="8" t="n">
        <v>0</v>
      </c>
      <c r="AE7" s="8" t="n">
        <v>0</v>
      </c>
      <c r="AF7" s="8" t="n">
        <v>-4761.49</v>
      </c>
      <c r="AG7" s="8" t="n">
        <v>-1732.49</v>
      </c>
      <c r="AH7" s="8" t="n">
        <v>-932.05</v>
      </c>
      <c r="AI7" s="8" t="n">
        <v>0</v>
      </c>
      <c r="AJ7" s="16" t="n">
        <v>-4200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16" t="n">
        <v>28528.72</v>
      </c>
      <c r="AQ7" s="8" t="n">
        <v>162000</v>
      </c>
    </row>
    <row r="8" customFormat="false" ht="15" hidden="false" customHeight="false" outlineLevel="0" collapsed="false">
      <c r="A8" s="7" t="s">
        <v>137</v>
      </c>
      <c r="B8" s="7" t="s">
        <v>465</v>
      </c>
      <c r="C8" s="20" t="n">
        <v>46477</v>
      </c>
      <c r="D8" s="8" t="n">
        <v>0</v>
      </c>
      <c r="E8" s="8" t="n">
        <v>21624.03</v>
      </c>
      <c r="F8" s="8" t="n">
        <v>-21624.03</v>
      </c>
      <c r="G8" s="16" t="n">
        <v>639.78</v>
      </c>
      <c r="H8" s="8" t="n">
        <v>-22263.81</v>
      </c>
      <c r="I8" s="8" t="n">
        <v>6414.23</v>
      </c>
      <c r="J8" s="8" t="n">
        <v>12021.22</v>
      </c>
      <c r="K8" s="8" t="n">
        <v>-40699.26</v>
      </c>
      <c r="L8" s="8" t="n">
        <v>9092.46</v>
      </c>
      <c r="M8" s="8" t="n">
        <v>0</v>
      </c>
      <c r="N8" s="8" t="n">
        <v>-31606.8</v>
      </c>
      <c r="O8" s="8" t="n">
        <v>28528.72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16" t="n">
        <v>0</v>
      </c>
      <c r="AB8" s="16" t="n">
        <v>0</v>
      </c>
      <c r="AC8" s="8" t="n">
        <v>0</v>
      </c>
      <c r="AD8" s="8" t="n">
        <v>-5900</v>
      </c>
      <c r="AE8" s="8" t="n">
        <v>0</v>
      </c>
      <c r="AF8" s="8" t="n">
        <v>-712.72</v>
      </c>
      <c r="AG8" s="8" t="n">
        <v>-36874.14</v>
      </c>
      <c r="AH8" s="8" t="n">
        <v>-1191.16</v>
      </c>
      <c r="AI8" s="8" t="n">
        <v>0</v>
      </c>
      <c r="AJ8" s="16" t="n">
        <v>-4200</v>
      </c>
      <c r="AK8" s="8" t="n">
        <v>0</v>
      </c>
      <c r="AL8" s="8" t="n">
        <v>31000</v>
      </c>
      <c r="AM8" s="8" t="n">
        <v>0</v>
      </c>
      <c r="AN8" s="8" t="n">
        <v>0</v>
      </c>
      <c r="AO8" s="8" t="n">
        <v>0</v>
      </c>
      <c r="AP8" s="16" t="n">
        <v>10650.7</v>
      </c>
      <c r="AQ8" s="8" t="n">
        <v>193000</v>
      </c>
    </row>
    <row r="9" customFormat="false" ht="15" hidden="false" customHeight="false" outlineLevel="0" collapsed="false">
      <c r="A9" s="7" t="s">
        <v>137</v>
      </c>
      <c r="B9" s="7" t="s">
        <v>465</v>
      </c>
      <c r="C9" s="20" t="n">
        <v>46507</v>
      </c>
      <c r="D9" s="8" t="n">
        <v>0</v>
      </c>
      <c r="E9" s="8" t="n">
        <v>46444.19</v>
      </c>
      <c r="F9" s="8" t="n">
        <v>-46444.19</v>
      </c>
      <c r="G9" s="16" t="n">
        <v>1191.35</v>
      </c>
      <c r="H9" s="8" t="n">
        <v>-47635.54</v>
      </c>
      <c r="I9" s="8" t="n">
        <v>6414.25</v>
      </c>
      <c r="J9" s="8" t="n">
        <v>1469.31</v>
      </c>
      <c r="K9" s="8" t="n">
        <v>-55519.1</v>
      </c>
      <c r="L9" s="8" t="n">
        <v>56071.21</v>
      </c>
      <c r="M9" s="8" t="n">
        <v>0</v>
      </c>
      <c r="N9" s="8" t="n">
        <v>552.11</v>
      </c>
      <c r="O9" s="8" t="n">
        <v>10650.7</v>
      </c>
      <c r="P9" s="8" t="n">
        <v>0</v>
      </c>
      <c r="Q9" s="8" t="n">
        <v>5372.64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-12290.75</v>
      </c>
      <c r="Z9" s="8" t="n">
        <v>-2580.48</v>
      </c>
      <c r="AA9" s="16" t="n">
        <v>0</v>
      </c>
      <c r="AB9" s="16" t="n">
        <v>0</v>
      </c>
      <c r="AC9" s="8" t="n">
        <v>-852.8</v>
      </c>
      <c r="AD9" s="8" t="n">
        <v>0</v>
      </c>
      <c r="AE9" s="8" t="n">
        <v>0</v>
      </c>
      <c r="AF9" s="8" t="n">
        <v>-638.37</v>
      </c>
      <c r="AG9" s="8" t="n">
        <v>-1732.49</v>
      </c>
      <c r="AH9" s="8" t="n">
        <v>-1300.68</v>
      </c>
      <c r="AI9" s="8" t="n">
        <v>0</v>
      </c>
      <c r="AJ9" s="16" t="n">
        <v>-4200</v>
      </c>
      <c r="AK9" s="8" t="n">
        <v>-2500</v>
      </c>
      <c r="AL9" s="8" t="n">
        <v>18000</v>
      </c>
      <c r="AM9" s="8" t="n">
        <v>0</v>
      </c>
      <c r="AN9" s="8" t="n">
        <v>0</v>
      </c>
      <c r="AO9" s="8" t="n">
        <v>0</v>
      </c>
      <c r="AP9" s="16" t="n">
        <v>7927.77</v>
      </c>
      <c r="AQ9" s="8" t="n">
        <v>211000</v>
      </c>
    </row>
    <row r="10" customFormat="false" ht="15" hidden="false" customHeight="false" outlineLevel="0" collapsed="false">
      <c r="A10" s="7" t="s">
        <v>137</v>
      </c>
      <c r="B10" s="7" t="s">
        <v>465</v>
      </c>
      <c r="C10" s="20" t="n">
        <v>46538</v>
      </c>
      <c r="D10" s="8" t="n">
        <v>0</v>
      </c>
      <c r="E10" s="8" t="n">
        <v>37581.43</v>
      </c>
      <c r="F10" s="8" t="n">
        <v>-37581.43</v>
      </c>
      <c r="G10" s="16" t="n">
        <v>740.43</v>
      </c>
      <c r="H10" s="8" t="n">
        <v>-38321.86</v>
      </c>
      <c r="I10" s="8" t="n">
        <v>6414.24</v>
      </c>
      <c r="J10" s="8" t="n">
        <v>1638.22</v>
      </c>
      <c r="K10" s="8" t="n">
        <v>-46374.32</v>
      </c>
      <c r="L10" s="8" t="n">
        <v>25722.65</v>
      </c>
      <c r="M10" s="8" t="n">
        <v>0</v>
      </c>
      <c r="N10" s="8" t="n">
        <v>-20651.67</v>
      </c>
      <c r="O10" s="8" t="n">
        <v>7927.77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-2774.6</v>
      </c>
      <c r="Y10" s="8" t="n">
        <v>-10769.29</v>
      </c>
      <c r="Z10" s="8" t="n">
        <v>-967.68</v>
      </c>
      <c r="AA10" s="16" t="n">
        <v>0</v>
      </c>
      <c r="AB10" s="16" t="n">
        <v>0</v>
      </c>
      <c r="AC10" s="8" t="n">
        <v>-2257.22</v>
      </c>
      <c r="AD10" s="8" t="n">
        <v>0</v>
      </c>
      <c r="AE10" s="8" t="n">
        <v>-3758.55</v>
      </c>
      <c r="AF10" s="8" t="n">
        <v>-1206.81</v>
      </c>
      <c r="AG10" s="8" t="n">
        <v>-1732.49</v>
      </c>
      <c r="AH10" s="8" t="n">
        <v>-1479.04</v>
      </c>
      <c r="AI10" s="8" t="n">
        <v>0</v>
      </c>
      <c r="AJ10" s="16" t="n">
        <v>-4200</v>
      </c>
      <c r="AK10" s="8" t="n">
        <v>0</v>
      </c>
      <c r="AL10" s="8" t="n">
        <v>30000</v>
      </c>
      <c r="AM10" s="8" t="n">
        <v>0</v>
      </c>
      <c r="AN10" s="8" t="n">
        <v>0</v>
      </c>
      <c r="AO10" s="8" t="n">
        <v>0</v>
      </c>
      <c r="AP10" s="16" t="n">
        <v>8782.09</v>
      </c>
      <c r="AQ10" s="8" t="n">
        <v>241000</v>
      </c>
    </row>
    <row r="11" customFormat="false" ht="15" hidden="false" customHeight="false" outlineLevel="0" collapsed="false">
      <c r="A11" s="7" t="s">
        <v>137</v>
      </c>
      <c r="B11" s="7" t="s">
        <v>465</v>
      </c>
      <c r="C11" s="20" t="n">
        <v>46568</v>
      </c>
      <c r="D11" s="8" t="n">
        <v>65077.55</v>
      </c>
      <c r="E11" s="8" t="n">
        <v>24700.57</v>
      </c>
      <c r="F11" s="8" t="n">
        <v>40376.98</v>
      </c>
      <c r="G11" s="16" t="n">
        <v>723.76</v>
      </c>
      <c r="H11" s="8" t="n">
        <v>39653.22</v>
      </c>
      <c r="I11" s="8" t="n">
        <v>6414.22</v>
      </c>
      <c r="J11" s="8" t="n">
        <v>1690.77</v>
      </c>
      <c r="K11" s="8" t="n">
        <v>31548.23</v>
      </c>
      <c r="L11" s="8" t="n">
        <v>2393.21</v>
      </c>
      <c r="M11" s="8" t="n">
        <v>0</v>
      </c>
      <c r="N11" s="8" t="n">
        <v>33941.44</v>
      </c>
      <c r="O11" s="8" t="n">
        <v>8782.09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-4770.6</v>
      </c>
      <c r="Y11" s="8" t="n">
        <v>-21622.75</v>
      </c>
      <c r="Z11" s="8" t="n">
        <v>-2580.48</v>
      </c>
      <c r="AA11" s="16" t="n">
        <v>0</v>
      </c>
      <c r="AB11" s="16" t="n">
        <v>0</v>
      </c>
      <c r="AC11" s="8" t="n">
        <v>-10359.44</v>
      </c>
      <c r="AD11" s="8" t="n">
        <v>0</v>
      </c>
      <c r="AE11" s="8" t="n">
        <v>0</v>
      </c>
      <c r="AF11" s="8" t="n">
        <v>-745.49</v>
      </c>
      <c r="AG11" s="8" t="n">
        <v>-1732.49</v>
      </c>
      <c r="AH11" s="8" t="n">
        <v>-1541.1</v>
      </c>
      <c r="AI11" s="8" t="n">
        <v>0</v>
      </c>
      <c r="AJ11" s="16" t="n">
        <v>-4200</v>
      </c>
      <c r="AK11" s="8" t="n">
        <v>-2500</v>
      </c>
      <c r="AL11" s="8" t="n">
        <v>9000</v>
      </c>
      <c r="AM11" s="8" t="n">
        <v>0</v>
      </c>
      <c r="AN11" s="8" t="n">
        <v>0</v>
      </c>
      <c r="AO11" s="8" t="n">
        <v>0</v>
      </c>
      <c r="AP11" s="16" t="n">
        <v>-32270.26</v>
      </c>
      <c r="AQ11" s="8" t="n">
        <v>250000</v>
      </c>
    </row>
    <row r="12" customFormat="false" ht="15" hidden="false" customHeight="false" outlineLevel="0" collapsed="false">
      <c r="A12" s="7" t="s">
        <v>137</v>
      </c>
      <c r="B12" s="7" t="s">
        <v>465</v>
      </c>
      <c r="C12" s="20" t="n">
        <v>46599</v>
      </c>
      <c r="D12" s="8" t="n">
        <v>43035.85</v>
      </c>
      <c r="E12" s="8" t="n">
        <v>27430.12</v>
      </c>
      <c r="F12" s="8" t="n">
        <v>15605.73</v>
      </c>
      <c r="G12" s="16" t="n">
        <v>750</v>
      </c>
      <c r="H12" s="8" t="n">
        <v>14855.73</v>
      </c>
      <c r="I12" s="8" t="n">
        <v>6414.25</v>
      </c>
      <c r="J12" s="8" t="n">
        <v>1732.58</v>
      </c>
      <c r="K12" s="8" t="n">
        <v>6708.9</v>
      </c>
      <c r="L12" s="8" t="n">
        <v>12623.76</v>
      </c>
      <c r="M12" s="8" t="n">
        <v>0</v>
      </c>
      <c r="N12" s="8" t="n">
        <v>19332.66</v>
      </c>
      <c r="O12" s="8" t="n">
        <v>-32270.26</v>
      </c>
      <c r="P12" s="8" t="n">
        <v>0</v>
      </c>
      <c r="Q12" s="8" t="n">
        <v>19978.56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-4216.96</v>
      </c>
      <c r="Y12" s="8" t="n">
        <v>-3287.28</v>
      </c>
      <c r="Z12" s="8" t="n">
        <v>-967.68</v>
      </c>
      <c r="AA12" s="16" t="n">
        <v>0</v>
      </c>
      <c r="AB12" s="16" t="n">
        <v>0</v>
      </c>
      <c r="AC12" s="8" t="n">
        <v>-9545.84</v>
      </c>
      <c r="AD12" s="8" t="n">
        <v>0</v>
      </c>
      <c r="AE12" s="8" t="n">
        <v>0</v>
      </c>
      <c r="AF12" s="8" t="n">
        <v>-6675.11</v>
      </c>
      <c r="AG12" s="8" t="n">
        <v>-1732.49</v>
      </c>
      <c r="AH12" s="8" t="n">
        <v>-1592.47</v>
      </c>
      <c r="AI12" s="8" t="n">
        <v>0</v>
      </c>
      <c r="AJ12" s="16" t="n">
        <v>-4200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16" t="n">
        <v>-44509.53</v>
      </c>
      <c r="AQ12" s="8" t="n">
        <v>250000</v>
      </c>
    </row>
    <row r="13" customFormat="false" ht="15" hidden="false" customHeight="false" outlineLevel="0" collapsed="false">
      <c r="A13" s="7" t="s">
        <v>137</v>
      </c>
      <c r="B13" s="7" t="s">
        <v>465</v>
      </c>
      <c r="C13" s="20" t="n">
        <v>46630</v>
      </c>
      <c r="D13" s="8" t="n">
        <v>0</v>
      </c>
      <c r="E13" s="8" t="n">
        <v>8903.41</v>
      </c>
      <c r="F13" s="8" t="n">
        <v>-8903.41</v>
      </c>
      <c r="G13" s="16" t="n">
        <v>771.19</v>
      </c>
      <c r="H13" s="8" t="n">
        <v>-9674.6</v>
      </c>
      <c r="I13" s="8" t="n">
        <v>6414.24</v>
      </c>
      <c r="J13" s="8" t="n">
        <v>1722.96</v>
      </c>
      <c r="K13" s="8" t="n">
        <v>-17811.8</v>
      </c>
      <c r="L13" s="8" t="n">
        <v>5755.89</v>
      </c>
      <c r="M13" s="8" t="n">
        <v>0</v>
      </c>
      <c r="N13" s="8" t="n">
        <v>-12055.91</v>
      </c>
      <c r="O13" s="8" t="n">
        <v>-44509.53</v>
      </c>
      <c r="P13" s="8" t="n">
        <v>0</v>
      </c>
      <c r="Q13" s="8" t="n">
        <v>0</v>
      </c>
      <c r="R13" s="8" t="n">
        <v>0</v>
      </c>
      <c r="S13" s="8" t="n">
        <v>78992.43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-3198.52</v>
      </c>
      <c r="Y13" s="8" t="n">
        <v>-5355.28</v>
      </c>
      <c r="Z13" s="8" t="n">
        <v>-967.68</v>
      </c>
      <c r="AA13" s="16" t="n">
        <v>0</v>
      </c>
      <c r="AB13" s="16" t="n">
        <v>0</v>
      </c>
      <c r="AC13" s="8" t="n">
        <v>-10607.49</v>
      </c>
      <c r="AD13" s="8" t="n">
        <v>-1559.04</v>
      </c>
      <c r="AE13" s="8" t="n">
        <v>0</v>
      </c>
      <c r="AF13" s="8" t="n">
        <v>-7141.11</v>
      </c>
      <c r="AG13" s="8" t="n">
        <v>-1732.49</v>
      </c>
      <c r="AH13" s="8" t="n">
        <v>-1592.47</v>
      </c>
      <c r="AI13" s="8" t="n">
        <v>0</v>
      </c>
      <c r="AJ13" s="16" t="n">
        <v>-4200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16" t="n">
        <v>-1871.18</v>
      </c>
      <c r="AQ13" s="8" t="n">
        <v>250000</v>
      </c>
    </row>
    <row r="14" customFormat="false" ht="15" hidden="false" customHeight="false" outlineLevel="0" collapsed="false">
      <c r="A14" s="7" t="s">
        <v>137</v>
      </c>
      <c r="B14" s="7" t="s">
        <v>465</v>
      </c>
      <c r="C14" s="20" t="n">
        <v>46660</v>
      </c>
      <c r="D14" s="8" t="n">
        <v>14847.52</v>
      </c>
      <c r="E14" s="8" t="n">
        <v>22660.51</v>
      </c>
      <c r="F14" s="8" t="n">
        <v>-7812.99</v>
      </c>
      <c r="G14" s="16" t="n">
        <v>751.51</v>
      </c>
      <c r="H14" s="8" t="n">
        <v>-8564.5</v>
      </c>
      <c r="I14" s="8" t="n">
        <v>6414.24</v>
      </c>
      <c r="J14" s="8" t="n">
        <v>1661.91</v>
      </c>
      <c r="K14" s="8" t="n">
        <v>-16640.65</v>
      </c>
      <c r="L14" s="8" t="n">
        <v>134.4</v>
      </c>
      <c r="M14" s="8" t="n">
        <v>0</v>
      </c>
      <c r="N14" s="8" t="n">
        <v>-16506.25</v>
      </c>
      <c r="O14" s="8" t="n">
        <v>-1871.18</v>
      </c>
      <c r="P14" s="8" t="n">
        <v>0</v>
      </c>
      <c r="Q14" s="8" t="n">
        <v>0</v>
      </c>
      <c r="R14" s="8" t="n">
        <v>0</v>
      </c>
      <c r="S14" s="8" t="n">
        <v>14515.05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-4047.39</v>
      </c>
      <c r="Y14" s="8" t="n">
        <v>0</v>
      </c>
      <c r="Z14" s="8" t="n">
        <v>-134.4</v>
      </c>
      <c r="AA14" s="16" t="n">
        <v>0</v>
      </c>
      <c r="AB14" s="16" t="n">
        <v>0</v>
      </c>
      <c r="AC14" s="8" t="n">
        <v>0</v>
      </c>
      <c r="AD14" s="8" t="n">
        <v>0</v>
      </c>
      <c r="AE14" s="8" t="n">
        <v>0</v>
      </c>
      <c r="AF14" s="8" t="n">
        <v>-4983.89</v>
      </c>
      <c r="AG14" s="8" t="n">
        <v>-1732.49</v>
      </c>
      <c r="AH14" s="8" t="n">
        <v>-1541.1</v>
      </c>
      <c r="AI14" s="8" t="n">
        <v>0</v>
      </c>
      <c r="AJ14" s="16" t="n">
        <v>-4200</v>
      </c>
      <c r="AK14" s="8" t="n">
        <v>-2500</v>
      </c>
      <c r="AL14" s="8" t="n">
        <v>0</v>
      </c>
      <c r="AM14" s="8" t="n">
        <v>0</v>
      </c>
      <c r="AN14" s="8" t="n">
        <v>0</v>
      </c>
      <c r="AO14" s="8" t="n">
        <v>0</v>
      </c>
      <c r="AP14" s="16" t="n">
        <v>-6495.4</v>
      </c>
      <c r="AQ14" s="8" t="n">
        <v>250000</v>
      </c>
    </row>
    <row r="15" customFormat="false" ht="15" hidden="false" customHeight="false" outlineLevel="0" collapsed="false">
      <c r="A15" s="7" t="s">
        <v>137</v>
      </c>
      <c r="B15" s="7" t="s">
        <v>466</v>
      </c>
      <c r="C15" s="20" t="n">
        <v>46326</v>
      </c>
      <c r="D15" s="8" t="n">
        <v>205841.92</v>
      </c>
      <c r="E15" s="8" t="n">
        <v>29807.86</v>
      </c>
      <c r="F15" s="8" t="n">
        <v>176034.06</v>
      </c>
      <c r="G15" s="16" t="n">
        <v>694.51</v>
      </c>
      <c r="H15" s="8" t="n">
        <v>175339.55</v>
      </c>
      <c r="I15" s="8" t="n">
        <v>6414.25</v>
      </c>
      <c r="J15" s="8" t="n">
        <v>1638.98</v>
      </c>
      <c r="K15" s="8" t="n">
        <v>167286.32</v>
      </c>
      <c r="L15" s="8" t="n">
        <v>20702.03</v>
      </c>
      <c r="M15" s="8" t="n">
        <v>0</v>
      </c>
      <c r="N15" s="8" t="n">
        <v>187988.35</v>
      </c>
      <c r="O15" s="8" t="n">
        <v>28343.6</v>
      </c>
      <c r="P15" s="8" t="n">
        <v>4613.98</v>
      </c>
      <c r="Q15" s="8" t="n">
        <v>38988.95</v>
      </c>
      <c r="R15" s="8" t="n">
        <v>0</v>
      </c>
      <c r="S15" s="8" t="n">
        <v>0</v>
      </c>
      <c r="T15" s="8" t="n">
        <v>10700</v>
      </c>
      <c r="U15" s="8" t="n">
        <v>0</v>
      </c>
      <c r="V15" s="8" t="n">
        <v>0</v>
      </c>
      <c r="W15" s="8" t="n">
        <v>-21393.12</v>
      </c>
      <c r="X15" s="8" t="n">
        <v>-7152.45</v>
      </c>
      <c r="Y15" s="8" t="n">
        <v>0</v>
      </c>
      <c r="Z15" s="8" t="n">
        <v>0</v>
      </c>
      <c r="AA15" s="16" t="n">
        <v>0</v>
      </c>
      <c r="AB15" s="16" t="n">
        <v>0</v>
      </c>
      <c r="AC15" s="8" t="n">
        <v>0</v>
      </c>
      <c r="AD15" s="8" t="n">
        <v>0</v>
      </c>
      <c r="AE15" s="8" t="n">
        <v>0</v>
      </c>
      <c r="AF15" s="8" t="n">
        <v>-289.1</v>
      </c>
      <c r="AG15" s="8" t="n">
        <v>-1732.49</v>
      </c>
      <c r="AH15" s="8" t="n">
        <v>-1414.84</v>
      </c>
      <c r="AI15" s="8" t="n">
        <v>0</v>
      </c>
      <c r="AJ15" s="16" t="n">
        <v>-4200</v>
      </c>
      <c r="AK15" s="8" t="n">
        <v>0</v>
      </c>
      <c r="AL15" s="8" t="n">
        <v>17000</v>
      </c>
      <c r="AM15" s="8" t="n">
        <v>-35000</v>
      </c>
      <c r="AN15" s="8" t="n">
        <v>0</v>
      </c>
      <c r="AO15" s="8" t="n">
        <v>0</v>
      </c>
      <c r="AP15" s="16" t="n">
        <v>28464.53</v>
      </c>
      <c r="AQ15" s="8" t="n">
        <v>203000</v>
      </c>
    </row>
    <row r="16" customFormat="false" ht="15" hidden="false" customHeight="false" outlineLevel="0" collapsed="false">
      <c r="A16" s="7" t="s">
        <v>137</v>
      </c>
      <c r="B16" s="7" t="s">
        <v>466</v>
      </c>
      <c r="C16" s="20" t="n">
        <v>46356</v>
      </c>
      <c r="D16" s="8" t="n">
        <v>17904.97</v>
      </c>
      <c r="E16" s="8" t="n">
        <v>19857.55</v>
      </c>
      <c r="F16" s="8" t="n">
        <v>-1952.58</v>
      </c>
      <c r="G16" s="16" t="n">
        <v>746.1</v>
      </c>
      <c r="H16" s="8" t="n">
        <v>-2698.68</v>
      </c>
      <c r="I16" s="8" t="n">
        <v>6414.23</v>
      </c>
      <c r="J16" s="8" t="n">
        <v>1424.68</v>
      </c>
      <c r="K16" s="8" t="n">
        <v>-10537.59</v>
      </c>
      <c r="L16" s="8" t="n">
        <v>-32494.94</v>
      </c>
      <c r="M16" s="8" t="n">
        <v>0</v>
      </c>
      <c r="N16" s="8" t="n">
        <v>-43032.53</v>
      </c>
      <c r="O16" s="8" t="n">
        <v>28464.53</v>
      </c>
      <c r="P16" s="8" t="n">
        <v>0</v>
      </c>
      <c r="Q16" s="8" t="n">
        <v>0</v>
      </c>
      <c r="R16" s="8" t="n">
        <v>0</v>
      </c>
      <c r="S16" s="8" t="n">
        <v>61802.46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-2011.71</v>
      </c>
      <c r="Y16" s="8" t="n">
        <v>-6531.52</v>
      </c>
      <c r="Z16" s="8" t="n">
        <v>-941.76</v>
      </c>
      <c r="AA16" s="16" t="n">
        <v>0</v>
      </c>
      <c r="AB16" s="16" t="n">
        <v>0</v>
      </c>
      <c r="AC16" s="8" t="n">
        <v>-14552.71</v>
      </c>
      <c r="AD16" s="8" t="n">
        <v>0</v>
      </c>
      <c r="AE16" s="8" t="n">
        <v>0</v>
      </c>
      <c r="AF16" s="8" t="n">
        <v>-632.04</v>
      </c>
      <c r="AG16" s="8" t="n">
        <v>-1732.49</v>
      </c>
      <c r="AH16" s="8" t="n">
        <v>-1209.66</v>
      </c>
      <c r="AI16" s="8" t="n">
        <v>0</v>
      </c>
      <c r="AJ16" s="16" t="n">
        <v>-4200</v>
      </c>
      <c r="AK16" s="8" t="n">
        <v>0</v>
      </c>
      <c r="AL16" s="8" t="n">
        <v>0</v>
      </c>
      <c r="AM16" s="8" t="n">
        <v>-30000</v>
      </c>
      <c r="AN16" s="8" t="n">
        <v>0</v>
      </c>
      <c r="AO16" s="8" t="n">
        <v>0</v>
      </c>
      <c r="AP16" s="16" t="n">
        <v>28455.1</v>
      </c>
      <c r="AQ16" s="8" t="n">
        <v>173000</v>
      </c>
    </row>
    <row r="17" customFormat="false" ht="15" hidden="false" customHeight="false" outlineLevel="0" collapsed="false">
      <c r="A17" s="7" t="s">
        <v>137</v>
      </c>
      <c r="B17" s="7" t="s">
        <v>466</v>
      </c>
      <c r="C17" s="20" t="n">
        <v>46387</v>
      </c>
      <c r="D17" s="8" t="n">
        <v>57774.96</v>
      </c>
      <c r="E17" s="8" t="n">
        <v>7308</v>
      </c>
      <c r="F17" s="8" t="n">
        <v>50466.96</v>
      </c>
      <c r="G17" s="16" t="n">
        <v>8869.44</v>
      </c>
      <c r="H17" s="8" t="n">
        <v>41597.52</v>
      </c>
      <c r="I17" s="8" t="n">
        <v>6414.24</v>
      </c>
      <c r="J17" s="8" t="n">
        <v>14991.07</v>
      </c>
      <c r="K17" s="8" t="n">
        <v>20192.21</v>
      </c>
      <c r="L17" s="8" t="n">
        <v>-4901.64</v>
      </c>
      <c r="M17" s="8" t="n">
        <v>0</v>
      </c>
      <c r="N17" s="8" t="n">
        <v>15290.57</v>
      </c>
      <c r="O17" s="8" t="n">
        <v>28455.1</v>
      </c>
      <c r="P17" s="8" t="n">
        <v>12843.25</v>
      </c>
      <c r="Q17" s="8" t="n">
        <v>5192.64</v>
      </c>
      <c r="R17" s="8" t="n">
        <v>0</v>
      </c>
      <c r="S17" s="8" t="n">
        <v>58168.06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-121.64</v>
      </c>
      <c r="Y17" s="8" t="n">
        <v>-32450</v>
      </c>
      <c r="Z17" s="8" t="n">
        <v>0</v>
      </c>
      <c r="AA17" s="16" t="n">
        <v>0</v>
      </c>
      <c r="AB17" s="16" t="n">
        <v>0</v>
      </c>
      <c r="AC17" s="8" t="n">
        <v>-10865.62</v>
      </c>
      <c r="AD17" s="8" t="n">
        <v>0</v>
      </c>
      <c r="AE17" s="8" t="n">
        <v>-3758.55</v>
      </c>
      <c r="AF17" s="8" t="n">
        <v>-954.04</v>
      </c>
      <c r="AG17" s="8" t="n">
        <v>-33602.17</v>
      </c>
      <c r="AH17" s="8" t="n">
        <v>-1237.66</v>
      </c>
      <c r="AI17" s="8" t="n">
        <v>0</v>
      </c>
      <c r="AJ17" s="16" t="n">
        <v>-4200</v>
      </c>
      <c r="AK17" s="8" t="n">
        <v>0</v>
      </c>
      <c r="AL17" s="8" t="n">
        <v>28000</v>
      </c>
      <c r="AM17" s="8" t="n">
        <v>-17000</v>
      </c>
      <c r="AN17" s="8" t="n">
        <v>0</v>
      </c>
      <c r="AO17" s="8" t="n">
        <v>0</v>
      </c>
      <c r="AP17" s="16" t="n">
        <v>28469.37</v>
      </c>
      <c r="AQ17" s="8" t="n">
        <v>184000</v>
      </c>
    </row>
    <row r="18" customFormat="false" ht="15" hidden="false" customHeight="false" outlineLevel="0" collapsed="false">
      <c r="A18" s="7" t="s">
        <v>137</v>
      </c>
      <c r="B18" s="7" t="s">
        <v>466</v>
      </c>
      <c r="C18" s="20" t="n">
        <v>46418</v>
      </c>
      <c r="D18" s="8" t="n">
        <v>49623.68</v>
      </c>
      <c r="E18" s="8" t="n">
        <v>1505.28</v>
      </c>
      <c r="F18" s="8" t="n">
        <v>48118.4</v>
      </c>
      <c r="G18" s="16" t="n">
        <v>21261.67</v>
      </c>
      <c r="H18" s="8" t="n">
        <v>26856.73</v>
      </c>
      <c r="I18" s="8" t="n">
        <v>6414.22</v>
      </c>
      <c r="J18" s="8" t="n">
        <v>7361</v>
      </c>
      <c r="K18" s="8" t="n">
        <v>13081.51</v>
      </c>
      <c r="L18" s="8" t="n">
        <v>-47981.52</v>
      </c>
      <c r="M18" s="8" t="n">
        <v>0</v>
      </c>
      <c r="N18" s="8" t="n">
        <v>-34900.01</v>
      </c>
      <c r="O18" s="8" t="n">
        <v>28469.37</v>
      </c>
      <c r="P18" s="8" t="n">
        <v>0</v>
      </c>
      <c r="Q18" s="8" t="n">
        <v>74017.28</v>
      </c>
      <c r="R18" s="8" t="n">
        <v>0</v>
      </c>
      <c r="S18" s="8" t="n">
        <v>41634.89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-7488</v>
      </c>
      <c r="AA18" s="16" t="n">
        <v>0</v>
      </c>
      <c r="AB18" s="16" t="n">
        <v>0</v>
      </c>
      <c r="AC18" s="8" t="n">
        <v>0</v>
      </c>
      <c r="AD18" s="8" t="n">
        <v>-19300</v>
      </c>
      <c r="AE18" s="8" t="n">
        <v>-470.97</v>
      </c>
      <c r="AF18" s="8" t="n">
        <v>-2000.98</v>
      </c>
      <c r="AG18" s="8" t="n">
        <v>-46847.33</v>
      </c>
      <c r="AH18" s="8" t="n">
        <v>-1132.99</v>
      </c>
      <c r="AI18" s="8" t="n">
        <v>0</v>
      </c>
      <c r="AJ18" s="16" t="n">
        <v>-4200</v>
      </c>
      <c r="AK18" s="8" t="n">
        <v>-2500</v>
      </c>
      <c r="AL18" s="8" t="n">
        <v>0</v>
      </c>
      <c r="AM18" s="8" t="n">
        <v>-32000</v>
      </c>
      <c r="AN18" s="8" t="n">
        <v>0</v>
      </c>
      <c r="AO18" s="8" t="n">
        <v>0</v>
      </c>
      <c r="AP18" s="16" t="n">
        <v>28181.27</v>
      </c>
      <c r="AQ18" s="8" t="n">
        <v>152000</v>
      </c>
    </row>
    <row r="19" customFormat="false" ht="15" hidden="false" customHeight="false" outlineLevel="0" collapsed="false">
      <c r="A19" s="7" t="s">
        <v>137</v>
      </c>
      <c r="B19" s="7" t="s">
        <v>466</v>
      </c>
      <c r="C19" s="20" t="n">
        <v>46446</v>
      </c>
      <c r="D19" s="8" t="n">
        <v>0</v>
      </c>
      <c r="E19" s="8" t="n">
        <v>0</v>
      </c>
      <c r="F19" s="8" t="n">
        <v>0</v>
      </c>
      <c r="G19" s="16" t="n">
        <v>4818.1</v>
      </c>
      <c r="H19" s="8" t="n">
        <v>-4818.1</v>
      </c>
      <c r="I19" s="8" t="n">
        <v>6414.24</v>
      </c>
      <c r="J19" s="8" t="n">
        <v>1032.72</v>
      </c>
      <c r="K19" s="8" t="n">
        <v>-12265.06</v>
      </c>
      <c r="L19" s="8" t="n">
        <v>0.04</v>
      </c>
      <c r="M19" s="8" t="n">
        <v>0</v>
      </c>
      <c r="N19" s="8" t="n">
        <v>-12265.02</v>
      </c>
      <c r="O19" s="8" t="n">
        <v>28181.27</v>
      </c>
      <c r="P19" s="8" t="n">
        <v>0</v>
      </c>
      <c r="Q19" s="8" t="n">
        <v>8230.32</v>
      </c>
      <c r="R19" s="8" t="n">
        <v>0</v>
      </c>
      <c r="S19" s="8" t="n">
        <v>12452.53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-8813.28</v>
      </c>
      <c r="AA19" s="16" t="n">
        <v>0</v>
      </c>
      <c r="AB19" s="16" t="n">
        <v>0</v>
      </c>
      <c r="AC19" s="8" t="n">
        <v>0</v>
      </c>
      <c r="AD19" s="8" t="n">
        <v>0</v>
      </c>
      <c r="AE19" s="8" t="n">
        <v>0</v>
      </c>
      <c r="AF19" s="8" t="n">
        <v>-4761.49</v>
      </c>
      <c r="AG19" s="8" t="n">
        <v>-1732.49</v>
      </c>
      <c r="AH19" s="8" t="n">
        <v>-845.37</v>
      </c>
      <c r="AI19" s="8" t="n">
        <v>0</v>
      </c>
      <c r="AJ19" s="16" t="n">
        <v>-4200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16" t="n">
        <v>28511.49</v>
      </c>
      <c r="AQ19" s="8" t="n">
        <v>152000</v>
      </c>
    </row>
    <row r="20" customFormat="false" ht="15" hidden="false" customHeight="false" outlineLevel="0" collapsed="false">
      <c r="A20" s="7" t="s">
        <v>137</v>
      </c>
      <c r="B20" s="7" t="s">
        <v>466</v>
      </c>
      <c r="C20" s="20" t="n">
        <v>46477</v>
      </c>
      <c r="D20" s="8" t="n">
        <v>0</v>
      </c>
      <c r="E20" s="8" t="n">
        <v>21624.03</v>
      </c>
      <c r="F20" s="8" t="n">
        <v>-21624.03</v>
      </c>
      <c r="G20" s="16" t="n">
        <v>639.78</v>
      </c>
      <c r="H20" s="8" t="n">
        <v>-22263.81</v>
      </c>
      <c r="I20" s="8" t="n">
        <v>6414.23</v>
      </c>
      <c r="J20" s="8" t="n">
        <v>11919.94</v>
      </c>
      <c r="K20" s="8" t="n">
        <v>-40597.98</v>
      </c>
      <c r="L20" s="8" t="n">
        <v>9092.49</v>
      </c>
      <c r="M20" s="8" t="n">
        <v>0</v>
      </c>
      <c r="N20" s="8" t="n">
        <v>-31505.49</v>
      </c>
      <c r="O20" s="8" t="n">
        <v>28511.49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16" t="n">
        <v>0</v>
      </c>
      <c r="AB20" s="16" t="n">
        <v>0</v>
      </c>
      <c r="AC20" s="8" t="n">
        <v>0</v>
      </c>
      <c r="AD20" s="8" t="n">
        <v>-5900</v>
      </c>
      <c r="AE20" s="8" t="n">
        <v>0</v>
      </c>
      <c r="AF20" s="8" t="n">
        <v>-712.72</v>
      </c>
      <c r="AG20" s="8" t="n">
        <v>-36874.14</v>
      </c>
      <c r="AH20" s="8" t="n">
        <v>-1089.88</v>
      </c>
      <c r="AI20" s="8" t="n">
        <v>0</v>
      </c>
      <c r="AJ20" s="16" t="n">
        <v>-4200</v>
      </c>
      <c r="AK20" s="8" t="n">
        <v>0</v>
      </c>
      <c r="AL20" s="8" t="n">
        <v>31000</v>
      </c>
      <c r="AM20" s="8" t="n">
        <v>0</v>
      </c>
      <c r="AN20" s="8" t="n">
        <v>0</v>
      </c>
      <c r="AO20" s="8" t="n">
        <v>0</v>
      </c>
      <c r="AP20" s="16" t="n">
        <v>10734.75</v>
      </c>
      <c r="AQ20" s="8" t="n">
        <v>183000</v>
      </c>
    </row>
    <row r="21" customFormat="false" ht="15" hidden="false" customHeight="false" outlineLevel="0" collapsed="false">
      <c r="A21" s="7" t="s">
        <v>137</v>
      </c>
      <c r="B21" s="7" t="s">
        <v>466</v>
      </c>
      <c r="C21" s="20" t="n">
        <v>46507</v>
      </c>
      <c r="D21" s="8" t="n">
        <v>0</v>
      </c>
      <c r="E21" s="8" t="n">
        <v>46444.19</v>
      </c>
      <c r="F21" s="8" t="n">
        <v>-46444.19</v>
      </c>
      <c r="G21" s="16" t="n">
        <v>1191.35</v>
      </c>
      <c r="H21" s="8" t="n">
        <v>-47635.54</v>
      </c>
      <c r="I21" s="8" t="n">
        <v>6414.25</v>
      </c>
      <c r="J21" s="8" t="n">
        <v>1366.37</v>
      </c>
      <c r="K21" s="8" t="n">
        <v>-55416.16</v>
      </c>
      <c r="L21" s="8" t="n">
        <v>56071.22</v>
      </c>
      <c r="M21" s="8" t="n">
        <v>0</v>
      </c>
      <c r="N21" s="8" t="n">
        <v>655.06</v>
      </c>
      <c r="O21" s="8" t="n">
        <v>10734.75</v>
      </c>
      <c r="P21" s="8" t="n">
        <v>0</v>
      </c>
      <c r="Q21" s="8" t="n">
        <v>6652.8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-12290.75</v>
      </c>
      <c r="Z21" s="8" t="n">
        <v>-2580.48</v>
      </c>
      <c r="AA21" s="16" t="n">
        <v>0</v>
      </c>
      <c r="AB21" s="16" t="n">
        <v>0</v>
      </c>
      <c r="AC21" s="8" t="n">
        <v>-852.8</v>
      </c>
      <c r="AD21" s="8" t="n">
        <v>0</v>
      </c>
      <c r="AE21" s="8" t="n">
        <v>0</v>
      </c>
      <c r="AF21" s="8" t="n">
        <v>-638.37</v>
      </c>
      <c r="AG21" s="8" t="n">
        <v>-1732.49</v>
      </c>
      <c r="AH21" s="8" t="n">
        <v>-1197.74</v>
      </c>
      <c r="AI21" s="8" t="n">
        <v>0</v>
      </c>
      <c r="AJ21" s="16" t="n">
        <v>-4200</v>
      </c>
      <c r="AK21" s="8" t="n">
        <v>-2500</v>
      </c>
      <c r="AL21" s="8" t="n">
        <v>18000</v>
      </c>
      <c r="AM21" s="8" t="n">
        <v>0</v>
      </c>
      <c r="AN21" s="8" t="n">
        <v>0</v>
      </c>
      <c r="AO21" s="8" t="n">
        <v>0</v>
      </c>
      <c r="AP21" s="16" t="n">
        <v>9394.92</v>
      </c>
      <c r="AQ21" s="8" t="n">
        <v>201000</v>
      </c>
    </row>
    <row r="22" customFormat="false" ht="15" hidden="false" customHeight="false" outlineLevel="0" collapsed="false">
      <c r="A22" s="7" t="s">
        <v>137</v>
      </c>
      <c r="B22" s="7" t="s">
        <v>466</v>
      </c>
      <c r="C22" s="20" t="n">
        <v>46538</v>
      </c>
      <c r="D22" s="8" t="n">
        <v>0</v>
      </c>
      <c r="E22" s="8" t="n">
        <v>37581.43</v>
      </c>
      <c r="F22" s="8" t="n">
        <v>-37581.43</v>
      </c>
      <c r="G22" s="16" t="n">
        <v>740.43</v>
      </c>
      <c r="H22" s="8" t="n">
        <v>-38321.86</v>
      </c>
      <c r="I22" s="8" t="n">
        <v>6414.24</v>
      </c>
      <c r="J22" s="8" t="n">
        <v>1520.19</v>
      </c>
      <c r="K22" s="8" t="n">
        <v>-46256.29</v>
      </c>
      <c r="L22" s="8" t="n">
        <v>25722.67</v>
      </c>
      <c r="M22" s="8" t="n">
        <v>0</v>
      </c>
      <c r="N22" s="8" t="n">
        <v>-20533.62</v>
      </c>
      <c r="O22" s="8" t="n">
        <v>9394.92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-2774.6</v>
      </c>
      <c r="Y22" s="8" t="n">
        <v>-10769.29</v>
      </c>
      <c r="Z22" s="8" t="n">
        <v>-967.68</v>
      </c>
      <c r="AA22" s="16" t="n">
        <v>0</v>
      </c>
      <c r="AB22" s="16" t="n">
        <v>0</v>
      </c>
      <c r="AC22" s="8" t="n">
        <v>-2257.22</v>
      </c>
      <c r="AD22" s="8" t="n">
        <v>0</v>
      </c>
      <c r="AE22" s="8" t="n">
        <v>-3758.55</v>
      </c>
      <c r="AF22" s="8" t="n">
        <v>-1206.81</v>
      </c>
      <c r="AG22" s="8" t="n">
        <v>-1732.49</v>
      </c>
      <c r="AH22" s="8" t="n">
        <v>-1361.01</v>
      </c>
      <c r="AI22" s="8" t="n">
        <v>0</v>
      </c>
      <c r="AJ22" s="16" t="n">
        <v>-4200</v>
      </c>
      <c r="AK22" s="8" t="n">
        <v>0</v>
      </c>
      <c r="AL22" s="8" t="n">
        <v>28000</v>
      </c>
      <c r="AM22" s="8" t="n">
        <v>0</v>
      </c>
      <c r="AN22" s="8" t="n">
        <v>0</v>
      </c>
      <c r="AO22" s="8" t="n">
        <v>0</v>
      </c>
      <c r="AP22" s="16" t="n">
        <v>8367.27</v>
      </c>
      <c r="AQ22" s="8" t="n">
        <v>229000</v>
      </c>
    </row>
    <row r="23" customFormat="false" ht="15" hidden="false" customHeight="false" outlineLevel="0" collapsed="false">
      <c r="A23" s="7" t="s">
        <v>137</v>
      </c>
      <c r="B23" s="7" t="s">
        <v>466</v>
      </c>
      <c r="C23" s="20" t="n">
        <v>46568</v>
      </c>
      <c r="D23" s="8" t="n">
        <v>67636.57</v>
      </c>
      <c r="E23" s="8" t="n">
        <v>24700.57</v>
      </c>
      <c r="F23" s="8" t="n">
        <v>42936</v>
      </c>
      <c r="G23" s="16" t="n">
        <v>723.76</v>
      </c>
      <c r="H23" s="8" t="n">
        <v>42212.24</v>
      </c>
      <c r="I23" s="8" t="n">
        <v>6414.22</v>
      </c>
      <c r="J23" s="8" t="n">
        <v>1619.53</v>
      </c>
      <c r="K23" s="8" t="n">
        <v>34178.49</v>
      </c>
      <c r="L23" s="8" t="n">
        <v>3488.17</v>
      </c>
      <c r="M23" s="8" t="n">
        <v>0</v>
      </c>
      <c r="N23" s="8" t="n">
        <v>37666.66</v>
      </c>
      <c r="O23" s="8" t="n">
        <v>8367.27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-4770.6</v>
      </c>
      <c r="Y23" s="8" t="n">
        <v>-21622.75</v>
      </c>
      <c r="Z23" s="8" t="n">
        <v>-2580.48</v>
      </c>
      <c r="AA23" s="16" t="n">
        <v>0</v>
      </c>
      <c r="AB23" s="16" t="n">
        <v>0</v>
      </c>
      <c r="AC23" s="8" t="n">
        <v>-10359.44</v>
      </c>
      <c r="AD23" s="8" t="n">
        <v>0</v>
      </c>
      <c r="AE23" s="8" t="n">
        <v>0</v>
      </c>
      <c r="AF23" s="8" t="n">
        <v>-745.49</v>
      </c>
      <c r="AG23" s="8" t="n">
        <v>-1732.49</v>
      </c>
      <c r="AH23" s="8" t="n">
        <v>-1469.86</v>
      </c>
      <c r="AI23" s="8" t="n">
        <v>0</v>
      </c>
      <c r="AJ23" s="16" t="n">
        <v>-4200</v>
      </c>
      <c r="AK23" s="8" t="n">
        <v>-2500</v>
      </c>
      <c r="AL23" s="8" t="n">
        <v>21000</v>
      </c>
      <c r="AM23" s="8" t="n">
        <v>0</v>
      </c>
      <c r="AN23" s="8" t="n">
        <v>0</v>
      </c>
      <c r="AO23" s="8" t="n">
        <v>0</v>
      </c>
      <c r="AP23" s="16" t="n">
        <v>-20613.84</v>
      </c>
      <c r="AQ23" s="8" t="n">
        <v>250000</v>
      </c>
    </row>
    <row r="24" customFormat="false" ht="15" hidden="false" customHeight="false" outlineLevel="0" collapsed="false">
      <c r="A24" s="7" t="s">
        <v>137</v>
      </c>
      <c r="B24" s="7" t="s">
        <v>466</v>
      </c>
      <c r="C24" s="20" t="n">
        <v>46599</v>
      </c>
      <c r="D24" s="8" t="n">
        <v>43035.85</v>
      </c>
      <c r="E24" s="8" t="n">
        <v>27430.12</v>
      </c>
      <c r="F24" s="8" t="n">
        <v>15605.73</v>
      </c>
      <c r="G24" s="16" t="n">
        <v>750</v>
      </c>
      <c r="H24" s="8" t="n">
        <v>14855.73</v>
      </c>
      <c r="I24" s="8" t="n">
        <v>6414.25</v>
      </c>
      <c r="J24" s="8" t="n">
        <v>1679.49</v>
      </c>
      <c r="K24" s="8" t="n">
        <v>6761.99</v>
      </c>
      <c r="L24" s="8" t="n">
        <v>12620.24</v>
      </c>
      <c r="M24" s="8" t="n">
        <v>0</v>
      </c>
      <c r="N24" s="8" t="n">
        <v>19382.23</v>
      </c>
      <c r="O24" s="8" t="n">
        <v>-20613.84</v>
      </c>
      <c r="P24" s="8" t="n">
        <v>0</v>
      </c>
      <c r="Q24" s="8" t="n">
        <v>23817.74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-4216.96</v>
      </c>
      <c r="Y24" s="8" t="n">
        <v>-3287.28</v>
      </c>
      <c r="Z24" s="8" t="n">
        <v>-967.68</v>
      </c>
      <c r="AA24" s="16" t="n">
        <v>0</v>
      </c>
      <c r="AB24" s="16" t="n">
        <v>0</v>
      </c>
      <c r="AC24" s="8" t="n">
        <v>-9545.84</v>
      </c>
      <c r="AD24" s="8" t="n">
        <v>0</v>
      </c>
      <c r="AE24" s="8" t="n">
        <v>0</v>
      </c>
      <c r="AF24" s="8" t="n">
        <v>-6675.11</v>
      </c>
      <c r="AG24" s="8" t="n">
        <v>-1732.49</v>
      </c>
      <c r="AH24" s="8" t="n">
        <v>-1539.38</v>
      </c>
      <c r="AI24" s="8" t="n">
        <v>0</v>
      </c>
      <c r="AJ24" s="16" t="n">
        <v>-4200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16" t="n">
        <v>-28960.84</v>
      </c>
      <c r="AQ24" s="8" t="n">
        <v>250000</v>
      </c>
    </row>
    <row r="25" customFormat="false" ht="15" hidden="false" customHeight="false" outlineLevel="0" collapsed="false">
      <c r="A25" s="7" t="s">
        <v>137</v>
      </c>
      <c r="B25" s="7" t="s">
        <v>466</v>
      </c>
      <c r="C25" s="20" t="n">
        <v>46630</v>
      </c>
      <c r="D25" s="8" t="n">
        <v>0</v>
      </c>
      <c r="E25" s="8" t="n">
        <v>8903.41</v>
      </c>
      <c r="F25" s="8" t="n">
        <v>-8903.41</v>
      </c>
      <c r="G25" s="16" t="n">
        <v>771.19</v>
      </c>
      <c r="H25" s="8" t="n">
        <v>-9674.6</v>
      </c>
      <c r="I25" s="8" t="n">
        <v>6414.24</v>
      </c>
      <c r="J25" s="8" t="n">
        <v>1669.87</v>
      </c>
      <c r="K25" s="8" t="n">
        <v>-17758.71</v>
      </c>
      <c r="L25" s="8" t="n">
        <v>5753.25</v>
      </c>
      <c r="M25" s="8" t="n">
        <v>0</v>
      </c>
      <c r="N25" s="8" t="n">
        <v>-12005.46</v>
      </c>
      <c r="O25" s="8" t="n">
        <v>-28960.84</v>
      </c>
      <c r="P25" s="8" t="n">
        <v>0</v>
      </c>
      <c r="Q25" s="8" t="n">
        <v>0</v>
      </c>
      <c r="R25" s="8" t="n">
        <v>0</v>
      </c>
      <c r="S25" s="8" t="n">
        <v>78992.43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-3198.52</v>
      </c>
      <c r="Y25" s="8" t="n">
        <v>-5355.28</v>
      </c>
      <c r="Z25" s="8" t="n">
        <v>-967.68</v>
      </c>
      <c r="AA25" s="16" t="n">
        <v>0</v>
      </c>
      <c r="AB25" s="16" t="n">
        <v>0</v>
      </c>
      <c r="AC25" s="8" t="n">
        <v>-10607.49</v>
      </c>
      <c r="AD25" s="8" t="n">
        <v>-1559.04</v>
      </c>
      <c r="AE25" s="8" t="n">
        <v>0</v>
      </c>
      <c r="AF25" s="8" t="n">
        <v>-7141.11</v>
      </c>
      <c r="AG25" s="8" t="n">
        <v>-1732.49</v>
      </c>
      <c r="AH25" s="8" t="n">
        <v>-1539.38</v>
      </c>
      <c r="AI25" s="8" t="n">
        <v>0</v>
      </c>
      <c r="AJ25" s="16" t="n">
        <v>-4200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16" t="n">
        <v>13730.6</v>
      </c>
      <c r="AQ25" s="8" t="n">
        <v>250000</v>
      </c>
    </row>
    <row r="26" customFormat="false" ht="15" hidden="false" customHeight="false" outlineLevel="0" collapsed="false">
      <c r="A26" s="7" t="s">
        <v>137</v>
      </c>
      <c r="B26" s="7" t="s">
        <v>466</v>
      </c>
      <c r="C26" s="20" t="n">
        <v>46660</v>
      </c>
      <c r="D26" s="8" t="n">
        <v>14847.52</v>
      </c>
      <c r="E26" s="8" t="n">
        <v>22660.51</v>
      </c>
      <c r="F26" s="8" t="n">
        <v>-7812.99</v>
      </c>
      <c r="G26" s="16" t="n">
        <v>751.51</v>
      </c>
      <c r="H26" s="8" t="n">
        <v>-8564.5</v>
      </c>
      <c r="I26" s="8" t="n">
        <v>6414.24</v>
      </c>
      <c r="J26" s="8" t="n">
        <v>1610.54</v>
      </c>
      <c r="K26" s="8" t="n">
        <v>-16589.28</v>
      </c>
      <c r="L26" s="8" t="n">
        <v>134.4</v>
      </c>
      <c r="M26" s="8" t="n">
        <v>0</v>
      </c>
      <c r="N26" s="8" t="n">
        <v>-16454.88</v>
      </c>
      <c r="O26" s="8" t="n">
        <v>13730.6</v>
      </c>
      <c r="P26" s="8" t="n">
        <v>0</v>
      </c>
      <c r="Q26" s="8" t="n">
        <v>0</v>
      </c>
      <c r="R26" s="8" t="n">
        <v>0</v>
      </c>
      <c r="S26" s="8" t="n">
        <v>14515.05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-4047.39</v>
      </c>
      <c r="Y26" s="8" t="n">
        <v>0</v>
      </c>
      <c r="Z26" s="8" t="n">
        <v>-134.4</v>
      </c>
      <c r="AA26" s="16" t="n">
        <v>0</v>
      </c>
      <c r="AB26" s="16" t="n">
        <v>0</v>
      </c>
      <c r="AC26" s="8" t="n">
        <v>0</v>
      </c>
      <c r="AD26" s="8" t="n">
        <v>0</v>
      </c>
      <c r="AE26" s="8" t="n">
        <v>0</v>
      </c>
      <c r="AF26" s="8" t="n">
        <v>-4983.89</v>
      </c>
      <c r="AG26" s="8" t="n">
        <v>-1732.49</v>
      </c>
      <c r="AH26" s="8" t="n">
        <v>-1489.73</v>
      </c>
      <c r="AI26" s="8" t="n">
        <v>0</v>
      </c>
      <c r="AJ26" s="16" t="n">
        <v>-4200</v>
      </c>
      <c r="AK26" s="8" t="n">
        <v>-2500</v>
      </c>
      <c r="AL26" s="8" t="n">
        <v>0</v>
      </c>
      <c r="AM26" s="8" t="n">
        <v>0</v>
      </c>
      <c r="AN26" s="8" t="n">
        <v>0</v>
      </c>
      <c r="AO26" s="8" t="n">
        <v>0</v>
      </c>
      <c r="AP26" s="16" t="n">
        <v>9157.75</v>
      </c>
      <c r="AQ26" s="8" t="n">
        <v>250000</v>
      </c>
    </row>
    <row r="27" customFormat="false" ht="15" hidden="false" customHeight="false" outlineLevel="0" collapsed="false">
      <c r="A27" s="7" t="s">
        <v>137</v>
      </c>
      <c r="B27" s="7" t="s">
        <v>467</v>
      </c>
      <c r="C27" s="20" t="n">
        <v>46326</v>
      </c>
      <c r="D27" s="8" t="n">
        <v>205826.77</v>
      </c>
      <c r="E27" s="8" t="n">
        <v>29807.86</v>
      </c>
      <c r="F27" s="8" t="n">
        <v>176018.91</v>
      </c>
      <c r="G27" s="16" t="n">
        <v>694.51</v>
      </c>
      <c r="H27" s="8" t="n">
        <v>175324.4</v>
      </c>
      <c r="I27" s="8" t="n">
        <v>6414.25</v>
      </c>
      <c r="J27" s="8" t="n">
        <v>1834.13</v>
      </c>
      <c r="K27" s="8" t="n">
        <v>167076.02</v>
      </c>
      <c r="L27" s="8" t="n">
        <v>6848.25</v>
      </c>
      <c r="M27" s="8" t="n">
        <v>0</v>
      </c>
      <c r="N27" s="8" t="n">
        <v>173924.27</v>
      </c>
      <c r="O27" s="8" t="n">
        <v>28343.6</v>
      </c>
      <c r="P27" s="8" t="n">
        <v>4613.98</v>
      </c>
      <c r="Q27" s="8" t="n">
        <v>30973.8</v>
      </c>
      <c r="R27" s="8" t="n">
        <v>0</v>
      </c>
      <c r="S27" s="8" t="n">
        <v>0</v>
      </c>
      <c r="T27" s="8" t="n">
        <v>18700</v>
      </c>
      <c r="U27" s="8" t="n">
        <v>0</v>
      </c>
      <c r="V27" s="8" t="n">
        <v>0</v>
      </c>
      <c r="W27" s="8" t="n">
        <v>-21393.12</v>
      </c>
      <c r="X27" s="8" t="n">
        <v>-7152.45</v>
      </c>
      <c r="Y27" s="8" t="n">
        <v>0</v>
      </c>
      <c r="Z27" s="8" t="n">
        <v>0</v>
      </c>
      <c r="AA27" s="16" t="n">
        <v>0</v>
      </c>
      <c r="AB27" s="16" t="n">
        <v>0</v>
      </c>
      <c r="AC27" s="8" t="n">
        <v>0</v>
      </c>
      <c r="AD27" s="8" t="n">
        <v>0</v>
      </c>
      <c r="AE27" s="8" t="n">
        <v>0</v>
      </c>
      <c r="AF27" s="8" t="n">
        <v>-289.1</v>
      </c>
      <c r="AG27" s="8" t="n">
        <v>-1732.49</v>
      </c>
      <c r="AH27" s="8" t="n">
        <v>-1609.99</v>
      </c>
      <c r="AI27" s="8" t="n">
        <v>0</v>
      </c>
      <c r="AJ27" s="16" t="n">
        <v>-4200</v>
      </c>
      <c r="AK27" s="8" t="n">
        <v>0</v>
      </c>
      <c r="AL27" s="8" t="n">
        <v>17000</v>
      </c>
      <c r="AM27" s="8" t="n">
        <v>-35000</v>
      </c>
      <c r="AN27" s="8" t="n">
        <v>0</v>
      </c>
      <c r="AO27" s="8" t="n">
        <v>0</v>
      </c>
      <c r="AP27" s="16" t="n">
        <v>28254.23</v>
      </c>
      <c r="AQ27" s="8" t="n">
        <v>203000</v>
      </c>
    </row>
    <row r="28" customFormat="false" ht="15" hidden="false" customHeight="false" outlineLevel="0" collapsed="false">
      <c r="A28" s="7" t="s">
        <v>137</v>
      </c>
      <c r="B28" s="7" t="s">
        <v>467</v>
      </c>
      <c r="C28" s="20" t="n">
        <v>46356</v>
      </c>
      <c r="D28" s="8" t="n">
        <v>17904.97</v>
      </c>
      <c r="E28" s="8" t="n">
        <v>19857.55</v>
      </c>
      <c r="F28" s="8" t="n">
        <v>-1952.58</v>
      </c>
      <c r="G28" s="16" t="n">
        <v>746.1</v>
      </c>
      <c r="H28" s="8" t="n">
        <v>-2698.68</v>
      </c>
      <c r="I28" s="8" t="n">
        <v>6414.23</v>
      </c>
      <c r="J28" s="8" t="n">
        <v>1591.53</v>
      </c>
      <c r="K28" s="8" t="n">
        <v>-10704.44</v>
      </c>
      <c r="L28" s="8" t="n">
        <v>-34616.24</v>
      </c>
      <c r="M28" s="8" t="n">
        <v>0</v>
      </c>
      <c r="N28" s="8" t="n">
        <v>-45320.68</v>
      </c>
      <c r="O28" s="8" t="n">
        <v>28254.23</v>
      </c>
      <c r="P28" s="8" t="n">
        <v>0</v>
      </c>
      <c r="Q28" s="8" t="n">
        <v>0</v>
      </c>
      <c r="R28" s="8" t="n">
        <v>0</v>
      </c>
      <c r="S28" s="8" t="n">
        <v>61802.46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-2011.71</v>
      </c>
      <c r="Y28" s="8" t="n">
        <v>-6531.52</v>
      </c>
      <c r="Z28" s="8" t="n">
        <v>-941.76</v>
      </c>
      <c r="AA28" s="16" t="n">
        <v>0</v>
      </c>
      <c r="AB28" s="16" t="n">
        <v>0</v>
      </c>
      <c r="AC28" s="8" t="n">
        <v>-14552.71</v>
      </c>
      <c r="AD28" s="8" t="n">
        <v>0</v>
      </c>
      <c r="AE28" s="8" t="n">
        <v>0</v>
      </c>
      <c r="AF28" s="8" t="n">
        <v>-632.04</v>
      </c>
      <c r="AG28" s="8" t="n">
        <v>-1732.49</v>
      </c>
      <c r="AH28" s="8" t="n">
        <v>-1376.51</v>
      </c>
      <c r="AI28" s="8" t="n">
        <v>0</v>
      </c>
      <c r="AJ28" s="16" t="n">
        <v>-4200</v>
      </c>
      <c r="AK28" s="8" t="n">
        <v>0</v>
      </c>
      <c r="AL28" s="8" t="n">
        <v>0</v>
      </c>
      <c r="AM28" s="8" t="n">
        <v>-30000</v>
      </c>
      <c r="AN28" s="8" t="n">
        <v>0</v>
      </c>
      <c r="AO28" s="8" t="n">
        <v>0</v>
      </c>
      <c r="AP28" s="16" t="n">
        <v>28077.95</v>
      </c>
      <c r="AQ28" s="8" t="n">
        <v>173000</v>
      </c>
    </row>
    <row r="29" customFormat="false" ht="15" hidden="false" customHeight="false" outlineLevel="0" collapsed="false">
      <c r="A29" s="7" t="s">
        <v>137</v>
      </c>
      <c r="B29" s="7" t="s">
        <v>467</v>
      </c>
      <c r="C29" s="20" t="n">
        <v>46387</v>
      </c>
      <c r="D29" s="8" t="n">
        <v>29131.2</v>
      </c>
      <c r="E29" s="8" t="n">
        <v>4176</v>
      </c>
      <c r="F29" s="8" t="n">
        <v>24955.2</v>
      </c>
      <c r="G29" s="16" t="n">
        <v>8869.44</v>
      </c>
      <c r="H29" s="8" t="n">
        <v>16085.76</v>
      </c>
      <c r="I29" s="8" t="n">
        <v>6414.24</v>
      </c>
      <c r="J29" s="8" t="n">
        <v>15161.79</v>
      </c>
      <c r="K29" s="8" t="n">
        <v>-5490.27</v>
      </c>
      <c r="L29" s="8" t="n">
        <v>-4466.62</v>
      </c>
      <c r="M29" s="8" t="n">
        <v>0</v>
      </c>
      <c r="N29" s="8" t="n">
        <v>-9956.89</v>
      </c>
      <c r="O29" s="8" t="n">
        <v>28077.95</v>
      </c>
      <c r="P29" s="8" t="n">
        <v>12843.25</v>
      </c>
      <c r="Q29" s="8" t="n">
        <v>4268.16</v>
      </c>
      <c r="R29" s="8" t="n">
        <v>0</v>
      </c>
      <c r="S29" s="8" t="n">
        <v>58168.06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-121.64</v>
      </c>
      <c r="Y29" s="8" t="n">
        <v>-32450</v>
      </c>
      <c r="Z29" s="8" t="n">
        <v>0</v>
      </c>
      <c r="AA29" s="16" t="n">
        <v>0</v>
      </c>
      <c r="AB29" s="16" t="n">
        <v>0</v>
      </c>
      <c r="AC29" s="8" t="n">
        <v>-10865.62</v>
      </c>
      <c r="AD29" s="8" t="n">
        <v>0</v>
      </c>
      <c r="AE29" s="8" t="n">
        <v>-3758.55</v>
      </c>
      <c r="AF29" s="8" t="n">
        <v>-954.04</v>
      </c>
      <c r="AG29" s="8" t="n">
        <v>-33602.17</v>
      </c>
      <c r="AH29" s="8" t="n">
        <v>-1408.38</v>
      </c>
      <c r="AI29" s="8" t="n">
        <v>0</v>
      </c>
      <c r="AJ29" s="16" t="n">
        <v>-4200</v>
      </c>
      <c r="AK29" s="8" t="n">
        <v>0</v>
      </c>
      <c r="AL29" s="8" t="n">
        <v>28000</v>
      </c>
      <c r="AM29" s="8" t="n">
        <v>0</v>
      </c>
      <c r="AN29" s="8" t="n">
        <v>0</v>
      </c>
      <c r="AO29" s="8" t="n">
        <v>0</v>
      </c>
      <c r="AP29" s="16" t="n">
        <v>43997.02</v>
      </c>
      <c r="AQ29" s="8" t="n">
        <v>201000</v>
      </c>
    </row>
    <row r="30" customFormat="false" ht="15" hidden="false" customHeight="false" outlineLevel="0" collapsed="false">
      <c r="A30" s="7" t="s">
        <v>137</v>
      </c>
      <c r="B30" s="7" t="s">
        <v>467</v>
      </c>
      <c r="C30" s="20" t="n">
        <v>46418</v>
      </c>
      <c r="D30" s="8" t="n">
        <v>33875.05</v>
      </c>
      <c r="E30" s="8" t="n">
        <v>1505.28</v>
      </c>
      <c r="F30" s="8" t="n">
        <v>32369.77</v>
      </c>
      <c r="G30" s="16" t="n">
        <v>21261.67</v>
      </c>
      <c r="H30" s="8" t="n">
        <v>11108.1</v>
      </c>
      <c r="I30" s="8" t="n">
        <v>6414.22</v>
      </c>
      <c r="J30" s="8" t="n">
        <v>7636.39</v>
      </c>
      <c r="K30" s="8" t="n">
        <v>-2942.51</v>
      </c>
      <c r="L30" s="8" t="n">
        <v>-32442.24</v>
      </c>
      <c r="M30" s="8" t="n">
        <v>0</v>
      </c>
      <c r="N30" s="8" t="n">
        <v>-35384.75</v>
      </c>
      <c r="O30" s="8" t="n">
        <v>43997.02</v>
      </c>
      <c r="P30" s="8" t="n">
        <v>0</v>
      </c>
      <c r="Q30" s="8" t="n">
        <v>44963.05</v>
      </c>
      <c r="R30" s="8" t="n">
        <v>0</v>
      </c>
      <c r="S30" s="8" t="n">
        <v>41634.89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-7488</v>
      </c>
      <c r="AA30" s="16" t="n">
        <v>0</v>
      </c>
      <c r="AB30" s="16" t="n">
        <v>0</v>
      </c>
      <c r="AC30" s="8" t="n">
        <v>0</v>
      </c>
      <c r="AD30" s="8" t="n">
        <v>-19300</v>
      </c>
      <c r="AE30" s="8" t="n">
        <v>-470.97</v>
      </c>
      <c r="AF30" s="8" t="n">
        <v>-2000.98</v>
      </c>
      <c r="AG30" s="8" t="n">
        <v>-46847.33</v>
      </c>
      <c r="AH30" s="8" t="n">
        <v>-1408.38</v>
      </c>
      <c r="AI30" s="8" t="n">
        <v>0</v>
      </c>
      <c r="AJ30" s="16" t="n">
        <v>-4200</v>
      </c>
      <c r="AK30" s="8" t="n">
        <v>-2500</v>
      </c>
      <c r="AL30" s="8" t="n">
        <v>0</v>
      </c>
      <c r="AM30" s="8" t="n">
        <v>-18000</v>
      </c>
      <c r="AN30" s="8" t="n">
        <v>0</v>
      </c>
      <c r="AO30" s="8" t="n">
        <v>0</v>
      </c>
      <c r="AP30" s="16" t="n">
        <v>28379.3</v>
      </c>
      <c r="AQ30" s="8" t="n">
        <v>183000</v>
      </c>
    </row>
    <row r="31" customFormat="false" ht="15" hidden="false" customHeight="false" outlineLevel="0" collapsed="false">
      <c r="A31" s="7" t="s">
        <v>137</v>
      </c>
      <c r="B31" s="7" t="s">
        <v>467</v>
      </c>
      <c r="C31" s="20" t="n">
        <v>46446</v>
      </c>
      <c r="D31" s="8" t="n">
        <v>0</v>
      </c>
      <c r="E31" s="8" t="n">
        <v>0</v>
      </c>
      <c r="F31" s="8" t="n">
        <v>0</v>
      </c>
      <c r="G31" s="16" t="n">
        <v>4818.1</v>
      </c>
      <c r="H31" s="8" t="n">
        <v>-4818.1</v>
      </c>
      <c r="I31" s="8" t="n">
        <v>6414.24</v>
      </c>
      <c r="J31" s="8" t="n">
        <v>1345.51</v>
      </c>
      <c r="K31" s="8" t="n">
        <v>-12577.85</v>
      </c>
      <c r="L31" s="8" t="n">
        <v>-0.02</v>
      </c>
      <c r="M31" s="8" t="n">
        <v>0</v>
      </c>
      <c r="N31" s="8" t="n">
        <v>-12577.87</v>
      </c>
      <c r="O31" s="8" t="n">
        <v>28379.3</v>
      </c>
      <c r="P31" s="8" t="n">
        <v>0</v>
      </c>
      <c r="Q31" s="8" t="n">
        <v>4703.04</v>
      </c>
      <c r="R31" s="8" t="n">
        <v>0</v>
      </c>
      <c r="S31" s="8" t="n">
        <v>12452.53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-5681.28</v>
      </c>
      <c r="AA31" s="16" t="n">
        <v>0</v>
      </c>
      <c r="AB31" s="16" t="n">
        <v>0</v>
      </c>
      <c r="AC31" s="8" t="n">
        <v>0</v>
      </c>
      <c r="AD31" s="8" t="n">
        <v>0</v>
      </c>
      <c r="AE31" s="8" t="n">
        <v>0</v>
      </c>
      <c r="AF31" s="8" t="n">
        <v>-4761.49</v>
      </c>
      <c r="AG31" s="8" t="n">
        <v>-1732.49</v>
      </c>
      <c r="AH31" s="8" t="n">
        <v>-1158.16</v>
      </c>
      <c r="AI31" s="8" t="n">
        <v>0</v>
      </c>
      <c r="AJ31" s="16" t="n">
        <v>-4200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16" t="n">
        <v>28001.45</v>
      </c>
      <c r="AQ31" s="8" t="n">
        <v>183000</v>
      </c>
    </row>
    <row r="32" customFormat="false" ht="15" hidden="false" customHeight="false" outlineLevel="0" collapsed="false">
      <c r="A32" s="7" t="s">
        <v>137</v>
      </c>
      <c r="B32" s="7" t="s">
        <v>467</v>
      </c>
      <c r="C32" s="20" t="n">
        <v>46477</v>
      </c>
      <c r="D32" s="8" t="n">
        <v>0</v>
      </c>
      <c r="E32" s="8" t="n">
        <v>21624.03</v>
      </c>
      <c r="F32" s="8" t="n">
        <v>-21624.03</v>
      </c>
      <c r="G32" s="16" t="n">
        <v>639.78</v>
      </c>
      <c r="H32" s="8" t="n">
        <v>-22263.81</v>
      </c>
      <c r="I32" s="8" t="n">
        <v>6414.23</v>
      </c>
      <c r="J32" s="8" t="n">
        <v>12293.14</v>
      </c>
      <c r="K32" s="8" t="n">
        <v>-40971.18</v>
      </c>
      <c r="L32" s="8" t="n">
        <v>9092.45</v>
      </c>
      <c r="M32" s="8" t="n">
        <v>0</v>
      </c>
      <c r="N32" s="8" t="n">
        <v>-31878.73</v>
      </c>
      <c r="O32" s="8" t="n">
        <v>28001.45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16" t="n">
        <v>0</v>
      </c>
      <c r="AB32" s="16" t="n">
        <v>0</v>
      </c>
      <c r="AC32" s="8" t="n">
        <v>0</v>
      </c>
      <c r="AD32" s="8" t="n">
        <v>-5900</v>
      </c>
      <c r="AE32" s="8" t="n">
        <v>0</v>
      </c>
      <c r="AF32" s="8" t="n">
        <v>-712.72</v>
      </c>
      <c r="AG32" s="8" t="n">
        <v>-36874.14</v>
      </c>
      <c r="AH32" s="8" t="n">
        <v>-1463.08</v>
      </c>
      <c r="AI32" s="8" t="n">
        <v>0</v>
      </c>
      <c r="AJ32" s="16" t="n">
        <v>-4200</v>
      </c>
      <c r="AK32" s="8" t="n">
        <v>0</v>
      </c>
      <c r="AL32" s="8" t="n">
        <v>32000</v>
      </c>
      <c r="AM32" s="8" t="n">
        <v>0</v>
      </c>
      <c r="AN32" s="8" t="n">
        <v>0</v>
      </c>
      <c r="AO32" s="8" t="n">
        <v>0</v>
      </c>
      <c r="AP32" s="16" t="n">
        <v>10851.51</v>
      </c>
      <c r="AQ32" s="8" t="n">
        <v>215000</v>
      </c>
    </row>
    <row r="33" customFormat="false" ht="15" hidden="false" customHeight="false" outlineLevel="0" collapsed="false">
      <c r="A33" s="7" t="s">
        <v>137</v>
      </c>
      <c r="B33" s="7" t="s">
        <v>467</v>
      </c>
      <c r="C33" s="20" t="n">
        <v>46507</v>
      </c>
      <c r="D33" s="8" t="n">
        <v>0</v>
      </c>
      <c r="E33" s="8" t="n">
        <v>46444.19</v>
      </c>
      <c r="F33" s="8" t="n">
        <v>-46444.19</v>
      </c>
      <c r="G33" s="16" t="n">
        <v>1191.35</v>
      </c>
      <c r="H33" s="8" t="n">
        <v>-47635.54</v>
      </c>
      <c r="I33" s="8" t="n">
        <v>6414.25</v>
      </c>
      <c r="J33" s="8" t="n">
        <v>1751.5</v>
      </c>
      <c r="K33" s="8" t="n">
        <v>-55801.29</v>
      </c>
      <c r="L33" s="8" t="n">
        <v>56071.19</v>
      </c>
      <c r="M33" s="8" t="n">
        <v>0</v>
      </c>
      <c r="N33" s="8" t="n">
        <v>269.9</v>
      </c>
      <c r="O33" s="8" t="n">
        <v>10851.51</v>
      </c>
      <c r="P33" s="8" t="n">
        <v>0</v>
      </c>
      <c r="Q33" s="8" t="n">
        <v>3024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-12290.75</v>
      </c>
      <c r="Z33" s="8" t="n">
        <v>-2580.48</v>
      </c>
      <c r="AA33" s="16" t="n">
        <v>0</v>
      </c>
      <c r="AB33" s="16" t="n">
        <v>0</v>
      </c>
      <c r="AC33" s="8" t="n">
        <v>-852.8</v>
      </c>
      <c r="AD33" s="8" t="n">
        <v>0</v>
      </c>
      <c r="AE33" s="8" t="n">
        <v>0</v>
      </c>
      <c r="AF33" s="8" t="n">
        <v>-638.37</v>
      </c>
      <c r="AG33" s="8" t="n">
        <v>-1732.49</v>
      </c>
      <c r="AH33" s="8" t="n">
        <v>-1582.87</v>
      </c>
      <c r="AI33" s="8" t="n">
        <v>0</v>
      </c>
      <c r="AJ33" s="16" t="n">
        <v>-4200</v>
      </c>
      <c r="AK33" s="8" t="n">
        <v>-2500</v>
      </c>
      <c r="AL33" s="8" t="n">
        <v>31000</v>
      </c>
      <c r="AM33" s="8" t="n">
        <v>0</v>
      </c>
      <c r="AN33" s="8" t="n">
        <v>0</v>
      </c>
      <c r="AO33" s="8" t="n">
        <v>0</v>
      </c>
      <c r="AP33" s="16" t="n">
        <v>18497.75</v>
      </c>
      <c r="AQ33" s="8" t="n">
        <v>246000</v>
      </c>
    </row>
    <row r="34" customFormat="false" ht="15" hidden="false" customHeight="false" outlineLevel="0" collapsed="false">
      <c r="A34" s="7" t="s">
        <v>137</v>
      </c>
      <c r="B34" s="7" t="s">
        <v>467</v>
      </c>
      <c r="C34" s="20" t="n">
        <v>46538</v>
      </c>
      <c r="D34" s="8" t="n">
        <v>0</v>
      </c>
      <c r="E34" s="8" t="n">
        <v>37581.43</v>
      </c>
      <c r="F34" s="8" t="n">
        <v>-37581.43</v>
      </c>
      <c r="G34" s="16" t="n">
        <v>740.43</v>
      </c>
      <c r="H34" s="8" t="n">
        <v>-38321.86</v>
      </c>
      <c r="I34" s="8" t="n">
        <v>6414.24</v>
      </c>
      <c r="J34" s="8" t="n">
        <v>1899.14</v>
      </c>
      <c r="K34" s="8" t="n">
        <v>-46635.24</v>
      </c>
      <c r="L34" s="8" t="n">
        <v>25722.63</v>
      </c>
      <c r="M34" s="8" t="n">
        <v>0</v>
      </c>
      <c r="N34" s="8" t="n">
        <v>-20912.61</v>
      </c>
      <c r="O34" s="8" t="n">
        <v>18497.75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-2774.6</v>
      </c>
      <c r="Y34" s="8" t="n">
        <v>-10769.29</v>
      </c>
      <c r="Z34" s="8" t="n">
        <v>-967.68</v>
      </c>
      <c r="AA34" s="16" t="n">
        <v>0</v>
      </c>
      <c r="AB34" s="16" t="n">
        <v>0</v>
      </c>
      <c r="AC34" s="8" t="n">
        <v>-2257.22</v>
      </c>
      <c r="AD34" s="8" t="n">
        <v>0</v>
      </c>
      <c r="AE34" s="8" t="n">
        <v>-3758.55</v>
      </c>
      <c r="AF34" s="8" t="n">
        <v>-1206.81</v>
      </c>
      <c r="AG34" s="8" t="n">
        <v>-1732.49</v>
      </c>
      <c r="AH34" s="8" t="n">
        <v>-1739.96</v>
      </c>
      <c r="AI34" s="8" t="n">
        <v>0</v>
      </c>
      <c r="AJ34" s="16" t="n">
        <v>-4200</v>
      </c>
      <c r="AK34" s="8" t="n">
        <v>0</v>
      </c>
      <c r="AL34" s="8" t="n">
        <v>4000</v>
      </c>
      <c r="AM34" s="8" t="n">
        <v>0</v>
      </c>
      <c r="AN34" s="8" t="n">
        <v>0</v>
      </c>
      <c r="AO34" s="8" t="n">
        <v>0</v>
      </c>
      <c r="AP34" s="16" t="n">
        <v>-6908.85</v>
      </c>
      <c r="AQ34" s="8" t="n">
        <v>250000</v>
      </c>
    </row>
    <row r="35" customFormat="false" ht="15" hidden="false" customHeight="false" outlineLevel="0" collapsed="false">
      <c r="A35" s="7" t="s">
        <v>137</v>
      </c>
      <c r="B35" s="7" t="s">
        <v>467</v>
      </c>
      <c r="C35" s="20" t="n">
        <v>46568</v>
      </c>
      <c r="D35" s="8" t="n">
        <v>59357.08</v>
      </c>
      <c r="E35" s="8" t="n">
        <v>24700.57</v>
      </c>
      <c r="F35" s="8" t="n">
        <v>34656.51</v>
      </c>
      <c r="G35" s="16" t="n">
        <v>723.76</v>
      </c>
      <c r="H35" s="8" t="n">
        <v>33932.75</v>
      </c>
      <c r="I35" s="8" t="n">
        <v>6414.22</v>
      </c>
      <c r="J35" s="8" t="n">
        <v>1844.88</v>
      </c>
      <c r="K35" s="8" t="n">
        <v>25673.65</v>
      </c>
      <c r="L35" s="8" t="n">
        <v>-66.37</v>
      </c>
      <c r="M35" s="8" t="n">
        <v>0</v>
      </c>
      <c r="N35" s="8" t="n">
        <v>25607.28</v>
      </c>
      <c r="O35" s="8" t="n">
        <v>-6908.85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-4770.6</v>
      </c>
      <c r="Y35" s="8" t="n">
        <v>-21622.75</v>
      </c>
      <c r="Z35" s="8" t="n">
        <v>-2580.48</v>
      </c>
      <c r="AA35" s="16" t="n">
        <v>0</v>
      </c>
      <c r="AB35" s="16" t="n">
        <v>0</v>
      </c>
      <c r="AC35" s="8" t="n">
        <v>-10359.44</v>
      </c>
      <c r="AD35" s="8" t="n">
        <v>0</v>
      </c>
      <c r="AE35" s="8" t="n">
        <v>0</v>
      </c>
      <c r="AF35" s="8" t="n">
        <v>-745.49</v>
      </c>
      <c r="AG35" s="8" t="n">
        <v>-1732.49</v>
      </c>
      <c r="AH35" s="8" t="n">
        <v>-1695.21</v>
      </c>
      <c r="AI35" s="8" t="n">
        <v>0</v>
      </c>
      <c r="AJ35" s="16" t="n">
        <v>-4200</v>
      </c>
      <c r="AK35" s="8" t="n">
        <v>-2500</v>
      </c>
      <c r="AL35" s="8" t="n">
        <v>0</v>
      </c>
      <c r="AM35" s="8" t="n">
        <v>0</v>
      </c>
      <c r="AN35" s="8" t="n">
        <v>0</v>
      </c>
      <c r="AO35" s="8" t="n">
        <v>0</v>
      </c>
      <c r="AP35" s="16" t="n">
        <v>-57115.31</v>
      </c>
      <c r="AQ35" s="8" t="n">
        <v>250000</v>
      </c>
    </row>
    <row r="36" customFormat="false" ht="15" hidden="false" customHeight="false" outlineLevel="0" collapsed="false">
      <c r="A36" s="7" t="s">
        <v>137</v>
      </c>
      <c r="B36" s="7" t="s">
        <v>467</v>
      </c>
      <c r="C36" s="20" t="n">
        <v>46599</v>
      </c>
      <c r="D36" s="8" t="n">
        <v>43035.85</v>
      </c>
      <c r="E36" s="8" t="n">
        <v>27430.12</v>
      </c>
      <c r="F36" s="8" t="n">
        <v>15605.73</v>
      </c>
      <c r="G36" s="16" t="n">
        <v>750</v>
      </c>
      <c r="H36" s="8" t="n">
        <v>14855.73</v>
      </c>
      <c r="I36" s="8" t="n">
        <v>6414.25</v>
      </c>
      <c r="J36" s="8" t="n">
        <v>1891.82</v>
      </c>
      <c r="K36" s="8" t="n">
        <v>6549.66</v>
      </c>
      <c r="L36" s="8" t="n">
        <v>12659.97</v>
      </c>
      <c r="M36" s="8" t="n">
        <v>0</v>
      </c>
      <c r="N36" s="8" t="n">
        <v>19209.63</v>
      </c>
      <c r="O36" s="8" t="n">
        <v>-57115.31</v>
      </c>
      <c r="P36" s="8" t="n">
        <v>0</v>
      </c>
      <c r="Q36" s="8" t="n">
        <v>11909.45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-4216.96</v>
      </c>
      <c r="Y36" s="8" t="n">
        <v>-3287.28</v>
      </c>
      <c r="Z36" s="8" t="n">
        <v>-967.68</v>
      </c>
      <c r="AA36" s="16" t="n">
        <v>0</v>
      </c>
      <c r="AB36" s="16" t="n">
        <v>0</v>
      </c>
      <c r="AC36" s="8" t="n">
        <v>-9545.84</v>
      </c>
      <c r="AD36" s="8" t="n">
        <v>0</v>
      </c>
      <c r="AE36" s="8" t="n">
        <v>0</v>
      </c>
      <c r="AF36" s="8" t="n">
        <v>-6675.11</v>
      </c>
      <c r="AG36" s="8" t="n">
        <v>-1732.49</v>
      </c>
      <c r="AH36" s="8" t="n">
        <v>-1751.71</v>
      </c>
      <c r="AI36" s="8" t="n">
        <v>0</v>
      </c>
      <c r="AJ36" s="16" t="n">
        <v>-4200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16" t="n">
        <v>-77582.93</v>
      </c>
      <c r="AQ36" s="8" t="n">
        <v>250000</v>
      </c>
    </row>
    <row r="37" customFormat="false" ht="15" hidden="false" customHeight="false" outlineLevel="0" collapsed="false">
      <c r="A37" s="7" t="s">
        <v>137</v>
      </c>
      <c r="B37" s="7" t="s">
        <v>467</v>
      </c>
      <c r="C37" s="20" t="n">
        <v>46630</v>
      </c>
      <c r="D37" s="8" t="n">
        <v>0</v>
      </c>
      <c r="E37" s="8" t="n">
        <v>8903.41</v>
      </c>
      <c r="F37" s="8" t="n">
        <v>-8903.41</v>
      </c>
      <c r="G37" s="16" t="n">
        <v>771.19</v>
      </c>
      <c r="H37" s="8" t="n">
        <v>-9674.6</v>
      </c>
      <c r="I37" s="8" t="n">
        <v>6414.24</v>
      </c>
      <c r="J37" s="8" t="n">
        <v>1882.2</v>
      </c>
      <c r="K37" s="8" t="n">
        <v>-17971.04</v>
      </c>
      <c r="L37" s="8" t="n">
        <v>5773.11</v>
      </c>
      <c r="M37" s="8" t="n">
        <v>0</v>
      </c>
      <c r="N37" s="8" t="n">
        <v>-12197.93</v>
      </c>
      <c r="O37" s="8" t="n">
        <v>-77582.93</v>
      </c>
      <c r="P37" s="8" t="n">
        <v>0</v>
      </c>
      <c r="Q37" s="8" t="n">
        <v>0</v>
      </c>
      <c r="R37" s="8" t="n">
        <v>0</v>
      </c>
      <c r="S37" s="8" t="n">
        <v>78992.43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-3198.52</v>
      </c>
      <c r="Y37" s="8" t="n">
        <v>-5355.28</v>
      </c>
      <c r="Z37" s="8" t="n">
        <v>-967.68</v>
      </c>
      <c r="AA37" s="16" t="n">
        <v>0</v>
      </c>
      <c r="AB37" s="16" t="n">
        <v>0</v>
      </c>
      <c r="AC37" s="8" t="n">
        <v>-10607.49</v>
      </c>
      <c r="AD37" s="8" t="n">
        <v>-1559.04</v>
      </c>
      <c r="AE37" s="8" t="n">
        <v>0</v>
      </c>
      <c r="AF37" s="8" t="n">
        <v>-7141.11</v>
      </c>
      <c r="AG37" s="8" t="n">
        <v>-1732.49</v>
      </c>
      <c r="AH37" s="8" t="n">
        <v>-1751.71</v>
      </c>
      <c r="AI37" s="8" t="n">
        <v>0</v>
      </c>
      <c r="AJ37" s="16" t="n">
        <v>-4200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16" t="n">
        <v>-35103.82</v>
      </c>
      <c r="AQ37" s="8" t="n">
        <v>250000</v>
      </c>
    </row>
    <row r="38" customFormat="false" ht="15" hidden="false" customHeight="false" outlineLevel="0" collapsed="false">
      <c r="A38" s="7" t="s">
        <v>137</v>
      </c>
      <c r="B38" s="7" t="s">
        <v>467</v>
      </c>
      <c r="C38" s="20" t="n">
        <v>46660</v>
      </c>
      <c r="D38" s="8" t="n">
        <v>14847.52</v>
      </c>
      <c r="E38" s="8" t="n">
        <v>22660.51</v>
      </c>
      <c r="F38" s="8" t="n">
        <v>-7812.99</v>
      </c>
      <c r="G38" s="16" t="n">
        <v>751.51</v>
      </c>
      <c r="H38" s="8" t="n">
        <v>-8564.5</v>
      </c>
      <c r="I38" s="8" t="n">
        <v>6414.24</v>
      </c>
      <c r="J38" s="8" t="n">
        <v>1816.02</v>
      </c>
      <c r="K38" s="8" t="n">
        <v>-16794.76</v>
      </c>
      <c r="L38" s="8" t="n">
        <v>134.4</v>
      </c>
      <c r="M38" s="8" t="n">
        <v>0</v>
      </c>
      <c r="N38" s="8" t="n">
        <v>-16660.36</v>
      </c>
      <c r="O38" s="8" t="n">
        <v>-35103.82</v>
      </c>
      <c r="P38" s="8" t="n">
        <v>0</v>
      </c>
      <c r="Q38" s="8" t="n">
        <v>0</v>
      </c>
      <c r="R38" s="8" t="n">
        <v>0</v>
      </c>
      <c r="S38" s="8" t="n">
        <v>14515.05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-4047.39</v>
      </c>
      <c r="Y38" s="8" t="n">
        <v>0</v>
      </c>
      <c r="Z38" s="8" t="n">
        <v>-134.4</v>
      </c>
      <c r="AA38" s="16" t="n">
        <v>0</v>
      </c>
      <c r="AB38" s="16" t="n">
        <v>0</v>
      </c>
      <c r="AC38" s="8" t="n">
        <v>0</v>
      </c>
      <c r="AD38" s="8" t="n">
        <v>0</v>
      </c>
      <c r="AE38" s="8" t="n">
        <v>0</v>
      </c>
      <c r="AF38" s="8" t="n">
        <v>-4983.89</v>
      </c>
      <c r="AG38" s="8" t="n">
        <v>-1732.49</v>
      </c>
      <c r="AH38" s="8" t="n">
        <v>-1695.21</v>
      </c>
      <c r="AI38" s="8" t="n">
        <v>0</v>
      </c>
      <c r="AJ38" s="16" t="n">
        <v>-4200</v>
      </c>
      <c r="AK38" s="8" t="n">
        <v>-2500</v>
      </c>
      <c r="AL38" s="8" t="n">
        <v>0</v>
      </c>
      <c r="AM38" s="8" t="n">
        <v>0</v>
      </c>
      <c r="AN38" s="8" t="n">
        <v>0</v>
      </c>
      <c r="AO38" s="8" t="n">
        <v>0</v>
      </c>
      <c r="AP38" s="16" t="n">
        <v>-39882.15</v>
      </c>
      <c r="AQ38" s="8" t="n">
        <v>250000</v>
      </c>
    </row>
  </sheetData>
  <autoFilter ref="A2:AQ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6"/>
    <col collapsed="false" customWidth="true" hidden="false" outlineLevel="0" max="4" min="4" style="0" width="60"/>
    <col collapsed="false" customWidth="true" hidden="false" outlineLevel="0" max="5" min="5" style="0" width="56"/>
  </cols>
  <sheetData>
    <row r="1" customFormat="false" ht="15" hidden="false" customHeight="false" outlineLevel="0" collapsed="false">
      <c r="A1" s="11" t="s">
        <v>131</v>
      </c>
      <c r="B1" s="11" t="s">
        <v>437</v>
      </c>
      <c r="C1" s="11" t="s">
        <v>468</v>
      </c>
      <c r="D1" s="11" t="s">
        <v>469</v>
      </c>
      <c r="E1" s="11" t="s">
        <v>470</v>
      </c>
    </row>
    <row r="2" customFormat="false" ht="15" hidden="false" customHeight="false" outlineLevel="0" collapsed="false">
      <c r="A2" s="7" t="s">
        <v>137</v>
      </c>
      <c r="B2" s="7" t="s">
        <v>465</v>
      </c>
      <c r="C2" s="7" t="s">
        <v>471</v>
      </c>
      <c r="D2" s="7" t="s">
        <v>472</v>
      </c>
      <c r="E2" s="7" t="s">
        <v>473</v>
      </c>
    </row>
    <row r="3" customFormat="false" ht="15" hidden="false" customHeight="false" outlineLevel="0" collapsed="false">
      <c r="A3" s="7" t="s">
        <v>137</v>
      </c>
      <c r="B3" s="7" t="s">
        <v>466</v>
      </c>
      <c r="C3" s="7" t="s">
        <v>471</v>
      </c>
      <c r="D3" s="7" t="s">
        <v>474</v>
      </c>
      <c r="E3" s="7"/>
    </row>
    <row r="4" customFormat="false" ht="15" hidden="false" customHeight="false" outlineLevel="0" collapsed="false">
      <c r="A4" s="7" t="s">
        <v>137</v>
      </c>
      <c r="B4" s="7" t="s">
        <v>467</v>
      </c>
      <c r="C4" s="7" t="s">
        <v>471</v>
      </c>
      <c r="D4" s="7" t="s">
        <v>475</v>
      </c>
      <c r="E4" s="7"/>
    </row>
    <row r="5" customFormat="false" ht="15" hidden="false" customHeight="false" outlineLevel="0" collapsed="false">
      <c r="A5" s="7" t="s">
        <v>137</v>
      </c>
      <c r="B5" s="7" t="s">
        <v>465</v>
      </c>
      <c r="C5" s="7" t="s">
        <v>476</v>
      </c>
      <c r="D5" s="7" t="s">
        <v>477</v>
      </c>
      <c r="E5" s="7" t="s">
        <v>478</v>
      </c>
    </row>
    <row r="6" customFormat="false" ht="15" hidden="false" customHeight="false" outlineLevel="0" collapsed="false">
      <c r="A6" s="7" t="s">
        <v>137</v>
      </c>
      <c r="B6" s="7" t="s">
        <v>466</v>
      </c>
      <c r="C6" s="7" t="s">
        <v>476</v>
      </c>
      <c r="D6" s="7" t="s">
        <v>479</v>
      </c>
      <c r="E6" s="7"/>
    </row>
    <row r="7" customFormat="false" ht="15" hidden="false" customHeight="false" outlineLevel="0" collapsed="false">
      <c r="A7" s="7" t="s">
        <v>137</v>
      </c>
      <c r="B7" s="7" t="s">
        <v>467</v>
      </c>
      <c r="C7" s="7" t="s">
        <v>476</v>
      </c>
      <c r="D7" s="7" t="s">
        <v>480</v>
      </c>
      <c r="E7" s="7" t="s">
        <v>481</v>
      </c>
    </row>
    <row r="8" customFormat="false" ht="15" hidden="false" customHeight="false" outlineLevel="0" collapsed="false">
      <c r="A8" s="7" t="s">
        <v>137</v>
      </c>
      <c r="B8" s="7" t="s">
        <v>465</v>
      </c>
      <c r="C8" s="7" t="s">
        <v>482</v>
      </c>
      <c r="D8" s="7" t="s">
        <v>483</v>
      </c>
      <c r="E8" s="7" t="s">
        <v>484</v>
      </c>
    </row>
    <row r="9" customFormat="false" ht="15" hidden="false" customHeight="false" outlineLevel="0" collapsed="false">
      <c r="A9" s="7" t="s">
        <v>137</v>
      </c>
      <c r="B9" s="7" t="s">
        <v>466</v>
      </c>
      <c r="C9" s="7" t="s">
        <v>485</v>
      </c>
      <c r="D9" s="7" t="s">
        <v>486</v>
      </c>
      <c r="E9" s="7"/>
    </row>
    <row r="10" customFormat="false" ht="15" hidden="false" customHeight="false" outlineLevel="0" collapsed="false">
      <c r="A10" s="7" t="s">
        <v>137</v>
      </c>
      <c r="B10" s="7" t="s">
        <v>467</v>
      </c>
      <c r="C10" s="7" t="s">
        <v>485</v>
      </c>
      <c r="D10" s="7" t="s">
        <v>487</v>
      </c>
      <c r="E10" s="7"/>
    </row>
    <row r="11" customFormat="false" ht="15" hidden="false" customHeight="false" outlineLevel="0" collapsed="false">
      <c r="A11" s="7" t="s">
        <v>137</v>
      </c>
      <c r="B11" s="7" t="s">
        <v>488</v>
      </c>
      <c r="C11" s="7" t="s">
        <v>489</v>
      </c>
      <c r="D11" s="7" t="s">
        <v>490</v>
      </c>
      <c r="E11" s="7" t="s">
        <v>491</v>
      </c>
    </row>
    <row r="12" customFormat="false" ht="15" hidden="false" customHeight="false" outlineLevel="0" collapsed="false">
      <c r="A12" s="7" t="s">
        <v>137</v>
      </c>
      <c r="B12" s="7" t="s">
        <v>492</v>
      </c>
      <c r="C12" s="7" t="s">
        <v>493</v>
      </c>
      <c r="D12" s="7" t="s">
        <v>494</v>
      </c>
      <c r="E12" s="7" t="s">
        <v>495</v>
      </c>
    </row>
    <row r="13" customFormat="false" ht="15" hidden="false" customHeight="false" outlineLevel="0" collapsed="false">
      <c r="A13" s="7" t="s">
        <v>137</v>
      </c>
      <c r="B13" s="7" t="s">
        <v>488</v>
      </c>
      <c r="C13" s="7" t="s">
        <v>496</v>
      </c>
      <c r="D13" s="7" t="s">
        <v>497</v>
      </c>
      <c r="E13" s="7" t="s">
        <v>498</v>
      </c>
    </row>
    <row r="14" customFormat="false" ht="15" hidden="false" customHeight="false" outlineLevel="0" collapsed="false">
      <c r="A14" s="7" t="s">
        <v>137</v>
      </c>
      <c r="B14" s="7" t="s">
        <v>492</v>
      </c>
      <c r="C14" s="7" t="s">
        <v>499</v>
      </c>
      <c r="D14" s="7" t="s">
        <v>500</v>
      </c>
      <c r="E14" s="7" t="s">
        <v>501</v>
      </c>
    </row>
    <row r="15" customFormat="false" ht="15" hidden="false" customHeight="false" outlineLevel="0" collapsed="false">
      <c r="A15" s="7" t="s">
        <v>137</v>
      </c>
      <c r="B15" s="7" t="s">
        <v>488</v>
      </c>
      <c r="C15" s="7" t="s">
        <v>502</v>
      </c>
      <c r="D15" s="7" t="s">
        <v>503</v>
      </c>
      <c r="E15" s="7" t="s">
        <v>504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44"/>
    <col collapsed="false" customWidth="true" hidden="false" outlineLevel="0" max="8" min="7" style="0" width="26"/>
    <col collapsed="false" customWidth="true" hidden="false" outlineLevel="0" max="9" min="9" style="0" width="28"/>
    <col collapsed="false" customWidth="true" hidden="false" outlineLevel="0" max="10" min="10" style="0" width="33"/>
    <col collapsed="false" customWidth="true" hidden="false" outlineLevel="0" max="11" min="11" style="0" width="3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44"/>
    <col collapsed="false" customWidth="true" hidden="false" outlineLevel="0" max="15" min="15" style="0" width="10"/>
    <col collapsed="false" customWidth="true" hidden="false" outlineLevel="0" max="16" min="16" style="0" width="25"/>
    <col collapsed="false" customWidth="true" hidden="false" outlineLevel="0" max="17" min="17" style="0" width="21"/>
    <col collapsed="false" customWidth="true" hidden="false" outlineLevel="0" max="18" min="18" style="0" width="23"/>
    <col collapsed="false" customWidth="true" hidden="false" outlineLevel="0" max="19" min="19" style="0" width="12"/>
    <col collapsed="false" customWidth="true" hidden="false" outlineLevel="0" max="20" min="20" style="0" width="36"/>
    <col collapsed="false" customWidth="true" hidden="false" outlineLevel="0" max="21" min="21" style="0" width="11"/>
    <col collapsed="false" customWidth="true" hidden="false" outlineLevel="0" max="23" min="22" style="0" width="26"/>
    <col collapsed="false" customWidth="true" hidden="false" outlineLevel="0" max="25" min="24" style="0" width="25"/>
    <col collapsed="false" customWidth="true" hidden="false" outlineLevel="0" max="26" min="26" style="0" width="31"/>
    <col collapsed="false" customWidth="true" hidden="false" outlineLevel="0" max="27" min="27" style="0" width="21"/>
    <col collapsed="false" customWidth="true" hidden="false" outlineLevel="0" max="28" min="28" style="0" width="30"/>
    <col collapsed="false" customWidth="true" hidden="false" outlineLevel="0" max="29" min="29" style="0" width="21"/>
    <col collapsed="false" customWidth="true" hidden="false" outlineLevel="0" max="30" min="30" style="0" width="27"/>
    <col collapsed="false" customWidth="true" hidden="false" outlineLevel="0" max="31" min="31" style="0" width="22"/>
    <col collapsed="false" customWidth="true" hidden="false" outlineLevel="0" max="32" min="32" style="0" width="27"/>
    <col collapsed="false" customWidth="true" hidden="false" outlineLevel="0" max="33" min="33" style="0" width="20"/>
    <col collapsed="false" customWidth="true" hidden="false" outlineLevel="0" max="34" min="34" style="0" width="21"/>
    <col collapsed="false" customWidth="true" hidden="false" outlineLevel="0" max="35" min="35" style="0" width="23"/>
    <col collapsed="false" customWidth="true" hidden="false" outlineLevel="0" max="36" min="36" style="0" width="24"/>
    <col collapsed="false" customWidth="true" hidden="false" outlineLevel="0" max="37" min="37" style="0" width="19"/>
  </cols>
  <sheetData>
    <row r="1" customFormat="false" ht="15" hidden="false" customHeight="false" outlineLevel="0" collapsed="false">
      <c r="A1" s="10" t="s">
        <v>505</v>
      </c>
    </row>
    <row r="2" customFormat="false" ht="23.85" hidden="false" customHeight="false" outlineLevel="0" collapsed="false">
      <c r="A2" s="11" t="s">
        <v>131</v>
      </c>
      <c r="B2" s="11" t="s">
        <v>506</v>
      </c>
      <c r="C2" s="11" t="s">
        <v>507</v>
      </c>
      <c r="D2" s="11" t="s">
        <v>508</v>
      </c>
      <c r="E2" s="11" t="s">
        <v>509</v>
      </c>
      <c r="F2" s="11" t="s">
        <v>510</v>
      </c>
      <c r="G2" s="11" t="s">
        <v>511</v>
      </c>
      <c r="H2" s="11" t="s">
        <v>512</v>
      </c>
      <c r="I2" s="11" t="s">
        <v>513</v>
      </c>
      <c r="J2" s="11" t="s">
        <v>514</v>
      </c>
      <c r="K2" s="11" t="s">
        <v>515</v>
      </c>
      <c r="L2" s="11" t="s">
        <v>516</v>
      </c>
      <c r="M2" s="11" t="s">
        <v>517</v>
      </c>
      <c r="N2" s="11" t="s">
        <v>518</v>
      </c>
      <c r="O2" s="11" t="s">
        <v>369</v>
      </c>
      <c r="P2" s="11" t="s">
        <v>519</v>
      </c>
      <c r="Q2" s="11" t="s">
        <v>350</v>
      </c>
      <c r="R2" s="11" t="s">
        <v>520</v>
      </c>
      <c r="S2" s="11" t="s">
        <v>521</v>
      </c>
      <c r="T2" s="11" t="s">
        <v>522</v>
      </c>
      <c r="U2" s="11" t="s">
        <v>230</v>
      </c>
      <c r="V2" s="11" t="s">
        <v>523</v>
      </c>
      <c r="W2" s="11" t="s">
        <v>365</v>
      </c>
      <c r="X2" s="11" t="s">
        <v>524</v>
      </c>
      <c r="Y2" s="11" t="s">
        <v>525</v>
      </c>
      <c r="Z2" s="11" t="s">
        <v>354</v>
      </c>
      <c r="AA2" s="11" t="s">
        <v>368</v>
      </c>
      <c r="AB2" s="11" t="s">
        <v>526</v>
      </c>
      <c r="AC2" s="11" t="s">
        <v>527</v>
      </c>
      <c r="AD2" s="11" t="s">
        <v>528</v>
      </c>
      <c r="AE2" s="11" t="s">
        <v>363</v>
      </c>
      <c r="AF2" s="11" t="s">
        <v>364</v>
      </c>
      <c r="AG2" s="11" t="s">
        <v>529</v>
      </c>
      <c r="AH2" s="11" t="s">
        <v>367</v>
      </c>
      <c r="AI2" s="11" t="s">
        <v>530</v>
      </c>
      <c r="AJ2" s="11" t="s">
        <v>531</v>
      </c>
      <c r="AK2" s="11" t="s">
        <v>532</v>
      </c>
    </row>
    <row r="3" customFormat="false" ht="15" hidden="false" customHeight="false" outlineLevel="0" collapsed="false">
      <c r="A3" s="7" t="s">
        <v>137</v>
      </c>
      <c r="B3" s="16" t="n">
        <v>1</v>
      </c>
      <c r="C3" s="20" t="n">
        <v>46296</v>
      </c>
      <c r="D3" s="20" t="n">
        <v>46302</v>
      </c>
      <c r="E3" s="8" t="n">
        <v>28343.6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-6646.08</v>
      </c>
      <c r="O3" s="8" t="n">
        <v>-2357.4</v>
      </c>
      <c r="P3" s="8" t="n">
        <v>0</v>
      </c>
      <c r="Q3" s="8" t="n">
        <v>0</v>
      </c>
      <c r="R3" s="16" t="n">
        <v>0</v>
      </c>
      <c r="S3" s="16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16" t="n">
        <v>-4200</v>
      </c>
      <c r="AB3" s="8" t="n">
        <v>0</v>
      </c>
      <c r="AC3" s="8" t="n">
        <v>-13203.48</v>
      </c>
      <c r="AD3" s="8" t="n">
        <v>-13203.48</v>
      </c>
      <c r="AE3" s="8" t="n">
        <v>0</v>
      </c>
      <c r="AF3" s="8" t="n">
        <v>0</v>
      </c>
      <c r="AG3" s="8" t="n">
        <v>0</v>
      </c>
      <c r="AH3" s="8" t="n">
        <v>0</v>
      </c>
      <c r="AI3" s="16" t="n">
        <v>15140.12</v>
      </c>
      <c r="AJ3" s="8" t="n">
        <v>221000</v>
      </c>
      <c r="AK3" s="16" t="n">
        <v>29000</v>
      </c>
    </row>
    <row r="4" customFormat="false" ht="15" hidden="false" customHeight="false" outlineLevel="0" collapsed="false">
      <c r="A4" s="7" t="s">
        <v>137</v>
      </c>
      <c r="B4" s="16" t="n">
        <v>2</v>
      </c>
      <c r="C4" s="20" t="n">
        <v>46303</v>
      </c>
      <c r="D4" s="20" t="n">
        <v>46309</v>
      </c>
      <c r="E4" s="8" t="n">
        <v>15140.12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16" t="n">
        <v>0</v>
      </c>
      <c r="S4" s="16" t="n">
        <v>0</v>
      </c>
      <c r="T4" s="8" t="n">
        <v>0</v>
      </c>
      <c r="U4" s="8" t="n">
        <v>0</v>
      </c>
      <c r="V4" s="8" t="n">
        <v>0</v>
      </c>
      <c r="W4" s="8" t="n">
        <v>-289.1</v>
      </c>
      <c r="X4" s="8" t="n">
        <v>0</v>
      </c>
      <c r="Y4" s="8" t="n">
        <v>0</v>
      </c>
      <c r="Z4" s="8" t="n">
        <v>0</v>
      </c>
      <c r="AA4" s="16" t="n">
        <v>0</v>
      </c>
      <c r="AB4" s="8" t="n">
        <v>0</v>
      </c>
      <c r="AC4" s="8" t="n">
        <v>-289.1</v>
      </c>
      <c r="AD4" s="8" t="n">
        <v>-289.1</v>
      </c>
      <c r="AE4" s="8" t="n">
        <v>0</v>
      </c>
      <c r="AF4" s="8" t="n">
        <v>0</v>
      </c>
      <c r="AG4" s="8" t="n">
        <v>0</v>
      </c>
      <c r="AH4" s="8" t="n">
        <v>0</v>
      </c>
      <c r="AI4" s="16" t="n">
        <v>14851.02</v>
      </c>
      <c r="AJ4" s="8" t="n">
        <v>221000</v>
      </c>
      <c r="AK4" s="16" t="n">
        <v>29000</v>
      </c>
    </row>
    <row r="5" customFormat="false" ht="15" hidden="false" customHeight="false" outlineLevel="0" collapsed="false">
      <c r="A5" s="7" t="s">
        <v>137</v>
      </c>
      <c r="B5" s="16" t="n">
        <v>3</v>
      </c>
      <c r="C5" s="20" t="n">
        <v>46310</v>
      </c>
      <c r="D5" s="20" t="n">
        <v>46316</v>
      </c>
      <c r="E5" s="8" t="n">
        <v>14851.02</v>
      </c>
      <c r="F5" s="8" t="n">
        <v>0</v>
      </c>
      <c r="G5" s="8" t="n">
        <v>36449.6</v>
      </c>
      <c r="H5" s="8" t="n">
        <v>0</v>
      </c>
      <c r="I5" s="8" t="n">
        <v>0</v>
      </c>
      <c r="J5" s="8" t="n">
        <v>14470</v>
      </c>
      <c r="K5" s="8" t="n">
        <v>0</v>
      </c>
      <c r="L5" s="8" t="n">
        <v>0</v>
      </c>
      <c r="M5" s="8" t="n">
        <v>50919.6</v>
      </c>
      <c r="N5" s="8" t="n">
        <v>-6590.84</v>
      </c>
      <c r="O5" s="8" t="n">
        <v>-2549.87</v>
      </c>
      <c r="P5" s="8" t="n">
        <v>0</v>
      </c>
      <c r="Q5" s="8" t="n">
        <v>0</v>
      </c>
      <c r="R5" s="16" t="n">
        <v>0</v>
      </c>
      <c r="S5" s="16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-1732.49</v>
      </c>
      <c r="Y5" s="8" t="n">
        <v>0</v>
      </c>
      <c r="Z5" s="8" t="n">
        <v>0</v>
      </c>
      <c r="AA5" s="16" t="n">
        <v>0</v>
      </c>
      <c r="AB5" s="8" t="n">
        <v>0</v>
      </c>
      <c r="AC5" s="8" t="n">
        <v>-10873.2</v>
      </c>
      <c r="AD5" s="8" t="n">
        <v>40046.4</v>
      </c>
      <c r="AE5" s="8" t="n">
        <v>17000</v>
      </c>
      <c r="AF5" s="8" t="n">
        <v>0</v>
      </c>
      <c r="AG5" s="8" t="n">
        <v>0</v>
      </c>
      <c r="AH5" s="8" t="n">
        <v>0</v>
      </c>
      <c r="AI5" s="16" t="n">
        <v>71897.42</v>
      </c>
      <c r="AJ5" s="8" t="n">
        <v>238000</v>
      </c>
      <c r="AK5" s="16" t="n">
        <v>12000</v>
      </c>
    </row>
    <row r="6" customFormat="false" ht="15" hidden="false" customHeight="false" outlineLevel="0" collapsed="false">
      <c r="A6" s="7" t="s">
        <v>137</v>
      </c>
      <c r="B6" s="16" t="n">
        <v>4</v>
      </c>
      <c r="C6" s="20" t="n">
        <v>46317</v>
      </c>
      <c r="D6" s="20" t="n">
        <v>46323</v>
      </c>
      <c r="E6" s="8" t="n">
        <v>71897.42</v>
      </c>
      <c r="F6" s="8" t="n">
        <v>4613.98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4613.98</v>
      </c>
      <c r="N6" s="8" t="n">
        <v>-8156.2</v>
      </c>
      <c r="O6" s="8" t="n">
        <v>0</v>
      </c>
      <c r="P6" s="8" t="n">
        <v>0</v>
      </c>
      <c r="Q6" s="8" t="n">
        <v>0</v>
      </c>
      <c r="R6" s="16" t="n">
        <v>0</v>
      </c>
      <c r="S6" s="16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16" t="n">
        <v>0</v>
      </c>
      <c r="AB6" s="8" t="n">
        <v>0</v>
      </c>
      <c r="AC6" s="8" t="n">
        <v>-8156.2</v>
      </c>
      <c r="AD6" s="8" t="n">
        <v>-3542.22</v>
      </c>
      <c r="AE6" s="8" t="n">
        <v>0</v>
      </c>
      <c r="AF6" s="8" t="n">
        <v>0</v>
      </c>
      <c r="AG6" s="8" t="n">
        <v>0</v>
      </c>
      <c r="AH6" s="8" t="n">
        <v>0</v>
      </c>
      <c r="AI6" s="16" t="n">
        <v>68355.2</v>
      </c>
      <c r="AJ6" s="8" t="n">
        <v>238000</v>
      </c>
      <c r="AK6" s="16" t="n">
        <v>12000</v>
      </c>
    </row>
    <row r="7" customFormat="false" ht="15" hidden="false" customHeight="false" outlineLevel="0" collapsed="false">
      <c r="A7" s="7" t="s">
        <v>137</v>
      </c>
      <c r="B7" s="16" t="n">
        <v>5</v>
      </c>
      <c r="C7" s="20" t="n">
        <v>46324</v>
      </c>
      <c r="D7" s="20" t="n">
        <v>46330</v>
      </c>
      <c r="E7" s="8" t="n">
        <v>68355.2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-2245.18</v>
      </c>
      <c r="P7" s="8" t="n">
        <v>0</v>
      </c>
      <c r="Q7" s="8" t="n">
        <v>0</v>
      </c>
      <c r="R7" s="16" t="n">
        <v>0</v>
      </c>
      <c r="S7" s="16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-1463.63</v>
      </c>
      <c r="Z7" s="8" t="n">
        <v>0</v>
      </c>
      <c r="AA7" s="16" t="n">
        <v>-4200</v>
      </c>
      <c r="AB7" s="8" t="n">
        <v>0</v>
      </c>
      <c r="AC7" s="8" t="n">
        <v>-7908.81</v>
      </c>
      <c r="AD7" s="8" t="n">
        <v>-7908.81</v>
      </c>
      <c r="AE7" s="8" t="n">
        <v>0</v>
      </c>
      <c r="AF7" s="8" t="n">
        <v>-36000</v>
      </c>
      <c r="AG7" s="8" t="n">
        <v>0</v>
      </c>
      <c r="AH7" s="8" t="n">
        <v>0</v>
      </c>
      <c r="AI7" s="16" t="n">
        <v>24446.39</v>
      </c>
      <c r="AJ7" s="8" t="n">
        <v>202000</v>
      </c>
      <c r="AK7" s="16" t="n">
        <v>48000</v>
      </c>
    </row>
    <row r="8" customFormat="false" ht="15" hidden="false" customHeight="false" outlineLevel="0" collapsed="false">
      <c r="A8" s="7" t="s">
        <v>137</v>
      </c>
      <c r="B8" s="16" t="n">
        <v>6</v>
      </c>
      <c r="C8" s="20" t="n">
        <v>46331</v>
      </c>
      <c r="D8" s="20" t="n">
        <v>46337</v>
      </c>
      <c r="E8" s="8" t="n">
        <v>24446.39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16" t="n">
        <v>0</v>
      </c>
      <c r="S8" s="16" t="n">
        <v>0</v>
      </c>
      <c r="T8" s="8" t="n">
        <v>-5827.76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16" t="n">
        <v>0</v>
      </c>
      <c r="AB8" s="8" t="n">
        <v>0</v>
      </c>
      <c r="AC8" s="8" t="n">
        <v>-5827.76</v>
      </c>
      <c r="AD8" s="8" t="n">
        <v>-5827.76</v>
      </c>
      <c r="AE8" s="8" t="n">
        <v>0</v>
      </c>
      <c r="AF8" s="8" t="n">
        <v>0</v>
      </c>
      <c r="AG8" s="8" t="n">
        <v>0</v>
      </c>
      <c r="AH8" s="8" t="n">
        <v>0</v>
      </c>
      <c r="AI8" s="16" t="n">
        <v>18618.63</v>
      </c>
      <c r="AJ8" s="8" t="n">
        <v>202000</v>
      </c>
      <c r="AK8" s="16" t="n">
        <v>48000</v>
      </c>
    </row>
    <row r="9" customFormat="false" ht="15" hidden="false" customHeight="false" outlineLevel="0" collapsed="false">
      <c r="A9" s="7" t="s">
        <v>137</v>
      </c>
      <c r="B9" s="16" t="n">
        <v>7</v>
      </c>
      <c r="C9" s="20" t="n">
        <v>46338</v>
      </c>
      <c r="D9" s="20" t="n">
        <v>46344</v>
      </c>
      <c r="E9" s="8" t="n">
        <v>18618.63</v>
      </c>
      <c r="F9" s="8" t="n">
        <v>0</v>
      </c>
      <c r="G9" s="8" t="n">
        <v>0</v>
      </c>
      <c r="H9" s="8" t="n">
        <v>0</v>
      </c>
      <c r="I9" s="8" t="n">
        <v>18601.93</v>
      </c>
      <c r="J9" s="8" t="n">
        <v>0</v>
      </c>
      <c r="K9" s="8" t="n">
        <v>0</v>
      </c>
      <c r="L9" s="8" t="n">
        <v>0</v>
      </c>
      <c r="M9" s="8" t="n">
        <v>18601.93</v>
      </c>
      <c r="N9" s="8" t="n">
        <v>0</v>
      </c>
      <c r="O9" s="8" t="n">
        <v>-2011.71</v>
      </c>
      <c r="P9" s="8" t="n">
        <v>-4648</v>
      </c>
      <c r="Q9" s="8" t="n">
        <v>0</v>
      </c>
      <c r="R9" s="16" t="n">
        <v>0</v>
      </c>
      <c r="S9" s="16" t="n">
        <v>0</v>
      </c>
      <c r="T9" s="8" t="n">
        <v>-486.4</v>
      </c>
      <c r="U9" s="8" t="n">
        <v>0</v>
      </c>
      <c r="V9" s="8" t="n">
        <v>0</v>
      </c>
      <c r="W9" s="8" t="n">
        <v>-226.63</v>
      </c>
      <c r="X9" s="8" t="n">
        <v>-1732.49</v>
      </c>
      <c r="Y9" s="8" t="n">
        <v>0</v>
      </c>
      <c r="Z9" s="8" t="n">
        <v>0</v>
      </c>
      <c r="AA9" s="16" t="n">
        <v>0</v>
      </c>
      <c r="AB9" s="8" t="n">
        <v>0</v>
      </c>
      <c r="AC9" s="8" t="n">
        <v>-9105.23</v>
      </c>
      <c r="AD9" s="8" t="n">
        <v>9496.7</v>
      </c>
      <c r="AE9" s="8" t="n">
        <v>0</v>
      </c>
      <c r="AF9" s="8" t="n">
        <v>0</v>
      </c>
      <c r="AG9" s="8" t="n">
        <v>0</v>
      </c>
      <c r="AH9" s="8" t="n">
        <v>0</v>
      </c>
      <c r="AI9" s="16" t="n">
        <v>28115.33</v>
      </c>
      <c r="AJ9" s="8" t="n">
        <v>202000</v>
      </c>
      <c r="AK9" s="16" t="n">
        <v>48000</v>
      </c>
    </row>
    <row r="10" customFormat="false" ht="15" hidden="false" customHeight="false" outlineLevel="0" collapsed="false">
      <c r="A10" s="7" t="s">
        <v>137</v>
      </c>
      <c r="B10" s="16" t="n">
        <v>8</v>
      </c>
      <c r="C10" s="20" t="n">
        <v>46345</v>
      </c>
      <c r="D10" s="20" t="n">
        <v>46351</v>
      </c>
      <c r="E10" s="8" t="n">
        <v>28115.33</v>
      </c>
      <c r="F10" s="8" t="n">
        <v>0</v>
      </c>
      <c r="G10" s="8" t="n">
        <v>0</v>
      </c>
      <c r="H10" s="8" t="n">
        <v>0</v>
      </c>
      <c r="I10" s="8" t="n">
        <v>19884.06</v>
      </c>
      <c r="J10" s="8" t="n">
        <v>0</v>
      </c>
      <c r="K10" s="8" t="n">
        <v>0</v>
      </c>
      <c r="L10" s="8" t="n">
        <v>0</v>
      </c>
      <c r="M10" s="8" t="n">
        <v>19884.06</v>
      </c>
      <c r="N10" s="8" t="n">
        <v>0</v>
      </c>
      <c r="O10" s="8" t="n">
        <v>0</v>
      </c>
      <c r="P10" s="8" t="n">
        <v>-1883.52</v>
      </c>
      <c r="Q10" s="8" t="n">
        <v>-941.76</v>
      </c>
      <c r="R10" s="16" t="n">
        <v>0</v>
      </c>
      <c r="S10" s="16" t="n">
        <v>0</v>
      </c>
      <c r="T10" s="8" t="n">
        <v>-8238.55</v>
      </c>
      <c r="U10" s="8" t="n">
        <v>0</v>
      </c>
      <c r="V10" s="8" t="n">
        <v>0</v>
      </c>
      <c r="W10" s="8" t="n">
        <v>-405.41</v>
      </c>
      <c r="X10" s="8" t="n">
        <v>0</v>
      </c>
      <c r="Y10" s="8" t="n">
        <v>0</v>
      </c>
      <c r="Z10" s="8" t="n">
        <v>0</v>
      </c>
      <c r="AA10" s="16" t="n">
        <v>0</v>
      </c>
      <c r="AB10" s="8" t="n">
        <v>0</v>
      </c>
      <c r="AC10" s="8" t="n">
        <v>-11469.24</v>
      </c>
      <c r="AD10" s="8" t="n">
        <v>8414.82</v>
      </c>
      <c r="AE10" s="8" t="n">
        <v>0</v>
      </c>
      <c r="AF10" s="8" t="n">
        <v>0</v>
      </c>
      <c r="AG10" s="8" t="n">
        <v>0</v>
      </c>
      <c r="AH10" s="8" t="n">
        <v>0</v>
      </c>
      <c r="AI10" s="16" t="n">
        <v>36530.15</v>
      </c>
      <c r="AJ10" s="8" t="n">
        <v>202000</v>
      </c>
      <c r="AK10" s="16" t="n">
        <v>48000</v>
      </c>
    </row>
    <row r="11" customFormat="false" ht="15" hidden="false" customHeight="false" outlineLevel="0" collapsed="false">
      <c r="A11" s="7" t="s">
        <v>137</v>
      </c>
      <c r="B11" s="16" t="n">
        <v>9</v>
      </c>
      <c r="C11" s="20" t="n">
        <v>46352</v>
      </c>
      <c r="D11" s="20" t="n">
        <v>46358</v>
      </c>
      <c r="E11" s="8" t="n">
        <v>36530.15</v>
      </c>
      <c r="F11" s="8" t="n">
        <v>0</v>
      </c>
      <c r="G11" s="8" t="n">
        <v>0</v>
      </c>
      <c r="H11" s="8" t="n">
        <v>0</v>
      </c>
      <c r="I11" s="8" t="n">
        <v>23316.47</v>
      </c>
      <c r="J11" s="8" t="n">
        <v>0</v>
      </c>
      <c r="K11" s="8" t="n">
        <v>0</v>
      </c>
      <c r="L11" s="8" t="n">
        <v>0</v>
      </c>
      <c r="M11" s="8" t="n">
        <v>23316.47</v>
      </c>
      <c r="N11" s="8" t="n">
        <v>0</v>
      </c>
      <c r="O11" s="8" t="n">
        <v>0</v>
      </c>
      <c r="P11" s="8" t="n">
        <v>0</v>
      </c>
      <c r="Q11" s="8" t="n">
        <v>0</v>
      </c>
      <c r="R11" s="16" t="n">
        <v>0</v>
      </c>
      <c r="S11" s="16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-31869.68</v>
      </c>
      <c r="Y11" s="8" t="n">
        <v>-1245.21</v>
      </c>
      <c r="Z11" s="8" t="n">
        <v>0</v>
      </c>
      <c r="AA11" s="16" t="n">
        <v>-4200</v>
      </c>
      <c r="AB11" s="8" t="n">
        <v>0</v>
      </c>
      <c r="AC11" s="8" t="n">
        <v>-37314.89</v>
      </c>
      <c r="AD11" s="8" t="n">
        <v>-13998.42</v>
      </c>
      <c r="AE11" s="8" t="n">
        <v>28000</v>
      </c>
      <c r="AF11" s="8" t="n">
        <v>-30000</v>
      </c>
      <c r="AG11" s="8" t="n">
        <v>0</v>
      </c>
      <c r="AH11" s="8" t="n">
        <v>0</v>
      </c>
      <c r="AI11" s="16" t="n">
        <v>20531.73</v>
      </c>
      <c r="AJ11" s="8" t="n">
        <v>200000</v>
      </c>
      <c r="AK11" s="16" t="n">
        <v>50000</v>
      </c>
    </row>
    <row r="12" customFormat="false" ht="15" hidden="false" customHeight="false" outlineLevel="0" collapsed="false">
      <c r="A12" s="7" t="s">
        <v>137</v>
      </c>
      <c r="B12" s="16" t="n">
        <v>10</v>
      </c>
      <c r="C12" s="20" t="n">
        <v>46359</v>
      </c>
      <c r="D12" s="20" t="n">
        <v>46365</v>
      </c>
      <c r="E12" s="8" t="n">
        <v>20531.73</v>
      </c>
      <c r="F12" s="8" t="n">
        <v>0</v>
      </c>
      <c r="G12" s="8" t="n">
        <v>0</v>
      </c>
      <c r="H12" s="8" t="n">
        <v>0</v>
      </c>
      <c r="I12" s="8" t="n">
        <v>15833.32</v>
      </c>
      <c r="J12" s="8" t="n">
        <v>0</v>
      </c>
      <c r="K12" s="8" t="n">
        <v>0</v>
      </c>
      <c r="L12" s="8" t="n">
        <v>0</v>
      </c>
      <c r="M12" s="8" t="n">
        <v>15833.32</v>
      </c>
      <c r="N12" s="8" t="n">
        <v>0</v>
      </c>
      <c r="O12" s="8" t="n">
        <v>0</v>
      </c>
      <c r="P12" s="8" t="n">
        <v>0</v>
      </c>
      <c r="Q12" s="8" t="n">
        <v>0</v>
      </c>
      <c r="R12" s="16" t="n">
        <v>0</v>
      </c>
      <c r="S12" s="16" t="n">
        <v>0</v>
      </c>
      <c r="T12" s="8" t="n">
        <v>-9538.47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16" t="n">
        <v>0</v>
      </c>
      <c r="AB12" s="8" t="n">
        <v>0</v>
      </c>
      <c r="AC12" s="8" t="n">
        <v>-9538.47</v>
      </c>
      <c r="AD12" s="8" t="n">
        <v>6294.85</v>
      </c>
      <c r="AE12" s="8" t="n">
        <v>0</v>
      </c>
      <c r="AF12" s="8" t="n">
        <v>0</v>
      </c>
      <c r="AG12" s="8" t="n">
        <v>0</v>
      </c>
      <c r="AH12" s="8" t="n">
        <v>0</v>
      </c>
      <c r="AI12" s="16" t="n">
        <v>26826.58</v>
      </c>
      <c r="AJ12" s="8" t="n">
        <v>200000</v>
      </c>
      <c r="AK12" s="16" t="n">
        <v>50000</v>
      </c>
    </row>
    <row r="13" customFormat="false" ht="15" hidden="false" customHeight="false" outlineLevel="0" collapsed="false">
      <c r="A13" s="7" t="s">
        <v>137</v>
      </c>
      <c r="B13" s="16" t="n">
        <v>11</v>
      </c>
      <c r="C13" s="20" t="n">
        <v>46366</v>
      </c>
      <c r="D13" s="20" t="n">
        <v>46372</v>
      </c>
      <c r="E13" s="8" t="n">
        <v>26826.58</v>
      </c>
      <c r="F13" s="8" t="n">
        <v>12843.25</v>
      </c>
      <c r="G13" s="8" t="n">
        <v>0</v>
      </c>
      <c r="H13" s="8" t="n">
        <v>0</v>
      </c>
      <c r="I13" s="8" t="n">
        <v>5636.95</v>
      </c>
      <c r="J13" s="8" t="n">
        <v>0</v>
      </c>
      <c r="K13" s="8" t="n">
        <v>0</v>
      </c>
      <c r="L13" s="8" t="n">
        <v>0</v>
      </c>
      <c r="M13" s="8" t="n">
        <v>18480.2</v>
      </c>
      <c r="N13" s="8" t="n">
        <v>0</v>
      </c>
      <c r="O13" s="8" t="n">
        <v>-121.64</v>
      </c>
      <c r="P13" s="8" t="n">
        <v>0</v>
      </c>
      <c r="Q13" s="8" t="n">
        <v>0</v>
      </c>
      <c r="R13" s="16" t="n">
        <v>0</v>
      </c>
      <c r="S13" s="16" t="n">
        <v>0</v>
      </c>
      <c r="T13" s="8" t="n">
        <v>-1327.15</v>
      </c>
      <c r="U13" s="8" t="n">
        <v>0</v>
      </c>
      <c r="V13" s="8" t="n">
        <v>0</v>
      </c>
      <c r="W13" s="8" t="n">
        <v>-434.57</v>
      </c>
      <c r="X13" s="8" t="n">
        <v>-1732.49</v>
      </c>
      <c r="Y13" s="8" t="n">
        <v>0</v>
      </c>
      <c r="Z13" s="8" t="n">
        <v>0</v>
      </c>
      <c r="AA13" s="16" t="n">
        <v>0</v>
      </c>
      <c r="AB13" s="8" t="n">
        <v>0</v>
      </c>
      <c r="AC13" s="8" t="n">
        <v>-3615.85</v>
      </c>
      <c r="AD13" s="8" t="n">
        <v>14864.35</v>
      </c>
      <c r="AE13" s="8" t="n">
        <v>0</v>
      </c>
      <c r="AF13" s="8" t="n">
        <v>0</v>
      </c>
      <c r="AG13" s="8" t="n">
        <v>0</v>
      </c>
      <c r="AH13" s="8" t="n">
        <v>0</v>
      </c>
      <c r="AI13" s="16" t="n">
        <v>41690.93</v>
      </c>
      <c r="AJ13" s="8" t="n">
        <v>200000</v>
      </c>
      <c r="AK13" s="16" t="n">
        <v>50000</v>
      </c>
    </row>
    <row r="14" customFormat="false" ht="15" hidden="false" customHeight="false" outlineLevel="0" collapsed="false">
      <c r="A14" s="7" t="s">
        <v>137</v>
      </c>
      <c r="B14" s="16" t="n">
        <v>12</v>
      </c>
      <c r="C14" s="20" t="n">
        <v>46373</v>
      </c>
      <c r="D14" s="20" t="n">
        <v>46379</v>
      </c>
      <c r="E14" s="8" t="n">
        <v>41690.93</v>
      </c>
      <c r="F14" s="8" t="n">
        <v>0</v>
      </c>
      <c r="G14" s="8" t="n">
        <v>4803.84</v>
      </c>
      <c r="H14" s="8" t="n">
        <v>0</v>
      </c>
      <c r="I14" s="8" t="n">
        <v>27671.32</v>
      </c>
      <c r="J14" s="8" t="n">
        <v>0</v>
      </c>
      <c r="K14" s="8" t="n">
        <v>0</v>
      </c>
      <c r="L14" s="8" t="n">
        <v>0</v>
      </c>
      <c r="M14" s="8" t="n">
        <v>32475.16</v>
      </c>
      <c r="N14" s="8" t="n">
        <v>0</v>
      </c>
      <c r="O14" s="8" t="n">
        <v>0</v>
      </c>
      <c r="P14" s="8" t="n">
        <v>-32450</v>
      </c>
      <c r="Q14" s="8" t="n">
        <v>0</v>
      </c>
      <c r="R14" s="16" t="n">
        <v>0</v>
      </c>
      <c r="S14" s="16" t="n">
        <v>0</v>
      </c>
      <c r="T14" s="8" t="n">
        <v>0</v>
      </c>
      <c r="U14" s="8" t="n">
        <v>0</v>
      </c>
      <c r="V14" s="8" t="n">
        <v>-3758.55</v>
      </c>
      <c r="W14" s="8" t="n">
        <v>-519.47</v>
      </c>
      <c r="X14" s="8" t="n">
        <v>0</v>
      </c>
      <c r="Y14" s="8" t="n">
        <v>0</v>
      </c>
      <c r="Z14" s="8" t="n">
        <v>0</v>
      </c>
      <c r="AA14" s="16" t="n">
        <v>0</v>
      </c>
      <c r="AB14" s="8" t="n">
        <v>0</v>
      </c>
      <c r="AC14" s="8" t="n">
        <v>-36728.02</v>
      </c>
      <c r="AD14" s="8" t="n">
        <v>-4252.86</v>
      </c>
      <c r="AE14" s="8" t="n">
        <v>0</v>
      </c>
      <c r="AF14" s="8" t="n">
        <v>0</v>
      </c>
      <c r="AG14" s="8" t="n">
        <v>0</v>
      </c>
      <c r="AH14" s="8" t="n">
        <v>0</v>
      </c>
      <c r="AI14" s="16" t="n">
        <v>37438.07</v>
      </c>
      <c r="AJ14" s="8" t="n">
        <v>200000</v>
      </c>
      <c r="AK14" s="16" t="n">
        <v>50000</v>
      </c>
    </row>
    <row r="15" customFormat="false" ht="15" hidden="false" customHeight="false" outlineLevel="0" collapsed="false">
      <c r="A15" s="7" t="s">
        <v>137</v>
      </c>
      <c r="B15" s="16" t="n">
        <v>13</v>
      </c>
      <c r="C15" s="20" t="n">
        <v>46380</v>
      </c>
      <c r="D15" s="20" t="n">
        <v>46386</v>
      </c>
      <c r="E15" s="8" t="n">
        <v>37438.07</v>
      </c>
      <c r="F15" s="8" t="n">
        <v>0</v>
      </c>
      <c r="G15" s="8" t="n">
        <v>0</v>
      </c>
      <c r="H15" s="8" t="n">
        <v>0</v>
      </c>
      <c r="I15" s="8" t="n">
        <v>9026.47</v>
      </c>
      <c r="J15" s="8" t="n">
        <v>0</v>
      </c>
      <c r="K15" s="8" t="n">
        <v>0</v>
      </c>
      <c r="L15" s="8" t="n">
        <v>0</v>
      </c>
      <c r="M15" s="8" t="n">
        <v>9026.47</v>
      </c>
      <c r="N15" s="8" t="n">
        <v>0</v>
      </c>
      <c r="O15" s="8" t="n">
        <v>0</v>
      </c>
      <c r="P15" s="8" t="n">
        <v>0</v>
      </c>
      <c r="Q15" s="8" t="n">
        <v>0</v>
      </c>
      <c r="R15" s="16" t="n">
        <v>0</v>
      </c>
      <c r="S15" s="16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16" t="n">
        <v>0</v>
      </c>
      <c r="AB15" s="8" t="n">
        <v>0</v>
      </c>
      <c r="AC15" s="8" t="n">
        <v>0</v>
      </c>
      <c r="AD15" s="8" t="n">
        <v>9026.47</v>
      </c>
      <c r="AE15" s="8" t="n">
        <v>0</v>
      </c>
      <c r="AF15" s="8" t="n">
        <v>0</v>
      </c>
      <c r="AG15" s="8" t="n">
        <v>0</v>
      </c>
      <c r="AH15" s="8" t="n">
        <v>0</v>
      </c>
      <c r="AI15" s="16" t="n">
        <v>46464.54</v>
      </c>
      <c r="AJ15" s="8" t="n">
        <v>200000</v>
      </c>
      <c r="AK15" s="16" t="n">
        <v>50000</v>
      </c>
    </row>
  </sheetData>
  <autoFilter ref="A2:AK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60"/>
    <col collapsed="false" customWidth="true" hidden="false" outlineLevel="0" max="10" min="10" style="0" width="11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1" t="s">
        <v>131</v>
      </c>
      <c r="B1" s="11" t="s">
        <v>506</v>
      </c>
      <c r="C1" s="11" t="s">
        <v>507</v>
      </c>
      <c r="D1" s="11" t="s">
        <v>533</v>
      </c>
      <c r="E1" s="11" t="s">
        <v>534</v>
      </c>
      <c r="F1" s="11" t="s">
        <v>216</v>
      </c>
      <c r="G1" s="11" t="s">
        <v>130</v>
      </c>
      <c r="H1" s="11" t="s">
        <v>535</v>
      </c>
      <c r="I1" s="11" t="s">
        <v>536</v>
      </c>
      <c r="J1" s="11" t="s">
        <v>218</v>
      </c>
      <c r="K1" s="11" t="s">
        <v>537</v>
      </c>
    </row>
    <row r="2" customFormat="false" ht="15" hidden="false" customHeight="false" outlineLevel="0" collapsed="false">
      <c r="A2" s="7" t="s">
        <v>137</v>
      </c>
      <c r="B2" s="16" t="n">
        <v>1</v>
      </c>
      <c r="C2" s="20" t="n">
        <v>46296</v>
      </c>
      <c r="D2" s="20" t="n">
        <v>46297</v>
      </c>
      <c r="E2" s="7" t="s">
        <v>518</v>
      </c>
      <c r="F2" s="7" t="s">
        <v>261</v>
      </c>
      <c r="G2" s="7" t="s">
        <v>149</v>
      </c>
      <c r="H2" s="7" t="s">
        <v>538</v>
      </c>
      <c r="I2" s="7" t="s">
        <v>539</v>
      </c>
      <c r="J2" s="8" t="n">
        <v>-6646.08</v>
      </c>
      <c r="K2" s="7" t="s">
        <v>540</v>
      </c>
    </row>
    <row r="3" customFormat="false" ht="15" hidden="false" customHeight="false" outlineLevel="0" collapsed="false">
      <c r="A3" s="7" t="s">
        <v>137</v>
      </c>
      <c r="B3" s="16" t="n">
        <v>1</v>
      </c>
      <c r="C3" s="20" t="n">
        <v>46296</v>
      </c>
      <c r="D3" s="20" t="n">
        <v>46297</v>
      </c>
      <c r="E3" s="7" t="s">
        <v>369</v>
      </c>
      <c r="F3" s="7" t="s">
        <v>271</v>
      </c>
      <c r="G3" s="7" t="s">
        <v>149</v>
      </c>
      <c r="H3" s="7" t="s">
        <v>541</v>
      </c>
      <c r="I3" s="7" t="s">
        <v>542</v>
      </c>
      <c r="J3" s="8" t="n">
        <v>-1414.44</v>
      </c>
      <c r="K3" s="7" t="s">
        <v>543</v>
      </c>
    </row>
    <row r="4" customFormat="false" ht="15" hidden="false" customHeight="false" outlineLevel="0" collapsed="false">
      <c r="A4" s="7" t="s">
        <v>137</v>
      </c>
      <c r="B4" s="16" t="n">
        <v>1</v>
      </c>
      <c r="C4" s="20" t="n">
        <v>46296</v>
      </c>
      <c r="D4" s="20" t="n">
        <v>46297</v>
      </c>
      <c r="E4" s="7" t="s">
        <v>369</v>
      </c>
      <c r="F4" s="7" t="s">
        <v>271</v>
      </c>
      <c r="G4" s="7" t="s">
        <v>153</v>
      </c>
      <c r="H4" s="7" t="s">
        <v>541</v>
      </c>
      <c r="I4" s="7" t="s">
        <v>544</v>
      </c>
      <c r="J4" s="8" t="n">
        <v>-942.96</v>
      </c>
      <c r="K4" s="7" t="s">
        <v>543</v>
      </c>
    </row>
    <row r="5" customFormat="false" ht="15" hidden="false" customHeight="false" outlineLevel="0" collapsed="false">
      <c r="A5" s="7" t="s">
        <v>137</v>
      </c>
      <c r="B5" s="16" t="n">
        <v>1</v>
      </c>
      <c r="C5" s="20" t="n">
        <v>46296</v>
      </c>
      <c r="D5" s="20" t="n">
        <v>46296</v>
      </c>
      <c r="E5" s="7" t="s">
        <v>368</v>
      </c>
      <c r="F5" s="7" t="s">
        <v>545</v>
      </c>
      <c r="G5" s="7" t="s">
        <v>153</v>
      </c>
      <c r="H5" s="7"/>
      <c r="I5" s="7" t="s">
        <v>546</v>
      </c>
      <c r="J5" s="8" t="n">
        <v>-4200</v>
      </c>
      <c r="K5" s="7" t="s">
        <v>543</v>
      </c>
    </row>
    <row r="6" customFormat="false" ht="15" hidden="false" customHeight="false" outlineLevel="0" collapsed="false">
      <c r="A6" s="7" t="s">
        <v>137</v>
      </c>
      <c r="B6" s="16" t="n">
        <v>2</v>
      </c>
      <c r="C6" s="20" t="n">
        <v>46303</v>
      </c>
      <c r="D6" s="20" t="n">
        <v>46307</v>
      </c>
      <c r="E6" s="7" t="s">
        <v>365</v>
      </c>
      <c r="F6" s="7" t="s">
        <v>240</v>
      </c>
      <c r="G6" s="7" t="s">
        <v>153</v>
      </c>
      <c r="H6" s="7" t="s">
        <v>547</v>
      </c>
      <c r="I6" s="7" t="s">
        <v>548</v>
      </c>
      <c r="J6" s="8" t="n">
        <v>-289.1</v>
      </c>
      <c r="K6" s="7" t="s">
        <v>543</v>
      </c>
    </row>
    <row r="7" customFormat="false" ht="15" hidden="false" customHeight="false" outlineLevel="0" collapsed="false">
      <c r="A7" s="7" t="s">
        <v>137</v>
      </c>
      <c r="B7" s="16" t="n">
        <v>3</v>
      </c>
      <c r="C7" s="20" t="n">
        <v>46310</v>
      </c>
      <c r="D7" s="20" t="n">
        <v>46314</v>
      </c>
      <c r="E7" s="7" t="s">
        <v>511</v>
      </c>
      <c r="F7" s="7" t="s">
        <v>250</v>
      </c>
      <c r="G7" s="7" t="s">
        <v>144</v>
      </c>
      <c r="H7" s="7" t="s">
        <v>549</v>
      </c>
      <c r="I7" s="7" t="s">
        <v>550</v>
      </c>
      <c r="J7" s="8" t="n">
        <v>36449.6</v>
      </c>
      <c r="K7" s="7" t="s">
        <v>543</v>
      </c>
    </row>
    <row r="8" customFormat="false" ht="15" hidden="false" customHeight="false" outlineLevel="0" collapsed="false">
      <c r="A8" s="7" t="s">
        <v>137</v>
      </c>
      <c r="B8" s="16" t="n">
        <v>3</v>
      </c>
      <c r="C8" s="20" t="n">
        <v>46310</v>
      </c>
      <c r="D8" s="20" t="n">
        <v>46314</v>
      </c>
      <c r="E8" s="7" t="s">
        <v>514</v>
      </c>
      <c r="F8" s="7" t="s">
        <v>303</v>
      </c>
      <c r="G8" s="7" t="s">
        <v>153</v>
      </c>
      <c r="H8" s="7" t="s">
        <v>551</v>
      </c>
      <c r="I8" s="7" t="s">
        <v>552</v>
      </c>
      <c r="J8" s="8" t="n">
        <v>14470</v>
      </c>
      <c r="K8" s="7" t="s">
        <v>543</v>
      </c>
    </row>
    <row r="9" customFormat="false" ht="15" hidden="false" customHeight="false" outlineLevel="0" collapsed="false">
      <c r="A9" s="7" t="s">
        <v>137</v>
      </c>
      <c r="B9" s="16" t="n">
        <v>3</v>
      </c>
      <c r="C9" s="20" t="n">
        <v>46310</v>
      </c>
      <c r="D9" s="20" t="n">
        <v>46311</v>
      </c>
      <c r="E9" s="7" t="s">
        <v>518</v>
      </c>
      <c r="F9" s="7" t="s">
        <v>261</v>
      </c>
      <c r="G9" s="7" t="s">
        <v>149</v>
      </c>
      <c r="H9" s="7" t="s">
        <v>538</v>
      </c>
      <c r="I9" s="7" t="s">
        <v>553</v>
      </c>
      <c r="J9" s="8" t="n">
        <v>-6246.24</v>
      </c>
      <c r="K9" s="7" t="s">
        <v>540</v>
      </c>
    </row>
    <row r="10" customFormat="false" ht="15" hidden="false" customHeight="false" outlineLevel="0" collapsed="false">
      <c r="A10" s="7" t="s">
        <v>137</v>
      </c>
      <c r="B10" s="16" t="n">
        <v>3</v>
      </c>
      <c r="C10" s="20" t="n">
        <v>46310</v>
      </c>
      <c r="D10" s="20" t="n">
        <v>46310</v>
      </c>
      <c r="E10" s="7" t="s">
        <v>518</v>
      </c>
      <c r="F10" s="7" t="s">
        <v>273</v>
      </c>
      <c r="G10" s="7" t="s">
        <v>149</v>
      </c>
      <c r="H10" s="7" t="s">
        <v>541</v>
      </c>
      <c r="I10" s="7" t="s">
        <v>554</v>
      </c>
      <c r="J10" s="8" t="n">
        <v>-125.22</v>
      </c>
      <c r="K10" s="7" t="s">
        <v>540</v>
      </c>
    </row>
    <row r="11" customFormat="false" ht="15" hidden="false" customHeight="false" outlineLevel="0" collapsed="false">
      <c r="A11" s="7" t="s">
        <v>137</v>
      </c>
      <c r="B11" s="16" t="n">
        <v>3</v>
      </c>
      <c r="C11" s="20" t="n">
        <v>46310</v>
      </c>
      <c r="D11" s="20" t="n">
        <v>46310</v>
      </c>
      <c r="E11" s="7" t="s">
        <v>518</v>
      </c>
      <c r="F11" s="7" t="s">
        <v>273</v>
      </c>
      <c r="G11" s="7" t="s">
        <v>149</v>
      </c>
      <c r="H11" s="7" t="s">
        <v>541</v>
      </c>
      <c r="I11" s="7" t="s">
        <v>554</v>
      </c>
      <c r="J11" s="8" t="n">
        <v>-219.38</v>
      </c>
      <c r="K11" s="7" t="s">
        <v>540</v>
      </c>
    </row>
    <row r="12" customFormat="false" ht="15" hidden="false" customHeight="false" outlineLevel="0" collapsed="false">
      <c r="A12" s="7" t="s">
        <v>137</v>
      </c>
      <c r="B12" s="16" t="n">
        <v>3</v>
      </c>
      <c r="C12" s="20" t="n">
        <v>46310</v>
      </c>
      <c r="D12" s="20" t="n">
        <v>46311</v>
      </c>
      <c r="E12" s="7" t="s">
        <v>369</v>
      </c>
      <c r="F12" s="7" t="s">
        <v>271</v>
      </c>
      <c r="G12" s="7" t="s">
        <v>149</v>
      </c>
      <c r="H12" s="7" t="s">
        <v>541</v>
      </c>
      <c r="I12" s="7" t="s">
        <v>555</v>
      </c>
      <c r="J12" s="8" t="n">
        <v>-1529.92</v>
      </c>
      <c r="K12" s="7" t="s">
        <v>543</v>
      </c>
    </row>
    <row r="13" customFormat="false" ht="15" hidden="false" customHeight="false" outlineLevel="0" collapsed="false">
      <c r="A13" s="7" t="s">
        <v>137</v>
      </c>
      <c r="B13" s="16" t="n">
        <v>3</v>
      </c>
      <c r="C13" s="20" t="n">
        <v>46310</v>
      </c>
      <c r="D13" s="20" t="n">
        <v>46311</v>
      </c>
      <c r="E13" s="7" t="s">
        <v>369</v>
      </c>
      <c r="F13" s="7" t="s">
        <v>271</v>
      </c>
      <c r="G13" s="7" t="s">
        <v>153</v>
      </c>
      <c r="H13" s="7" t="s">
        <v>541</v>
      </c>
      <c r="I13" s="7" t="s">
        <v>544</v>
      </c>
      <c r="J13" s="8" t="n">
        <v>-1019.95</v>
      </c>
      <c r="K13" s="7" t="s">
        <v>543</v>
      </c>
    </row>
    <row r="14" customFormat="false" ht="15" hidden="false" customHeight="false" outlineLevel="0" collapsed="false">
      <c r="A14" s="7" t="s">
        <v>137</v>
      </c>
      <c r="B14" s="16" t="n">
        <v>3</v>
      </c>
      <c r="C14" s="20" t="n">
        <v>46310</v>
      </c>
      <c r="D14" s="20" t="n">
        <v>46311</v>
      </c>
      <c r="E14" s="7" t="s">
        <v>524</v>
      </c>
      <c r="F14" s="7" t="s">
        <v>237</v>
      </c>
      <c r="G14" s="7" t="s">
        <v>149</v>
      </c>
      <c r="H14" s="7" t="s">
        <v>556</v>
      </c>
      <c r="I14" s="7" t="s">
        <v>557</v>
      </c>
      <c r="J14" s="8" t="n">
        <v>-224.14</v>
      </c>
      <c r="K14" s="7" t="s">
        <v>558</v>
      </c>
    </row>
    <row r="15" customFormat="false" ht="15" hidden="false" customHeight="false" outlineLevel="0" collapsed="false">
      <c r="A15" s="7" t="s">
        <v>137</v>
      </c>
      <c r="B15" s="16" t="n">
        <v>3</v>
      </c>
      <c r="C15" s="20" t="n">
        <v>46310</v>
      </c>
      <c r="D15" s="20" t="n">
        <v>46311</v>
      </c>
      <c r="E15" s="7" t="s">
        <v>524</v>
      </c>
      <c r="F15" s="7" t="s">
        <v>559</v>
      </c>
      <c r="G15" s="7" t="s">
        <v>149</v>
      </c>
      <c r="H15" s="7" t="s">
        <v>556</v>
      </c>
      <c r="I15" s="7" t="s">
        <v>560</v>
      </c>
      <c r="J15" s="8" t="n">
        <v>-1508.35</v>
      </c>
      <c r="K15" s="7" t="s">
        <v>558</v>
      </c>
    </row>
    <row r="16" customFormat="false" ht="15" hidden="false" customHeight="false" outlineLevel="0" collapsed="false">
      <c r="A16" s="7" t="s">
        <v>137</v>
      </c>
      <c r="B16" s="16" t="n">
        <v>3</v>
      </c>
      <c r="C16" s="20" t="n">
        <v>46310</v>
      </c>
      <c r="D16" s="20" t="n">
        <v>46311</v>
      </c>
      <c r="E16" s="7" t="s">
        <v>363</v>
      </c>
      <c r="F16" s="7" t="s">
        <v>561</v>
      </c>
      <c r="G16" s="7" t="s">
        <v>153</v>
      </c>
      <c r="H16" s="7" t="s">
        <v>556</v>
      </c>
      <c r="I16" s="7" t="s">
        <v>562</v>
      </c>
      <c r="J16" s="8" t="n">
        <v>17000</v>
      </c>
      <c r="K16" s="7" t="s">
        <v>543</v>
      </c>
    </row>
    <row r="17" customFormat="false" ht="15" hidden="false" customHeight="false" outlineLevel="0" collapsed="false">
      <c r="A17" s="7" t="s">
        <v>137</v>
      </c>
      <c r="B17" s="16" t="n">
        <v>4</v>
      </c>
      <c r="C17" s="20" t="n">
        <v>46317</v>
      </c>
      <c r="D17" s="20" t="n">
        <v>46317</v>
      </c>
      <c r="E17" s="7" t="s">
        <v>518</v>
      </c>
      <c r="F17" s="7" t="s">
        <v>268</v>
      </c>
      <c r="G17" s="7" t="s">
        <v>141</v>
      </c>
      <c r="H17" s="7" t="s">
        <v>563</v>
      </c>
      <c r="I17" s="7" t="s">
        <v>564</v>
      </c>
      <c r="J17" s="8" t="n">
        <v>-936.32</v>
      </c>
      <c r="K17" s="7" t="s">
        <v>540</v>
      </c>
    </row>
    <row r="18" customFormat="false" ht="15" hidden="false" customHeight="false" outlineLevel="0" collapsed="false">
      <c r="A18" s="7" t="s">
        <v>137</v>
      </c>
      <c r="B18" s="16" t="n">
        <v>4</v>
      </c>
      <c r="C18" s="20" t="n">
        <v>46317</v>
      </c>
      <c r="D18" s="20" t="n">
        <v>46322</v>
      </c>
      <c r="E18" s="7" t="s">
        <v>518</v>
      </c>
      <c r="F18" s="7" t="s">
        <v>261</v>
      </c>
      <c r="G18" s="7" t="s">
        <v>141</v>
      </c>
      <c r="H18" s="7" t="s">
        <v>538</v>
      </c>
      <c r="I18" s="7" t="s">
        <v>565</v>
      </c>
      <c r="J18" s="8" t="n">
        <v>-2092.8</v>
      </c>
      <c r="K18" s="7" t="s">
        <v>540</v>
      </c>
    </row>
    <row r="19" customFormat="false" ht="15" hidden="false" customHeight="false" outlineLevel="0" collapsed="false">
      <c r="A19" s="7" t="s">
        <v>137</v>
      </c>
      <c r="B19" s="16" t="n">
        <v>4</v>
      </c>
      <c r="C19" s="20" t="n">
        <v>46317</v>
      </c>
      <c r="D19" s="20" t="n">
        <v>46321</v>
      </c>
      <c r="E19" s="7" t="s">
        <v>510</v>
      </c>
      <c r="F19" s="7" t="s">
        <v>292</v>
      </c>
      <c r="G19" s="7" t="s">
        <v>136</v>
      </c>
      <c r="H19" s="7" t="s">
        <v>566</v>
      </c>
      <c r="I19" s="7" t="s">
        <v>567</v>
      </c>
      <c r="J19" s="8" t="n">
        <v>4613.98</v>
      </c>
      <c r="K19" s="7" t="s">
        <v>540</v>
      </c>
    </row>
    <row r="20" customFormat="false" ht="15" hidden="false" customHeight="false" outlineLevel="0" collapsed="false">
      <c r="A20" s="7" t="s">
        <v>137</v>
      </c>
      <c r="B20" s="16" t="n">
        <v>4</v>
      </c>
      <c r="C20" s="20" t="n">
        <v>46317</v>
      </c>
      <c r="D20" s="20" t="n">
        <v>46317</v>
      </c>
      <c r="E20" s="7" t="s">
        <v>518</v>
      </c>
      <c r="F20" s="7" t="s">
        <v>284</v>
      </c>
      <c r="G20" s="7" t="s">
        <v>149</v>
      </c>
      <c r="H20" s="7"/>
      <c r="I20" s="7" t="s">
        <v>568</v>
      </c>
      <c r="J20" s="8" t="n">
        <v>-2300</v>
      </c>
      <c r="K20" s="7" t="s">
        <v>540</v>
      </c>
    </row>
    <row r="21" customFormat="false" ht="15" hidden="false" customHeight="false" outlineLevel="0" collapsed="false">
      <c r="A21" s="7" t="s">
        <v>137</v>
      </c>
      <c r="B21" s="16" t="n">
        <v>4</v>
      </c>
      <c r="C21" s="20" t="n">
        <v>46317</v>
      </c>
      <c r="D21" s="20" t="n">
        <v>46317</v>
      </c>
      <c r="E21" s="7" t="s">
        <v>518</v>
      </c>
      <c r="F21" s="7" t="s">
        <v>284</v>
      </c>
      <c r="G21" s="7" t="s">
        <v>149</v>
      </c>
      <c r="H21" s="7"/>
      <c r="I21" s="7" t="s">
        <v>569</v>
      </c>
      <c r="J21" s="8" t="n">
        <v>-2300</v>
      </c>
      <c r="K21" s="7" t="s">
        <v>540</v>
      </c>
    </row>
    <row r="22" customFormat="false" ht="15" hidden="false" customHeight="false" outlineLevel="0" collapsed="false">
      <c r="A22" s="7" t="s">
        <v>137</v>
      </c>
      <c r="B22" s="16" t="n">
        <v>4</v>
      </c>
      <c r="C22" s="20" t="n">
        <v>46317</v>
      </c>
      <c r="D22" s="20" t="n">
        <v>46317</v>
      </c>
      <c r="E22" s="7" t="s">
        <v>518</v>
      </c>
      <c r="F22" s="7" t="s">
        <v>244</v>
      </c>
      <c r="G22" s="7" t="s">
        <v>153</v>
      </c>
      <c r="H22" s="7"/>
      <c r="I22" s="7" t="s">
        <v>570</v>
      </c>
      <c r="J22" s="8" t="n">
        <v>-165</v>
      </c>
      <c r="K22" s="7" t="s">
        <v>540</v>
      </c>
    </row>
    <row r="23" customFormat="false" ht="15" hidden="false" customHeight="false" outlineLevel="0" collapsed="false">
      <c r="A23" s="7" t="s">
        <v>137</v>
      </c>
      <c r="B23" s="16" t="n">
        <v>4</v>
      </c>
      <c r="C23" s="20" t="n">
        <v>46317</v>
      </c>
      <c r="D23" s="20" t="n">
        <v>46317</v>
      </c>
      <c r="E23" s="7" t="s">
        <v>518</v>
      </c>
      <c r="F23" s="7" t="s">
        <v>242</v>
      </c>
      <c r="G23" s="7" t="s">
        <v>153</v>
      </c>
      <c r="H23" s="7"/>
      <c r="I23" s="7" t="s">
        <v>571</v>
      </c>
      <c r="J23" s="8" t="n">
        <v>-362.08</v>
      </c>
      <c r="K23" s="7" t="s">
        <v>540</v>
      </c>
    </row>
    <row r="24" customFormat="false" ht="15" hidden="false" customHeight="false" outlineLevel="0" collapsed="false">
      <c r="A24" s="7" t="s">
        <v>137</v>
      </c>
      <c r="B24" s="16" t="n">
        <v>5</v>
      </c>
      <c r="C24" s="20" t="n">
        <v>46324</v>
      </c>
      <c r="D24" s="20" t="n">
        <v>46325</v>
      </c>
      <c r="E24" s="7" t="s">
        <v>369</v>
      </c>
      <c r="F24" s="7" t="s">
        <v>271</v>
      </c>
      <c r="G24" s="7" t="s">
        <v>149</v>
      </c>
      <c r="H24" s="7" t="s">
        <v>541</v>
      </c>
      <c r="I24" s="7" t="s">
        <v>572</v>
      </c>
      <c r="J24" s="8" t="n">
        <v>-1347.11</v>
      </c>
      <c r="K24" s="7" t="s">
        <v>543</v>
      </c>
    </row>
    <row r="25" customFormat="false" ht="15" hidden="false" customHeight="false" outlineLevel="0" collapsed="false">
      <c r="A25" s="7" t="s">
        <v>137</v>
      </c>
      <c r="B25" s="16" t="n">
        <v>5</v>
      </c>
      <c r="C25" s="20" t="n">
        <v>46324</v>
      </c>
      <c r="D25" s="20" t="n">
        <v>46325</v>
      </c>
      <c r="E25" s="7" t="s">
        <v>369</v>
      </c>
      <c r="F25" s="7" t="s">
        <v>271</v>
      </c>
      <c r="G25" s="7" t="s">
        <v>153</v>
      </c>
      <c r="H25" s="7" t="s">
        <v>541</v>
      </c>
      <c r="I25" s="7" t="s">
        <v>544</v>
      </c>
      <c r="J25" s="8" t="n">
        <v>-898.07</v>
      </c>
      <c r="K25" s="7" t="s">
        <v>543</v>
      </c>
    </row>
    <row r="26" customFormat="false" ht="15" hidden="false" customHeight="false" outlineLevel="0" collapsed="false">
      <c r="A26" s="7" t="s">
        <v>137</v>
      </c>
      <c r="B26" s="16" t="n">
        <v>5</v>
      </c>
      <c r="C26" s="20" t="n">
        <v>46324</v>
      </c>
      <c r="D26" s="20" t="n">
        <v>46327</v>
      </c>
      <c r="E26" s="7" t="s">
        <v>368</v>
      </c>
      <c r="F26" s="7" t="s">
        <v>545</v>
      </c>
      <c r="G26" s="7" t="s">
        <v>153</v>
      </c>
      <c r="H26" s="7"/>
      <c r="I26" s="7" t="s">
        <v>546</v>
      </c>
      <c r="J26" s="8" t="n">
        <v>-4200</v>
      </c>
      <c r="K26" s="7" t="s">
        <v>543</v>
      </c>
    </row>
    <row r="27" customFormat="false" ht="15" hidden="false" customHeight="false" outlineLevel="0" collapsed="false">
      <c r="A27" s="7" t="s">
        <v>137</v>
      </c>
      <c r="B27" s="16" t="n">
        <v>5</v>
      </c>
      <c r="C27" s="20" t="n">
        <v>46324</v>
      </c>
      <c r="D27" s="20" t="n">
        <v>46326</v>
      </c>
      <c r="E27" s="7" t="s">
        <v>525</v>
      </c>
      <c r="F27" s="7" t="s">
        <v>246</v>
      </c>
      <c r="G27" s="7" t="s">
        <v>153</v>
      </c>
      <c r="H27" s="7" t="s">
        <v>556</v>
      </c>
      <c r="I27" s="7" t="s">
        <v>573</v>
      </c>
      <c r="J27" s="8" t="n">
        <v>-1463.63</v>
      </c>
      <c r="K27" s="7" t="s">
        <v>543</v>
      </c>
    </row>
    <row r="28" customFormat="false" ht="15" hidden="false" customHeight="false" outlineLevel="0" collapsed="false">
      <c r="A28" s="7" t="s">
        <v>137</v>
      </c>
      <c r="B28" s="16" t="n">
        <v>5</v>
      </c>
      <c r="C28" s="20" t="n">
        <v>46324</v>
      </c>
      <c r="D28" s="20" t="n">
        <v>46326</v>
      </c>
      <c r="E28" s="7" t="s">
        <v>364</v>
      </c>
      <c r="F28" s="7" t="s">
        <v>574</v>
      </c>
      <c r="G28" s="7" t="s">
        <v>153</v>
      </c>
      <c r="H28" s="7" t="s">
        <v>556</v>
      </c>
      <c r="I28" s="7" t="s">
        <v>575</v>
      </c>
      <c r="J28" s="8" t="n">
        <v>-36000</v>
      </c>
      <c r="K28" s="7" t="s">
        <v>543</v>
      </c>
    </row>
    <row r="29" customFormat="false" ht="15" hidden="false" customHeight="false" outlineLevel="0" collapsed="false">
      <c r="A29" s="7" t="s">
        <v>137</v>
      </c>
      <c r="B29" s="16" t="n">
        <v>6</v>
      </c>
      <c r="C29" s="20" t="n">
        <v>46331</v>
      </c>
      <c r="D29" s="20" t="n">
        <v>46337</v>
      </c>
      <c r="E29" s="7" t="s">
        <v>522</v>
      </c>
      <c r="F29" s="7" t="s">
        <v>261</v>
      </c>
      <c r="G29" s="7" t="s">
        <v>141</v>
      </c>
      <c r="H29" s="7" t="s">
        <v>563</v>
      </c>
      <c r="I29" s="7" t="s">
        <v>576</v>
      </c>
      <c r="J29" s="8" t="n">
        <v>-352.8</v>
      </c>
      <c r="K29" s="7" t="s">
        <v>543</v>
      </c>
    </row>
    <row r="30" customFormat="false" ht="15" hidden="false" customHeight="false" outlineLevel="0" collapsed="false">
      <c r="A30" s="7" t="s">
        <v>137</v>
      </c>
      <c r="B30" s="16" t="n">
        <v>6</v>
      </c>
      <c r="C30" s="20" t="n">
        <v>46331</v>
      </c>
      <c r="D30" s="20" t="n">
        <v>46332</v>
      </c>
      <c r="E30" s="7" t="s">
        <v>522</v>
      </c>
      <c r="F30" s="7" t="s">
        <v>268</v>
      </c>
      <c r="G30" s="7" t="s">
        <v>144</v>
      </c>
      <c r="H30" s="7" t="s">
        <v>563</v>
      </c>
      <c r="I30" s="7" t="s">
        <v>577</v>
      </c>
      <c r="J30" s="8" t="n">
        <v>-1097.25</v>
      </c>
      <c r="K30" s="7" t="s">
        <v>543</v>
      </c>
    </row>
    <row r="31" customFormat="false" ht="15" hidden="false" customHeight="false" outlineLevel="0" collapsed="false">
      <c r="A31" s="7" t="s">
        <v>137</v>
      </c>
      <c r="B31" s="16" t="n">
        <v>6</v>
      </c>
      <c r="C31" s="20" t="n">
        <v>46331</v>
      </c>
      <c r="D31" s="20" t="n">
        <v>46337</v>
      </c>
      <c r="E31" s="7" t="s">
        <v>522</v>
      </c>
      <c r="F31" s="7" t="s">
        <v>261</v>
      </c>
      <c r="G31" s="7" t="s">
        <v>144</v>
      </c>
      <c r="H31" s="7" t="s">
        <v>538</v>
      </c>
      <c r="I31" s="7" t="s">
        <v>578</v>
      </c>
      <c r="J31" s="8" t="n">
        <v>-2452.5</v>
      </c>
      <c r="K31" s="7" t="s">
        <v>543</v>
      </c>
    </row>
    <row r="32" customFormat="false" ht="15" hidden="false" customHeight="false" outlineLevel="0" collapsed="false">
      <c r="A32" s="7" t="s">
        <v>137</v>
      </c>
      <c r="B32" s="16" t="n">
        <v>6</v>
      </c>
      <c r="C32" s="20" t="n">
        <v>46331</v>
      </c>
      <c r="D32" s="20" t="n">
        <v>46331</v>
      </c>
      <c r="E32" s="7" t="s">
        <v>522</v>
      </c>
      <c r="F32" s="7" t="s">
        <v>261</v>
      </c>
      <c r="G32" s="7" t="s">
        <v>149</v>
      </c>
      <c r="H32" s="7" t="s">
        <v>538</v>
      </c>
      <c r="I32" s="7" t="s">
        <v>579</v>
      </c>
      <c r="J32" s="8" t="n">
        <v>-1925.21</v>
      </c>
      <c r="K32" s="7" t="s">
        <v>543</v>
      </c>
    </row>
    <row r="33" customFormat="false" ht="15" hidden="false" customHeight="false" outlineLevel="0" collapsed="false">
      <c r="A33" s="7" t="s">
        <v>137</v>
      </c>
      <c r="B33" s="16" t="n">
        <v>7</v>
      </c>
      <c r="C33" s="20" t="n">
        <v>46338</v>
      </c>
      <c r="D33" s="20" t="n">
        <v>46339</v>
      </c>
      <c r="E33" s="7" t="s">
        <v>519</v>
      </c>
      <c r="F33" s="7" t="s">
        <v>266</v>
      </c>
      <c r="G33" s="7" t="s">
        <v>146</v>
      </c>
      <c r="H33" s="7" t="s">
        <v>563</v>
      </c>
      <c r="I33" s="7" t="s">
        <v>580</v>
      </c>
      <c r="J33" s="8" t="n">
        <v>-2464</v>
      </c>
      <c r="K33" s="7" t="s">
        <v>543</v>
      </c>
    </row>
    <row r="34" customFormat="false" ht="15" hidden="false" customHeight="false" outlineLevel="0" collapsed="false">
      <c r="A34" s="7" t="s">
        <v>137</v>
      </c>
      <c r="B34" s="16" t="n">
        <v>7</v>
      </c>
      <c r="C34" s="20" t="n">
        <v>46338</v>
      </c>
      <c r="D34" s="20" t="n">
        <v>46339</v>
      </c>
      <c r="E34" s="7" t="s">
        <v>519</v>
      </c>
      <c r="F34" s="7" t="s">
        <v>255</v>
      </c>
      <c r="G34" s="7" t="s">
        <v>146</v>
      </c>
      <c r="H34" s="7" t="s">
        <v>563</v>
      </c>
      <c r="I34" s="7" t="s">
        <v>581</v>
      </c>
      <c r="J34" s="8" t="n">
        <v>-2184</v>
      </c>
      <c r="K34" s="7" t="s">
        <v>543</v>
      </c>
    </row>
    <row r="35" customFormat="false" ht="15" hidden="false" customHeight="false" outlineLevel="0" collapsed="false">
      <c r="A35" s="7" t="s">
        <v>137</v>
      </c>
      <c r="B35" s="16" t="n">
        <v>7</v>
      </c>
      <c r="C35" s="20" t="n">
        <v>46338</v>
      </c>
      <c r="D35" s="20" t="n">
        <v>46339</v>
      </c>
      <c r="E35" s="7" t="s">
        <v>522</v>
      </c>
      <c r="F35" s="7" t="s">
        <v>268</v>
      </c>
      <c r="G35" s="7" t="s">
        <v>146</v>
      </c>
      <c r="H35" s="7" t="s">
        <v>563</v>
      </c>
      <c r="I35" s="7" t="s">
        <v>582</v>
      </c>
      <c r="J35" s="8" t="n">
        <v>-486.4</v>
      </c>
      <c r="K35" s="7" t="s">
        <v>543</v>
      </c>
    </row>
    <row r="36" customFormat="false" ht="15" hidden="false" customHeight="false" outlineLevel="0" collapsed="false">
      <c r="A36" s="7" t="s">
        <v>137</v>
      </c>
      <c r="B36" s="16" t="n">
        <v>7</v>
      </c>
      <c r="C36" s="20" t="n">
        <v>46338</v>
      </c>
      <c r="D36" s="20" t="n">
        <v>46342</v>
      </c>
      <c r="E36" s="7" t="s">
        <v>513</v>
      </c>
      <c r="F36" s="7" t="s">
        <v>279</v>
      </c>
      <c r="G36" s="7" t="s">
        <v>149</v>
      </c>
      <c r="H36" s="7" t="s">
        <v>583</v>
      </c>
      <c r="I36" s="7" t="s">
        <v>584</v>
      </c>
      <c r="J36" s="8" t="n">
        <v>15972</v>
      </c>
      <c r="K36" s="7" t="s">
        <v>543</v>
      </c>
    </row>
    <row r="37" customFormat="false" ht="15" hidden="false" customHeight="false" outlineLevel="0" collapsed="false">
      <c r="A37" s="7" t="s">
        <v>137</v>
      </c>
      <c r="B37" s="16" t="n">
        <v>7</v>
      </c>
      <c r="C37" s="20" t="n">
        <v>46338</v>
      </c>
      <c r="D37" s="20" t="n">
        <v>46342</v>
      </c>
      <c r="E37" s="7" t="s">
        <v>513</v>
      </c>
      <c r="F37" s="7" t="s">
        <v>281</v>
      </c>
      <c r="G37" s="7" t="s">
        <v>149</v>
      </c>
      <c r="H37" s="7" t="s">
        <v>583</v>
      </c>
      <c r="I37" s="7" t="s">
        <v>585</v>
      </c>
      <c r="J37" s="8" t="n">
        <v>2629.93</v>
      </c>
      <c r="K37" s="7" t="s">
        <v>543</v>
      </c>
    </row>
    <row r="38" customFormat="false" ht="15" hidden="false" customHeight="false" outlineLevel="0" collapsed="false">
      <c r="A38" s="7" t="s">
        <v>137</v>
      </c>
      <c r="B38" s="16" t="n">
        <v>7</v>
      </c>
      <c r="C38" s="20" t="n">
        <v>46338</v>
      </c>
      <c r="D38" s="20" t="n">
        <v>46341</v>
      </c>
      <c r="E38" s="7" t="s">
        <v>369</v>
      </c>
      <c r="F38" s="7" t="s">
        <v>273</v>
      </c>
      <c r="G38" s="7" t="s">
        <v>149</v>
      </c>
      <c r="H38" s="7" t="s">
        <v>541</v>
      </c>
      <c r="I38" s="7" t="s">
        <v>554</v>
      </c>
      <c r="J38" s="8" t="n">
        <v>-207.45</v>
      </c>
      <c r="K38" s="7" t="s">
        <v>543</v>
      </c>
    </row>
    <row r="39" customFormat="false" ht="15" hidden="false" customHeight="false" outlineLevel="0" collapsed="false">
      <c r="A39" s="7" t="s">
        <v>137</v>
      </c>
      <c r="B39" s="16" t="n">
        <v>7</v>
      </c>
      <c r="C39" s="20" t="n">
        <v>46338</v>
      </c>
      <c r="D39" s="20" t="n">
        <v>46341</v>
      </c>
      <c r="E39" s="7" t="s">
        <v>369</v>
      </c>
      <c r="F39" s="7" t="s">
        <v>273</v>
      </c>
      <c r="G39" s="7" t="s">
        <v>149</v>
      </c>
      <c r="H39" s="7" t="s">
        <v>541</v>
      </c>
      <c r="I39" s="7" t="s">
        <v>554</v>
      </c>
      <c r="J39" s="8" t="n">
        <v>-224.39</v>
      </c>
      <c r="K39" s="7" t="s">
        <v>543</v>
      </c>
    </row>
    <row r="40" customFormat="false" ht="15" hidden="false" customHeight="false" outlineLevel="0" collapsed="false">
      <c r="A40" s="7" t="s">
        <v>137</v>
      </c>
      <c r="B40" s="16" t="n">
        <v>7</v>
      </c>
      <c r="C40" s="20" t="n">
        <v>46338</v>
      </c>
      <c r="D40" s="20" t="n">
        <v>46341</v>
      </c>
      <c r="E40" s="7" t="s">
        <v>369</v>
      </c>
      <c r="F40" s="7" t="s">
        <v>273</v>
      </c>
      <c r="G40" s="7" t="s">
        <v>149</v>
      </c>
      <c r="H40" s="7" t="s">
        <v>541</v>
      </c>
      <c r="I40" s="7" t="s">
        <v>554</v>
      </c>
      <c r="J40" s="8" t="n">
        <v>-197.58</v>
      </c>
      <c r="K40" s="7" t="s">
        <v>543</v>
      </c>
    </row>
    <row r="41" customFormat="false" ht="15" hidden="false" customHeight="false" outlineLevel="0" collapsed="false">
      <c r="A41" s="7" t="s">
        <v>137</v>
      </c>
      <c r="B41" s="16" t="n">
        <v>7</v>
      </c>
      <c r="C41" s="20" t="n">
        <v>46338</v>
      </c>
      <c r="D41" s="20" t="n">
        <v>46339</v>
      </c>
      <c r="E41" s="7" t="s">
        <v>369</v>
      </c>
      <c r="F41" s="7" t="s">
        <v>271</v>
      </c>
      <c r="G41" s="7" t="s">
        <v>149</v>
      </c>
      <c r="H41" s="7" t="s">
        <v>541</v>
      </c>
      <c r="I41" s="7" t="s">
        <v>586</v>
      </c>
      <c r="J41" s="8" t="n">
        <v>-829.37</v>
      </c>
      <c r="K41" s="7" t="s">
        <v>543</v>
      </c>
    </row>
    <row r="42" customFormat="false" ht="15" hidden="false" customHeight="false" outlineLevel="0" collapsed="false">
      <c r="A42" s="7" t="s">
        <v>137</v>
      </c>
      <c r="B42" s="16" t="n">
        <v>7</v>
      </c>
      <c r="C42" s="20" t="n">
        <v>46338</v>
      </c>
      <c r="D42" s="20" t="n">
        <v>46339</v>
      </c>
      <c r="E42" s="7" t="s">
        <v>369</v>
      </c>
      <c r="F42" s="7" t="s">
        <v>271</v>
      </c>
      <c r="G42" s="7" t="s">
        <v>153</v>
      </c>
      <c r="H42" s="7" t="s">
        <v>541</v>
      </c>
      <c r="I42" s="7" t="s">
        <v>544</v>
      </c>
      <c r="J42" s="8" t="n">
        <v>-552.92</v>
      </c>
      <c r="K42" s="7" t="s">
        <v>543</v>
      </c>
    </row>
    <row r="43" customFormat="false" ht="15" hidden="false" customHeight="false" outlineLevel="0" collapsed="false">
      <c r="A43" s="7" t="s">
        <v>137</v>
      </c>
      <c r="B43" s="16" t="n">
        <v>7</v>
      </c>
      <c r="C43" s="20" t="n">
        <v>46338</v>
      </c>
      <c r="D43" s="20" t="n">
        <v>46338</v>
      </c>
      <c r="E43" s="7" t="s">
        <v>365</v>
      </c>
      <c r="F43" s="7" t="s">
        <v>240</v>
      </c>
      <c r="G43" s="7" t="s">
        <v>153</v>
      </c>
      <c r="H43" s="7" t="s">
        <v>547</v>
      </c>
      <c r="I43" s="7" t="s">
        <v>548</v>
      </c>
      <c r="J43" s="8" t="n">
        <v>-226.63</v>
      </c>
      <c r="K43" s="7" t="s">
        <v>543</v>
      </c>
    </row>
    <row r="44" customFormat="false" ht="15" hidden="false" customHeight="false" outlineLevel="0" collapsed="false">
      <c r="A44" s="7" t="s">
        <v>137</v>
      </c>
      <c r="B44" s="16" t="n">
        <v>7</v>
      </c>
      <c r="C44" s="20" t="n">
        <v>46338</v>
      </c>
      <c r="D44" s="20" t="n">
        <v>46342</v>
      </c>
      <c r="E44" s="7" t="s">
        <v>524</v>
      </c>
      <c r="F44" s="7" t="s">
        <v>237</v>
      </c>
      <c r="G44" s="7" t="s">
        <v>149</v>
      </c>
      <c r="H44" s="7" t="s">
        <v>556</v>
      </c>
      <c r="I44" s="7" t="s">
        <v>587</v>
      </c>
      <c r="J44" s="8" t="n">
        <v>-215.02</v>
      </c>
      <c r="K44" s="7" t="s">
        <v>558</v>
      </c>
    </row>
    <row r="45" customFormat="false" ht="15" hidden="false" customHeight="false" outlineLevel="0" collapsed="false">
      <c r="A45" s="7" t="s">
        <v>137</v>
      </c>
      <c r="B45" s="16" t="n">
        <v>7</v>
      </c>
      <c r="C45" s="20" t="n">
        <v>46338</v>
      </c>
      <c r="D45" s="20" t="n">
        <v>46342</v>
      </c>
      <c r="E45" s="7" t="s">
        <v>524</v>
      </c>
      <c r="F45" s="7" t="s">
        <v>559</v>
      </c>
      <c r="G45" s="7" t="s">
        <v>149</v>
      </c>
      <c r="H45" s="7" t="s">
        <v>556</v>
      </c>
      <c r="I45" s="7" t="s">
        <v>588</v>
      </c>
      <c r="J45" s="8" t="n">
        <v>-1517.47</v>
      </c>
      <c r="K45" s="7" t="s">
        <v>558</v>
      </c>
    </row>
    <row r="46" customFormat="false" ht="15" hidden="false" customHeight="false" outlineLevel="0" collapsed="false">
      <c r="A46" s="7" t="s">
        <v>137</v>
      </c>
      <c r="B46" s="16" t="n">
        <v>8</v>
      </c>
      <c r="C46" s="20" t="n">
        <v>46345</v>
      </c>
      <c r="D46" s="20" t="n">
        <v>46349</v>
      </c>
      <c r="E46" s="7" t="s">
        <v>350</v>
      </c>
      <c r="F46" s="7" t="s">
        <v>223</v>
      </c>
      <c r="G46" s="7" t="s">
        <v>136</v>
      </c>
      <c r="H46" s="7" t="s">
        <v>589</v>
      </c>
      <c r="I46" s="7" t="s">
        <v>590</v>
      </c>
      <c r="J46" s="8" t="n">
        <v>-941.76</v>
      </c>
      <c r="K46" s="7" t="s">
        <v>543</v>
      </c>
    </row>
    <row r="47" customFormat="false" ht="15" hidden="false" customHeight="false" outlineLevel="0" collapsed="false">
      <c r="A47" s="7" t="s">
        <v>137</v>
      </c>
      <c r="B47" s="16" t="n">
        <v>8</v>
      </c>
      <c r="C47" s="20" t="n">
        <v>46345</v>
      </c>
      <c r="D47" s="20" t="n">
        <v>46349</v>
      </c>
      <c r="E47" s="7" t="s">
        <v>519</v>
      </c>
      <c r="F47" s="7" t="s">
        <v>264</v>
      </c>
      <c r="G47" s="7" t="s">
        <v>136</v>
      </c>
      <c r="H47" s="7" t="s">
        <v>591</v>
      </c>
      <c r="I47" s="7" t="s">
        <v>592</v>
      </c>
      <c r="J47" s="8" t="n">
        <v>-1883.52</v>
      </c>
      <c r="K47" s="7" t="s">
        <v>543</v>
      </c>
    </row>
    <row r="48" customFormat="false" ht="15" hidden="false" customHeight="false" outlineLevel="0" collapsed="false">
      <c r="A48" s="7" t="s">
        <v>137</v>
      </c>
      <c r="B48" s="16" t="n">
        <v>8</v>
      </c>
      <c r="C48" s="20" t="n">
        <v>46345</v>
      </c>
      <c r="D48" s="20" t="n">
        <v>46350</v>
      </c>
      <c r="E48" s="7" t="s">
        <v>513</v>
      </c>
      <c r="F48" s="7" t="s">
        <v>279</v>
      </c>
      <c r="G48" s="7" t="s">
        <v>149</v>
      </c>
      <c r="H48" s="7" t="s">
        <v>593</v>
      </c>
      <c r="I48" s="7" t="s">
        <v>594</v>
      </c>
      <c r="J48" s="8" t="n">
        <v>8052</v>
      </c>
      <c r="K48" s="7" t="s">
        <v>543</v>
      </c>
    </row>
    <row r="49" customFormat="false" ht="15" hidden="false" customHeight="false" outlineLevel="0" collapsed="false">
      <c r="A49" s="7" t="s">
        <v>137</v>
      </c>
      <c r="B49" s="16" t="n">
        <v>8</v>
      </c>
      <c r="C49" s="20" t="n">
        <v>46345</v>
      </c>
      <c r="D49" s="20" t="n">
        <v>46350</v>
      </c>
      <c r="E49" s="7" t="s">
        <v>513</v>
      </c>
      <c r="F49" s="7" t="s">
        <v>281</v>
      </c>
      <c r="G49" s="7" t="s">
        <v>149</v>
      </c>
      <c r="H49" s="7" t="s">
        <v>593</v>
      </c>
      <c r="I49" s="7" t="s">
        <v>595</v>
      </c>
      <c r="J49" s="8" t="n">
        <v>1325.84</v>
      </c>
      <c r="K49" s="7" t="s">
        <v>543</v>
      </c>
    </row>
    <row r="50" customFormat="false" ht="15" hidden="false" customHeight="false" outlineLevel="0" collapsed="false">
      <c r="A50" s="7" t="s">
        <v>137</v>
      </c>
      <c r="B50" s="16" t="n">
        <v>8</v>
      </c>
      <c r="C50" s="20" t="n">
        <v>46345</v>
      </c>
      <c r="D50" s="20" t="n">
        <v>46350</v>
      </c>
      <c r="E50" s="7" t="s">
        <v>522</v>
      </c>
      <c r="F50" s="7" t="s">
        <v>268</v>
      </c>
      <c r="G50" s="7" t="s">
        <v>149</v>
      </c>
      <c r="H50" s="7" t="s">
        <v>563</v>
      </c>
      <c r="I50" s="7" t="s">
        <v>596</v>
      </c>
      <c r="J50" s="8" t="n">
        <v>-7335.9</v>
      </c>
      <c r="K50" s="7" t="s">
        <v>543</v>
      </c>
    </row>
    <row r="51" customFormat="false" ht="15" hidden="false" customHeight="false" outlineLevel="0" collapsed="false">
      <c r="A51" s="7" t="s">
        <v>137</v>
      </c>
      <c r="B51" s="16" t="n">
        <v>8</v>
      </c>
      <c r="C51" s="20" t="n">
        <v>46345</v>
      </c>
      <c r="D51" s="20" t="n">
        <v>46350</v>
      </c>
      <c r="E51" s="7" t="s">
        <v>522</v>
      </c>
      <c r="F51" s="7" t="s">
        <v>268</v>
      </c>
      <c r="G51" s="7" t="s">
        <v>149</v>
      </c>
      <c r="H51" s="7" t="s">
        <v>563</v>
      </c>
      <c r="I51" s="7" t="s">
        <v>597</v>
      </c>
      <c r="J51" s="8" t="n">
        <v>-902.65</v>
      </c>
      <c r="K51" s="7" t="s">
        <v>543</v>
      </c>
    </row>
    <row r="52" customFormat="false" ht="15" hidden="false" customHeight="false" outlineLevel="0" collapsed="false">
      <c r="A52" s="7" t="s">
        <v>137</v>
      </c>
      <c r="B52" s="16" t="n">
        <v>8</v>
      </c>
      <c r="C52" s="20" t="n">
        <v>46345</v>
      </c>
      <c r="D52" s="20" t="n">
        <v>46346</v>
      </c>
      <c r="E52" s="7" t="s">
        <v>513</v>
      </c>
      <c r="F52" s="7" t="s">
        <v>279</v>
      </c>
      <c r="G52" s="7" t="s">
        <v>149</v>
      </c>
      <c r="H52" s="7" t="s">
        <v>593</v>
      </c>
      <c r="I52" s="7" t="s">
        <v>598</v>
      </c>
      <c r="J52" s="8" t="n">
        <v>6816</v>
      </c>
      <c r="K52" s="7" t="s">
        <v>543</v>
      </c>
    </row>
    <row r="53" customFormat="false" ht="15" hidden="false" customHeight="false" outlineLevel="0" collapsed="false">
      <c r="A53" s="7" t="s">
        <v>137</v>
      </c>
      <c r="B53" s="16" t="n">
        <v>8</v>
      </c>
      <c r="C53" s="20" t="n">
        <v>46345</v>
      </c>
      <c r="D53" s="20" t="n">
        <v>46346</v>
      </c>
      <c r="E53" s="7" t="s">
        <v>513</v>
      </c>
      <c r="F53" s="7" t="s">
        <v>281</v>
      </c>
      <c r="G53" s="7" t="s">
        <v>149</v>
      </c>
      <c r="H53" s="7" t="s">
        <v>593</v>
      </c>
      <c r="I53" s="7" t="s">
        <v>599</v>
      </c>
      <c r="J53" s="8" t="n">
        <v>3690.22</v>
      </c>
      <c r="K53" s="7" t="s">
        <v>543</v>
      </c>
    </row>
    <row r="54" customFormat="false" ht="15" hidden="false" customHeight="false" outlineLevel="0" collapsed="false">
      <c r="A54" s="7" t="s">
        <v>137</v>
      </c>
      <c r="B54" s="16" t="n">
        <v>8</v>
      </c>
      <c r="C54" s="20" t="n">
        <v>46345</v>
      </c>
      <c r="D54" s="20" t="n">
        <v>46348</v>
      </c>
      <c r="E54" s="7" t="s">
        <v>365</v>
      </c>
      <c r="F54" s="7" t="s">
        <v>244</v>
      </c>
      <c r="G54" s="7" t="s">
        <v>153</v>
      </c>
      <c r="H54" s="7"/>
      <c r="I54" s="7" t="s">
        <v>570</v>
      </c>
      <c r="J54" s="8" t="n">
        <v>-165</v>
      </c>
      <c r="K54" s="7" t="s">
        <v>543</v>
      </c>
    </row>
    <row r="55" customFormat="false" ht="15" hidden="false" customHeight="false" outlineLevel="0" collapsed="false">
      <c r="A55" s="7" t="s">
        <v>137</v>
      </c>
      <c r="B55" s="16" t="n">
        <v>8</v>
      </c>
      <c r="C55" s="20" t="n">
        <v>46345</v>
      </c>
      <c r="D55" s="20" t="n">
        <v>46348</v>
      </c>
      <c r="E55" s="7" t="s">
        <v>365</v>
      </c>
      <c r="F55" s="7" t="s">
        <v>242</v>
      </c>
      <c r="G55" s="7" t="s">
        <v>153</v>
      </c>
      <c r="H55" s="7"/>
      <c r="I55" s="7" t="s">
        <v>571</v>
      </c>
      <c r="J55" s="8" t="n">
        <v>-240.41</v>
      </c>
      <c r="K55" s="7" t="s">
        <v>543</v>
      </c>
    </row>
    <row r="56" customFormat="false" ht="15" hidden="false" customHeight="false" outlineLevel="0" collapsed="false">
      <c r="A56" s="7" t="s">
        <v>137</v>
      </c>
      <c r="B56" s="16" t="n">
        <v>9</v>
      </c>
      <c r="C56" s="20" t="n">
        <v>46352</v>
      </c>
      <c r="D56" s="20" t="n">
        <v>46356</v>
      </c>
      <c r="E56" s="7" t="s">
        <v>513</v>
      </c>
      <c r="F56" s="7" t="s">
        <v>279</v>
      </c>
      <c r="G56" s="7" t="s">
        <v>149</v>
      </c>
      <c r="H56" s="7" t="s">
        <v>600</v>
      </c>
      <c r="I56" s="7" t="s">
        <v>601</v>
      </c>
      <c r="J56" s="8" t="n">
        <v>8624</v>
      </c>
      <c r="K56" s="7" t="s">
        <v>543</v>
      </c>
    </row>
    <row r="57" customFormat="false" ht="15" hidden="false" customHeight="false" outlineLevel="0" collapsed="false">
      <c r="A57" s="7" t="s">
        <v>137</v>
      </c>
      <c r="B57" s="16" t="n">
        <v>9</v>
      </c>
      <c r="C57" s="20" t="n">
        <v>46352</v>
      </c>
      <c r="D57" s="20" t="n">
        <v>46356</v>
      </c>
      <c r="E57" s="7" t="s">
        <v>513</v>
      </c>
      <c r="F57" s="7" t="s">
        <v>281</v>
      </c>
      <c r="G57" s="7" t="s">
        <v>149</v>
      </c>
      <c r="H57" s="7" t="s">
        <v>600</v>
      </c>
      <c r="I57" s="7" t="s">
        <v>602</v>
      </c>
      <c r="J57" s="8" t="n">
        <v>1420.02</v>
      </c>
      <c r="K57" s="7" t="s">
        <v>543</v>
      </c>
    </row>
    <row r="58" customFormat="false" ht="15" hidden="false" customHeight="false" outlineLevel="0" collapsed="false">
      <c r="A58" s="7" t="s">
        <v>137</v>
      </c>
      <c r="B58" s="16" t="n">
        <v>9</v>
      </c>
      <c r="C58" s="20" t="n">
        <v>46352</v>
      </c>
      <c r="D58" s="20" t="n">
        <v>46356</v>
      </c>
      <c r="E58" s="7" t="s">
        <v>513</v>
      </c>
      <c r="F58" s="7" t="s">
        <v>279</v>
      </c>
      <c r="G58" s="7" t="s">
        <v>149</v>
      </c>
      <c r="H58" s="7" t="s">
        <v>603</v>
      </c>
      <c r="I58" s="7" t="s">
        <v>604</v>
      </c>
      <c r="J58" s="8" t="n">
        <v>5764</v>
      </c>
      <c r="K58" s="7" t="s">
        <v>543</v>
      </c>
    </row>
    <row r="59" customFormat="false" ht="15" hidden="false" customHeight="false" outlineLevel="0" collapsed="false">
      <c r="A59" s="7" t="s">
        <v>137</v>
      </c>
      <c r="B59" s="16" t="n">
        <v>9</v>
      </c>
      <c r="C59" s="20" t="n">
        <v>46352</v>
      </c>
      <c r="D59" s="20" t="n">
        <v>46356</v>
      </c>
      <c r="E59" s="7" t="s">
        <v>513</v>
      </c>
      <c r="F59" s="7" t="s">
        <v>281</v>
      </c>
      <c r="G59" s="7" t="s">
        <v>149</v>
      </c>
      <c r="H59" s="7" t="s">
        <v>603</v>
      </c>
      <c r="I59" s="7" t="s">
        <v>605</v>
      </c>
      <c r="J59" s="8" t="n">
        <v>949.09</v>
      </c>
      <c r="K59" s="7" t="s">
        <v>543</v>
      </c>
    </row>
    <row r="60" customFormat="false" ht="15" hidden="false" customHeight="false" outlineLevel="0" collapsed="false">
      <c r="A60" s="7" t="s">
        <v>137</v>
      </c>
      <c r="B60" s="16" t="n">
        <v>9</v>
      </c>
      <c r="C60" s="20" t="n">
        <v>46352</v>
      </c>
      <c r="D60" s="20" t="n">
        <v>46353</v>
      </c>
      <c r="E60" s="7" t="s">
        <v>513</v>
      </c>
      <c r="F60" s="7" t="s">
        <v>279</v>
      </c>
      <c r="G60" s="7" t="s">
        <v>149</v>
      </c>
      <c r="H60" s="7" t="s">
        <v>606</v>
      </c>
      <c r="I60" s="7" t="s">
        <v>607</v>
      </c>
      <c r="J60" s="8" t="n">
        <v>5632</v>
      </c>
      <c r="K60" s="7" t="s">
        <v>543</v>
      </c>
    </row>
    <row r="61" customFormat="false" ht="15" hidden="false" customHeight="false" outlineLevel="0" collapsed="false">
      <c r="A61" s="7" t="s">
        <v>137</v>
      </c>
      <c r="B61" s="16" t="n">
        <v>9</v>
      </c>
      <c r="C61" s="20" t="n">
        <v>46352</v>
      </c>
      <c r="D61" s="20" t="n">
        <v>46353</v>
      </c>
      <c r="E61" s="7" t="s">
        <v>513</v>
      </c>
      <c r="F61" s="7" t="s">
        <v>281</v>
      </c>
      <c r="G61" s="7" t="s">
        <v>149</v>
      </c>
      <c r="H61" s="7" t="s">
        <v>606</v>
      </c>
      <c r="I61" s="7" t="s">
        <v>608</v>
      </c>
      <c r="J61" s="8" t="n">
        <v>927.36</v>
      </c>
      <c r="K61" s="7" t="s">
        <v>543</v>
      </c>
    </row>
    <row r="62" customFormat="false" ht="15" hidden="false" customHeight="false" outlineLevel="0" collapsed="false">
      <c r="A62" s="7" t="s">
        <v>137</v>
      </c>
      <c r="B62" s="16" t="n">
        <v>9</v>
      </c>
      <c r="C62" s="20" t="n">
        <v>46352</v>
      </c>
      <c r="D62" s="20" t="n">
        <v>46357</v>
      </c>
      <c r="E62" s="7" t="s">
        <v>368</v>
      </c>
      <c r="F62" s="7" t="s">
        <v>545</v>
      </c>
      <c r="G62" s="7" t="s">
        <v>153</v>
      </c>
      <c r="H62" s="7"/>
      <c r="I62" s="7" t="s">
        <v>546</v>
      </c>
      <c r="J62" s="8" t="n">
        <v>-4200</v>
      </c>
      <c r="K62" s="7" t="s">
        <v>543</v>
      </c>
    </row>
    <row r="63" customFormat="false" ht="15" hidden="false" customHeight="false" outlineLevel="0" collapsed="false">
      <c r="A63" s="7" t="s">
        <v>137</v>
      </c>
      <c r="B63" s="16" t="n">
        <v>9</v>
      </c>
      <c r="C63" s="20" t="n">
        <v>46352</v>
      </c>
      <c r="D63" s="20" t="n">
        <v>46357</v>
      </c>
      <c r="E63" s="7" t="s">
        <v>524</v>
      </c>
      <c r="F63" s="7" t="s">
        <v>237</v>
      </c>
      <c r="G63" s="7" t="s">
        <v>153</v>
      </c>
      <c r="H63" s="7" t="s">
        <v>609</v>
      </c>
      <c r="I63" s="7" t="s">
        <v>610</v>
      </c>
      <c r="J63" s="8" t="n">
        <v>-13547.55</v>
      </c>
      <c r="K63" s="7" t="s">
        <v>558</v>
      </c>
    </row>
    <row r="64" customFormat="false" ht="15" hidden="false" customHeight="false" outlineLevel="0" collapsed="false">
      <c r="A64" s="7" t="s">
        <v>137</v>
      </c>
      <c r="B64" s="16" t="n">
        <v>9</v>
      </c>
      <c r="C64" s="20" t="n">
        <v>46352</v>
      </c>
      <c r="D64" s="20" t="n">
        <v>46357</v>
      </c>
      <c r="E64" s="7" t="s">
        <v>524</v>
      </c>
      <c r="F64" s="7" t="s">
        <v>559</v>
      </c>
      <c r="G64" s="7" t="s">
        <v>153</v>
      </c>
      <c r="H64" s="7" t="s">
        <v>609</v>
      </c>
      <c r="I64" s="7" t="s">
        <v>611</v>
      </c>
      <c r="J64" s="8" t="n">
        <v>-18322.13</v>
      </c>
      <c r="K64" s="7" t="s">
        <v>558</v>
      </c>
    </row>
    <row r="65" customFormat="false" ht="15" hidden="false" customHeight="false" outlineLevel="0" collapsed="false">
      <c r="A65" s="7" t="s">
        <v>137</v>
      </c>
      <c r="B65" s="16" t="n">
        <v>9</v>
      </c>
      <c r="C65" s="20" t="n">
        <v>46352</v>
      </c>
      <c r="D65" s="20" t="n">
        <v>46356</v>
      </c>
      <c r="E65" s="7" t="s">
        <v>525</v>
      </c>
      <c r="F65" s="7" t="s">
        <v>246</v>
      </c>
      <c r="G65" s="7" t="s">
        <v>153</v>
      </c>
      <c r="H65" s="7" t="s">
        <v>556</v>
      </c>
      <c r="I65" s="7" t="s">
        <v>573</v>
      </c>
      <c r="J65" s="8" t="n">
        <v>-1245.21</v>
      </c>
      <c r="K65" s="7" t="s">
        <v>543</v>
      </c>
    </row>
    <row r="66" customFormat="false" ht="15" hidden="false" customHeight="false" outlineLevel="0" collapsed="false">
      <c r="A66" s="7" t="s">
        <v>137</v>
      </c>
      <c r="B66" s="16" t="n">
        <v>9</v>
      </c>
      <c r="C66" s="20" t="n">
        <v>46352</v>
      </c>
      <c r="D66" s="20" t="n">
        <v>46356</v>
      </c>
      <c r="E66" s="7" t="s">
        <v>364</v>
      </c>
      <c r="F66" s="7" t="s">
        <v>574</v>
      </c>
      <c r="G66" s="7" t="s">
        <v>153</v>
      </c>
      <c r="H66" s="7" t="s">
        <v>556</v>
      </c>
      <c r="I66" s="7" t="s">
        <v>575</v>
      </c>
      <c r="J66" s="8" t="n">
        <v>-30000</v>
      </c>
      <c r="K66" s="7" t="s">
        <v>543</v>
      </c>
    </row>
    <row r="67" customFormat="false" ht="15" hidden="false" customHeight="false" outlineLevel="0" collapsed="false">
      <c r="A67" s="7" t="s">
        <v>137</v>
      </c>
      <c r="B67" s="16" t="n">
        <v>9</v>
      </c>
      <c r="C67" s="20" t="n">
        <v>46352</v>
      </c>
      <c r="D67" s="20" t="n">
        <v>46357</v>
      </c>
      <c r="E67" s="7" t="s">
        <v>363</v>
      </c>
      <c r="F67" s="7" t="s">
        <v>561</v>
      </c>
      <c r="G67" s="7" t="s">
        <v>153</v>
      </c>
      <c r="H67" s="7" t="s">
        <v>556</v>
      </c>
      <c r="I67" s="7" t="s">
        <v>562</v>
      </c>
      <c r="J67" s="8" t="n">
        <v>28000</v>
      </c>
      <c r="K67" s="7" t="s">
        <v>543</v>
      </c>
    </row>
    <row r="68" customFormat="false" ht="15" hidden="false" customHeight="false" outlineLevel="0" collapsed="false">
      <c r="A68" s="7" t="s">
        <v>137</v>
      </c>
      <c r="B68" s="16" t="n">
        <v>10</v>
      </c>
      <c r="C68" s="20" t="n">
        <v>46359</v>
      </c>
      <c r="D68" s="20" t="n">
        <v>46365</v>
      </c>
      <c r="E68" s="7" t="s">
        <v>513</v>
      </c>
      <c r="F68" s="7" t="s">
        <v>279</v>
      </c>
      <c r="G68" s="7" t="s">
        <v>149</v>
      </c>
      <c r="H68" s="7" t="s">
        <v>603</v>
      </c>
      <c r="I68" s="7" t="s">
        <v>612</v>
      </c>
      <c r="J68" s="8" t="n">
        <v>5760</v>
      </c>
      <c r="K68" s="7" t="s">
        <v>543</v>
      </c>
    </row>
    <row r="69" customFormat="false" ht="15" hidden="false" customHeight="false" outlineLevel="0" collapsed="false">
      <c r="A69" s="7" t="s">
        <v>137</v>
      </c>
      <c r="B69" s="16" t="n">
        <v>10</v>
      </c>
      <c r="C69" s="20" t="n">
        <v>46359</v>
      </c>
      <c r="D69" s="20" t="n">
        <v>46365</v>
      </c>
      <c r="E69" s="7" t="s">
        <v>513</v>
      </c>
      <c r="F69" s="7" t="s">
        <v>281</v>
      </c>
      <c r="G69" s="7" t="s">
        <v>149</v>
      </c>
      <c r="H69" s="7" t="s">
        <v>603</v>
      </c>
      <c r="I69" s="7" t="s">
        <v>613</v>
      </c>
      <c r="J69" s="8" t="n">
        <v>3118.5</v>
      </c>
      <c r="K69" s="7" t="s">
        <v>543</v>
      </c>
    </row>
    <row r="70" customFormat="false" ht="15" hidden="false" customHeight="false" outlineLevel="0" collapsed="false">
      <c r="A70" s="7" t="s">
        <v>137</v>
      </c>
      <c r="B70" s="16" t="n">
        <v>10</v>
      </c>
      <c r="C70" s="20" t="n">
        <v>46359</v>
      </c>
      <c r="D70" s="20" t="n">
        <v>46363</v>
      </c>
      <c r="E70" s="7" t="s">
        <v>513</v>
      </c>
      <c r="F70" s="7" t="s">
        <v>279</v>
      </c>
      <c r="G70" s="7" t="s">
        <v>149</v>
      </c>
      <c r="H70" s="7" t="s">
        <v>614</v>
      </c>
      <c r="I70" s="7" t="s">
        <v>615</v>
      </c>
      <c r="J70" s="8" t="n">
        <v>4512</v>
      </c>
      <c r="K70" s="7" t="s">
        <v>543</v>
      </c>
    </row>
    <row r="71" customFormat="false" ht="15" hidden="false" customHeight="false" outlineLevel="0" collapsed="false">
      <c r="A71" s="7" t="s">
        <v>137</v>
      </c>
      <c r="B71" s="16" t="n">
        <v>10</v>
      </c>
      <c r="C71" s="20" t="n">
        <v>46359</v>
      </c>
      <c r="D71" s="20" t="n">
        <v>46363</v>
      </c>
      <c r="E71" s="7" t="s">
        <v>513</v>
      </c>
      <c r="F71" s="7" t="s">
        <v>281</v>
      </c>
      <c r="G71" s="7" t="s">
        <v>149</v>
      </c>
      <c r="H71" s="7" t="s">
        <v>614</v>
      </c>
      <c r="I71" s="7" t="s">
        <v>616</v>
      </c>
      <c r="J71" s="8" t="n">
        <v>2442.82</v>
      </c>
      <c r="K71" s="7" t="s">
        <v>543</v>
      </c>
    </row>
    <row r="72" customFormat="false" ht="15" hidden="false" customHeight="false" outlineLevel="0" collapsed="false">
      <c r="A72" s="7" t="s">
        <v>137</v>
      </c>
      <c r="B72" s="16" t="n">
        <v>10</v>
      </c>
      <c r="C72" s="20" t="n">
        <v>46359</v>
      </c>
      <c r="D72" s="20" t="n">
        <v>46365</v>
      </c>
      <c r="E72" s="7" t="s">
        <v>522</v>
      </c>
      <c r="F72" s="7" t="s">
        <v>268</v>
      </c>
      <c r="G72" s="7" t="s">
        <v>149</v>
      </c>
      <c r="H72" s="7" t="s">
        <v>563</v>
      </c>
      <c r="I72" s="7" t="s">
        <v>617</v>
      </c>
      <c r="J72" s="8" t="n">
        <v>-6617.7</v>
      </c>
      <c r="K72" s="7" t="s">
        <v>543</v>
      </c>
    </row>
    <row r="73" customFormat="false" ht="15" hidden="false" customHeight="false" outlineLevel="0" collapsed="false">
      <c r="A73" s="7" t="s">
        <v>137</v>
      </c>
      <c r="B73" s="16" t="n">
        <v>10</v>
      </c>
      <c r="C73" s="20" t="n">
        <v>46359</v>
      </c>
      <c r="D73" s="20" t="n">
        <v>46365</v>
      </c>
      <c r="E73" s="7" t="s">
        <v>522</v>
      </c>
      <c r="F73" s="7" t="s">
        <v>268</v>
      </c>
      <c r="G73" s="7" t="s">
        <v>149</v>
      </c>
      <c r="H73" s="7" t="s">
        <v>563</v>
      </c>
      <c r="I73" s="7" t="s">
        <v>618</v>
      </c>
      <c r="J73" s="8" t="n">
        <v>-2920.77</v>
      </c>
      <c r="K73" s="7" t="s">
        <v>543</v>
      </c>
    </row>
    <row r="74" customFormat="false" ht="15" hidden="false" customHeight="false" outlineLevel="0" collapsed="false">
      <c r="A74" s="7" t="s">
        <v>137</v>
      </c>
      <c r="B74" s="16" t="n">
        <v>11</v>
      </c>
      <c r="C74" s="20" t="n">
        <v>46366</v>
      </c>
      <c r="D74" s="20" t="n">
        <v>46371</v>
      </c>
      <c r="E74" s="7" t="s">
        <v>510</v>
      </c>
      <c r="F74" s="7" t="s">
        <v>279</v>
      </c>
      <c r="G74" s="7" t="s">
        <v>149</v>
      </c>
      <c r="H74" s="7" t="s">
        <v>600</v>
      </c>
      <c r="I74" s="7" t="s">
        <v>619</v>
      </c>
      <c r="J74" s="8" t="n">
        <v>8413</v>
      </c>
      <c r="K74" s="7" t="s">
        <v>540</v>
      </c>
    </row>
    <row r="75" customFormat="false" ht="15" hidden="false" customHeight="false" outlineLevel="0" collapsed="false">
      <c r="A75" s="7" t="s">
        <v>137</v>
      </c>
      <c r="B75" s="16" t="n">
        <v>11</v>
      </c>
      <c r="C75" s="20" t="n">
        <v>46366</v>
      </c>
      <c r="D75" s="20" t="n">
        <v>46371</v>
      </c>
      <c r="E75" s="7" t="s">
        <v>510</v>
      </c>
      <c r="F75" s="7" t="s">
        <v>281</v>
      </c>
      <c r="G75" s="7" t="s">
        <v>149</v>
      </c>
      <c r="H75" s="7" t="s">
        <v>600</v>
      </c>
      <c r="I75" s="7" t="s">
        <v>620</v>
      </c>
      <c r="J75" s="8" t="n">
        <v>4430.25</v>
      </c>
      <c r="K75" s="7" t="s">
        <v>540</v>
      </c>
    </row>
    <row r="76" customFormat="false" ht="15" hidden="false" customHeight="false" outlineLevel="0" collapsed="false">
      <c r="A76" s="7" t="s">
        <v>137</v>
      </c>
      <c r="B76" s="16" t="n">
        <v>11</v>
      </c>
      <c r="C76" s="20" t="n">
        <v>46366</v>
      </c>
      <c r="D76" s="20" t="n">
        <v>46367</v>
      </c>
      <c r="E76" s="7" t="s">
        <v>513</v>
      </c>
      <c r="F76" s="7" t="s">
        <v>279</v>
      </c>
      <c r="G76" s="7" t="s">
        <v>149</v>
      </c>
      <c r="H76" s="7" t="s">
        <v>614</v>
      </c>
      <c r="I76" s="7" t="s">
        <v>621</v>
      </c>
      <c r="J76" s="8" t="n">
        <v>4840</v>
      </c>
      <c r="K76" s="7" t="s">
        <v>543</v>
      </c>
    </row>
    <row r="77" customFormat="false" ht="15" hidden="false" customHeight="false" outlineLevel="0" collapsed="false">
      <c r="A77" s="7" t="s">
        <v>137</v>
      </c>
      <c r="B77" s="16" t="n">
        <v>11</v>
      </c>
      <c r="C77" s="20" t="n">
        <v>46366</v>
      </c>
      <c r="D77" s="20" t="n">
        <v>46367</v>
      </c>
      <c r="E77" s="7" t="s">
        <v>513</v>
      </c>
      <c r="F77" s="7" t="s">
        <v>281</v>
      </c>
      <c r="G77" s="7" t="s">
        <v>149</v>
      </c>
      <c r="H77" s="7" t="s">
        <v>614</v>
      </c>
      <c r="I77" s="7" t="s">
        <v>622</v>
      </c>
      <c r="J77" s="8" t="n">
        <v>796.95</v>
      </c>
      <c r="K77" s="7" t="s">
        <v>543</v>
      </c>
    </row>
    <row r="78" customFormat="false" ht="15" hidden="false" customHeight="false" outlineLevel="0" collapsed="false">
      <c r="A78" s="7" t="s">
        <v>137</v>
      </c>
      <c r="B78" s="16" t="n">
        <v>11</v>
      </c>
      <c r="C78" s="20" t="n">
        <v>46366</v>
      </c>
      <c r="D78" s="20" t="n">
        <v>46371</v>
      </c>
      <c r="E78" s="7" t="s">
        <v>369</v>
      </c>
      <c r="F78" s="7" t="s">
        <v>273</v>
      </c>
      <c r="G78" s="7" t="s">
        <v>149</v>
      </c>
      <c r="H78" s="7" t="s">
        <v>541</v>
      </c>
      <c r="I78" s="7" t="s">
        <v>554</v>
      </c>
      <c r="J78" s="8" t="n">
        <v>-121.64</v>
      </c>
      <c r="K78" s="7" t="s">
        <v>543</v>
      </c>
    </row>
    <row r="79" customFormat="false" ht="15" hidden="false" customHeight="false" outlineLevel="0" collapsed="false">
      <c r="A79" s="7" t="s">
        <v>137</v>
      </c>
      <c r="B79" s="16" t="n">
        <v>11</v>
      </c>
      <c r="C79" s="20" t="n">
        <v>46366</v>
      </c>
      <c r="D79" s="20" t="n">
        <v>46370</v>
      </c>
      <c r="E79" s="7" t="s">
        <v>522</v>
      </c>
      <c r="F79" s="7" t="s">
        <v>261</v>
      </c>
      <c r="G79" s="7" t="s">
        <v>153</v>
      </c>
      <c r="H79" s="7" t="s">
        <v>538</v>
      </c>
      <c r="I79" s="7" t="s">
        <v>623</v>
      </c>
      <c r="J79" s="8" t="n">
        <v>-1327.15</v>
      </c>
      <c r="K79" s="7" t="s">
        <v>543</v>
      </c>
    </row>
    <row r="80" customFormat="false" ht="15" hidden="false" customHeight="false" outlineLevel="0" collapsed="false">
      <c r="A80" s="7" t="s">
        <v>137</v>
      </c>
      <c r="B80" s="16" t="n">
        <v>11</v>
      </c>
      <c r="C80" s="20" t="n">
        <v>46366</v>
      </c>
      <c r="D80" s="20" t="n">
        <v>46368</v>
      </c>
      <c r="E80" s="7" t="s">
        <v>365</v>
      </c>
      <c r="F80" s="7" t="s">
        <v>240</v>
      </c>
      <c r="G80" s="7" t="s">
        <v>153</v>
      </c>
      <c r="H80" s="7" t="s">
        <v>547</v>
      </c>
      <c r="I80" s="7" t="s">
        <v>548</v>
      </c>
      <c r="J80" s="8" t="n">
        <v>-434.57</v>
      </c>
      <c r="K80" s="7" t="s">
        <v>543</v>
      </c>
    </row>
    <row r="81" customFormat="false" ht="15" hidden="false" customHeight="false" outlineLevel="0" collapsed="false">
      <c r="A81" s="7" t="s">
        <v>137</v>
      </c>
      <c r="B81" s="16" t="n">
        <v>11</v>
      </c>
      <c r="C81" s="20" t="n">
        <v>46366</v>
      </c>
      <c r="D81" s="20" t="n">
        <v>46372</v>
      </c>
      <c r="E81" s="7" t="s">
        <v>524</v>
      </c>
      <c r="F81" s="7" t="s">
        <v>237</v>
      </c>
      <c r="G81" s="7" t="s">
        <v>149</v>
      </c>
      <c r="H81" s="7" t="s">
        <v>556</v>
      </c>
      <c r="I81" s="7" t="s">
        <v>624</v>
      </c>
      <c r="J81" s="8" t="n">
        <v>-205.86</v>
      </c>
      <c r="K81" s="7" t="s">
        <v>558</v>
      </c>
    </row>
    <row r="82" customFormat="false" ht="15" hidden="false" customHeight="false" outlineLevel="0" collapsed="false">
      <c r="A82" s="7" t="s">
        <v>137</v>
      </c>
      <c r="B82" s="16" t="n">
        <v>11</v>
      </c>
      <c r="C82" s="20" t="n">
        <v>46366</v>
      </c>
      <c r="D82" s="20" t="n">
        <v>46372</v>
      </c>
      <c r="E82" s="7" t="s">
        <v>524</v>
      </c>
      <c r="F82" s="7" t="s">
        <v>559</v>
      </c>
      <c r="G82" s="7" t="s">
        <v>149</v>
      </c>
      <c r="H82" s="7" t="s">
        <v>556</v>
      </c>
      <c r="I82" s="7" t="s">
        <v>625</v>
      </c>
      <c r="J82" s="8" t="n">
        <v>-1526.63</v>
      </c>
      <c r="K82" s="7" t="s">
        <v>558</v>
      </c>
    </row>
    <row r="83" customFormat="false" ht="15" hidden="false" customHeight="false" outlineLevel="0" collapsed="false">
      <c r="A83" s="7" t="s">
        <v>137</v>
      </c>
      <c r="B83" s="16" t="n">
        <v>12</v>
      </c>
      <c r="C83" s="20" t="n">
        <v>46373</v>
      </c>
      <c r="D83" s="20" t="n">
        <v>46373</v>
      </c>
      <c r="E83" s="7" t="s">
        <v>511</v>
      </c>
      <c r="F83" s="7" t="s">
        <v>250</v>
      </c>
      <c r="G83" s="7" t="s">
        <v>146</v>
      </c>
      <c r="H83" s="7" t="s">
        <v>626</v>
      </c>
      <c r="I83" s="7" t="s">
        <v>627</v>
      </c>
      <c r="J83" s="8" t="n">
        <v>4803.84</v>
      </c>
      <c r="K83" s="7" t="s">
        <v>543</v>
      </c>
    </row>
    <row r="84" customFormat="false" ht="15" hidden="false" customHeight="false" outlineLevel="0" collapsed="false">
      <c r="A84" s="7" t="s">
        <v>137</v>
      </c>
      <c r="B84" s="16" t="n">
        <v>12</v>
      </c>
      <c r="C84" s="20" t="n">
        <v>46373</v>
      </c>
      <c r="D84" s="20" t="n">
        <v>46376</v>
      </c>
      <c r="E84" s="7" t="s">
        <v>519</v>
      </c>
      <c r="F84" s="7" t="s">
        <v>266</v>
      </c>
      <c r="G84" s="7" t="s">
        <v>141</v>
      </c>
      <c r="H84" s="7" t="s">
        <v>628</v>
      </c>
      <c r="I84" s="7" t="s">
        <v>629</v>
      </c>
      <c r="J84" s="8" t="n">
        <v>-15950</v>
      </c>
      <c r="K84" s="7" t="s">
        <v>543</v>
      </c>
    </row>
    <row r="85" customFormat="false" ht="15" hidden="false" customHeight="false" outlineLevel="0" collapsed="false">
      <c r="A85" s="7" t="s">
        <v>137</v>
      </c>
      <c r="B85" s="16" t="n">
        <v>12</v>
      </c>
      <c r="C85" s="20" t="n">
        <v>46373</v>
      </c>
      <c r="D85" s="20" t="n">
        <v>46376</v>
      </c>
      <c r="E85" s="7" t="s">
        <v>519</v>
      </c>
      <c r="F85" s="7" t="s">
        <v>255</v>
      </c>
      <c r="G85" s="7" t="s">
        <v>141</v>
      </c>
      <c r="H85" s="7" t="s">
        <v>563</v>
      </c>
      <c r="I85" s="7" t="s">
        <v>630</v>
      </c>
      <c r="J85" s="8" t="n">
        <v>-16500</v>
      </c>
      <c r="K85" s="7" t="s">
        <v>543</v>
      </c>
    </row>
    <row r="86" customFormat="false" ht="15" hidden="false" customHeight="false" outlineLevel="0" collapsed="false">
      <c r="A86" s="7" t="s">
        <v>137</v>
      </c>
      <c r="B86" s="16" t="n">
        <v>12</v>
      </c>
      <c r="C86" s="20" t="n">
        <v>46373</v>
      </c>
      <c r="D86" s="20" t="n">
        <v>46377</v>
      </c>
      <c r="E86" s="7" t="s">
        <v>513</v>
      </c>
      <c r="F86" s="7" t="s">
        <v>279</v>
      </c>
      <c r="G86" s="7" t="s">
        <v>149</v>
      </c>
      <c r="H86" s="7" t="s">
        <v>583</v>
      </c>
      <c r="I86" s="7" t="s">
        <v>631</v>
      </c>
      <c r="J86" s="8" t="n">
        <v>17952</v>
      </c>
      <c r="K86" s="7" t="s">
        <v>543</v>
      </c>
    </row>
    <row r="87" customFormat="false" ht="15" hidden="false" customHeight="false" outlineLevel="0" collapsed="false">
      <c r="A87" s="7" t="s">
        <v>137</v>
      </c>
      <c r="B87" s="16" t="n">
        <v>12</v>
      </c>
      <c r="C87" s="20" t="n">
        <v>46373</v>
      </c>
      <c r="D87" s="20" t="n">
        <v>46377</v>
      </c>
      <c r="E87" s="7" t="s">
        <v>513</v>
      </c>
      <c r="F87" s="7" t="s">
        <v>281</v>
      </c>
      <c r="G87" s="7" t="s">
        <v>149</v>
      </c>
      <c r="H87" s="7" t="s">
        <v>583</v>
      </c>
      <c r="I87" s="7" t="s">
        <v>632</v>
      </c>
      <c r="J87" s="8" t="n">
        <v>9719.32</v>
      </c>
      <c r="K87" s="7" t="s">
        <v>543</v>
      </c>
    </row>
    <row r="88" customFormat="false" ht="15" hidden="false" customHeight="false" outlineLevel="0" collapsed="false">
      <c r="A88" s="7" t="s">
        <v>137</v>
      </c>
      <c r="B88" s="16" t="n">
        <v>12</v>
      </c>
      <c r="C88" s="20" t="n">
        <v>46373</v>
      </c>
      <c r="D88" s="20" t="n">
        <v>46378</v>
      </c>
      <c r="E88" s="7" t="s">
        <v>365</v>
      </c>
      <c r="F88" s="7" t="s">
        <v>244</v>
      </c>
      <c r="G88" s="7" t="s">
        <v>153</v>
      </c>
      <c r="H88" s="7"/>
      <c r="I88" s="7" t="s">
        <v>570</v>
      </c>
      <c r="J88" s="8" t="n">
        <v>-165</v>
      </c>
      <c r="K88" s="7" t="s">
        <v>543</v>
      </c>
    </row>
    <row r="89" customFormat="false" ht="15" hidden="false" customHeight="false" outlineLevel="0" collapsed="false">
      <c r="A89" s="7" t="s">
        <v>137</v>
      </c>
      <c r="B89" s="16" t="n">
        <v>12</v>
      </c>
      <c r="C89" s="20" t="n">
        <v>46373</v>
      </c>
      <c r="D89" s="20" t="n">
        <v>46378</v>
      </c>
      <c r="E89" s="7" t="s">
        <v>365</v>
      </c>
      <c r="F89" s="7" t="s">
        <v>242</v>
      </c>
      <c r="G89" s="7" t="s">
        <v>153</v>
      </c>
      <c r="H89" s="7"/>
      <c r="I89" s="7" t="s">
        <v>571</v>
      </c>
      <c r="J89" s="8" t="n">
        <v>-354.47</v>
      </c>
      <c r="K89" s="7" t="s">
        <v>543</v>
      </c>
    </row>
    <row r="90" customFormat="false" ht="15" hidden="false" customHeight="false" outlineLevel="0" collapsed="false">
      <c r="A90" s="7" t="s">
        <v>137</v>
      </c>
      <c r="B90" s="16" t="n">
        <v>12</v>
      </c>
      <c r="C90" s="20" t="n">
        <v>46373</v>
      </c>
      <c r="D90" s="20" t="n">
        <v>46376</v>
      </c>
      <c r="E90" s="7" t="s">
        <v>523</v>
      </c>
      <c r="F90" s="7" t="s">
        <v>299</v>
      </c>
      <c r="G90" s="7" t="s">
        <v>153</v>
      </c>
      <c r="H90" s="7" t="s">
        <v>633</v>
      </c>
      <c r="I90" s="7" t="s">
        <v>634</v>
      </c>
      <c r="J90" s="8" t="n">
        <v>-3758.55</v>
      </c>
      <c r="K90" s="7" t="s">
        <v>543</v>
      </c>
    </row>
    <row r="91" customFormat="false" ht="15" hidden="false" customHeight="false" outlineLevel="0" collapsed="false">
      <c r="A91" s="7" t="s">
        <v>137</v>
      </c>
      <c r="B91" s="16" t="n">
        <v>13</v>
      </c>
      <c r="C91" s="20" t="n">
        <v>46380</v>
      </c>
      <c r="D91" s="20" t="n">
        <v>46380</v>
      </c>
      <c r="E91" s="7" t="s">
        <v>513</v>
      </c>
      <c r="F91" s="7" t="s">
        <v>279</v>
      </c>
      <c r="G91" s="7" t="s">
        <v>149</v>
      </c>
      <c r="H91" s="7" t="s">
        <v>606</v>
      </c>
      <c r="I91" s="7" t="s">
        <v>635</v>
      </c>
      <c r="J91" s="8" t="n">
        <v>5856</v>
      </c>
      <c r="K91" s="7" t="s">
        <v>543</v>
      </c>
    </row>
    <row r="92" customFormat="false" ht="15" hidden="false" customHeight="false" outlineLevel="0" collapsed="false">
      <c r="A92" s="7" t="s">
        <v>137</v>
      </c>
      <c r="B92" s="16" t="n">
        <v>13</v>
      </c>
      <c r="C92" s="20" t="n">
        <v>46380</v>
      </c>
      <c r="D92" s="20" t="n">
        <v>46380</v>
      </c>
      <c r="E92" s="7" t="s">
        <v>513</v>
      </c>
      <c r="F92" s="7" t="s">
        <v>281</v>
      </c>
      <c r="G92" s="7" t="s">
        <v>149</v>
      </c>
      <c r="H92" s="7" t="s">
        <v>606</v>
      </c>
      <c r="I92" s="7" t="s">
        <v>636</v>
      </c>
      <c r="J92" s="8" t="n">
        <v>3170.47</v>
      </c>
      <c r="K92" s="7" t="s">
        <v>543</v>
      </c>
    </row>
  </sheetData>
  <autoFilter ref="A1:K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11" t="s">
        <v>637</v>
      </c>
      <c r="B1" s="11" t="s">
        <v>131</v>
      </c>
      <c r="C1" s="11" t="s">
        <v>638</v>
      </c>
      <c r="D1" s="11" t="s">
        <v>468</v>
      </c>
      <c r="E1" s="11" t="s">
        <v>639</v>
      </c>
      <c r="F1" s="11" t="s">
        <v>640</v>
      </c>
      <c r="G1" s="11" t="s">
        <v>641</v>
      </c>
      <c r="H1" s="11" t="s">
        <v>642</v>
      </c>
      <c r="I1" s="11" t="s">
        <v>643</v>
      </c>
    </row>
    <row r="2" customFormat="false" ht="15" hidden="false" customHeight="false" outlineLevel="0" collapsed="false">
      <c r="A2" s="7" t="s">
        <v>644</v>
      </c>
      <c r="B2" s="7" t="s">
        <v>137</v>
      </c>
      <c r="C2" s="7" t="s">
        <v>645</v>
      </c>
      <c r="D2" s="7" t="s">
        <v>646</v>
      </c>
      <c r="E2" s="8" t="n">
        <v>0.82</v>
      </c>
      <c r="F2" s="7" t="s">
        <v>647</v>
      </c>
      <c r="G2" s="8" t="n">
        <v>-5372.64</v>
      </c>
      <c r="H2" s="7" t="s">
        <v>648</v>
      </c>
      <c r="I2" s="7" t="s">
        <v>649</v>
      </c>
    </row>
    <row r="3" customFormat="false" ht="15" hidden="false" customHeight="false" outlineLevel="0" collapsed="false">
      <c r="A3" s="7" t="s">
        <v>650</v>
      </c>
      <c r="B3" s="7" t="s">
        <v>137</v>
      </c>
      <c r="C3" s="7" t="s">
        <v>651</v>
      </c>
      <c r="D3" s="7" t="s">
        <v>652</v>
      </c>
      <c r="E3" s="8" t="n">
        <v>83610</v>
      </c>
      <c r="F3" s="7" t="s">
        <v>653</v>
      </c>
      <c r="G3" s="8" t="n">
        <v>19081.94</v>
      </c>
      <c r="H3" s="7" t="s">
        <v>648</v>
      </c>
      <c r="I3" s="7" t="s">
        <v>654</v>
      </c>
    </row>
    <row r="4" customFormat="false" ht="15" hidden="false" customHeight="false" outlineLevel="0" collapsed="false">
      <c r="A4" s="7" t="s">
        <v>655</v>
      </c>
      <c r="B4" s="7" t="s">
        <v>137</v>
      </c>
      <c r="C4" s="7" t="s">
        <v>656</v>
      </c>
      <c r="D4" s="7" t="s">
        <v>657</v>
      </c>
      <c r="E4" s="8" t="n">
        <v>441</v>
      </c>
      <c r="F4" s="7" t="s">
        <v>658</v>
      </c>
      <c r="G4" s="8" t="n">
        <v>288.17</v>
      </c>
      <c r="H4" s="7" t="s">
        <v>659</v>
      </c>
      <c r="I4" s="7" t="s">
        <v>660</v>
      </c>
    </row>
    <row r="5" customFormat="false" ht="15" hidden="false" customHeight="false" outlineLevel="0" collapsed="false">
      <c r="A5" s="7" t="s">
        <v>661</v>
      </c>
      <c r="B5" s="7" t="s">
        <v>137</v>
      </c>
      <c r="C5" s="7" t="s">
        <v>662</v>
      </c>
      <c r="D5" s="7" t="s">
        <v>663</v>
      </c>
      <c r="E5" s="8" t="n">
        <v>28491</v>
      </c>
      <c r="F5" s="7" t="s">
        <v>664</v>
      </c>
      <c r="G5" s="8" t="n">
        <v>-5698.24</v>
      </c>
      <c r="H5" s="7" t="s">
        <v>648</v>
      </c>
      <c r="I5" s="7" t="s">
        <v>665</v>
      </c>
    </row>
    <row r="6" customFormat="false" ht="15" hidden="false" customHeight="false" outlineLevel="0" collapsed="false">
      <c r="A6" s="7" t="s">
        <v>666</v>
      </c>
      <c r="B6" s="7" t="s">
        <v>137</v>
      </c>
      <c r="C6" s="7" t="s">
        <v>667</v>
      </c>
      <c r="D6" s="7" t="s">
        <v>668</v>
      </c>
      <c r="E6" s="8" t="n">
        <v>72263.4</v>
      </c>
      <c r="F6" s="7" t="s">
        <v>669</v>
      </c>
      <c r="G6" s="8" t="n">
        <v>-38142.14</v>
      </c>
      <c r="H6" s="7" t="s">
        <v>648</v>
      </c>
      <c r="I6" s="7" t="s">
        <v>670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33"/>
    <col collapsed="false" customWidth="true" hidden="false" outlineLevel="0" max="13" min="13" style="0" width="25"/>
    <col collapsed="false" customWidth="true" hidden="false" outlineLevel="0" max="14" min="14" style="0" width="15"/>
    <col collapsed="false" customWidth="true" hidden="false" outlineLevel="0" max="15" min="15" style="0" width="21"/>
    <col collapsed="false" customWidth="true" hidden="false" outlineLevel="0" max="16" min="16" style="0" width="19"/>
    <col collapsed="false" customWidth="true" hidden="false" outlineLevel="0" max="17" min="17" style="0" width="15"/>
    <col collapsed="false" customWidth="true" hidden="false" outlineLevel="0" max="19" min="18" style="0" width="21"/>
    <col collapsed="false" customWidth="true" hidden="false" outlineLevel="0" max="20" min="20" style="0" width="18"/>
    <col collapsed="false" customWidth="true" hidden="false" outlineLevel="0" max="21" min="21" style="0" width="25"/>
    <col collapsed="false" customWidth="true" hidden="false" outlineLevel="0" max="22" min="22" style="0" width="23"/>
    <col collapsed="false" customWidth="true" hidden="false" outlineLevel="0" max="23" min="23" style="0" width="22"/>
    <col collapsed="false" customWidth="true" hidden="false" outlineLevel="0" max="24" min="24" style="0" width="33"/>
    <col collapsed="false" customWidth="true" hidden="false" outlineLevel="0" max="25" min="25" style="0" width="32"/>
    <col collapsed="false" customWidth="true" hidden="false" outlineLevel="0" max="26" min="26" style="0" width="21"/>
    <col collapsed="false" customWidth="true" hidden="false" outlineLevel="0" max="27" min="27" style="0" width="17"/>
    <col collapsed="false" customWidth="true" hidden="false" outlineLevel="0" max="29" min="28" style="0" width="18"/>
    <col collapsed="false" customWidth="true" hidden="false" outlineLevel="0" max="30" min="30" style="0" width="37"/>
  </cols>
  <sheetData>
    <row r="1" customFormat="false" ht="15" hidden="false" customHeight="false" outlineLevel="0" collapsed="false">
      <c r="A1" s="11" t="s">
        <v>131</v>
      </c>
      <c r="B1" s="11" t="s">
        <v>671</v>
      </c>
      <c r="C1" s="11" t="s">
        <v>130</v>
      </c>
      <c r="D1" s="11" t="s">
        <v>672</v>
      </c>
      <c r="E1" s="11" t="s">
        <v>673</v>
      </c>
      <c r="F1" s="11" t="s">
        <v>159</v>
      </c>
      <c r="G1" s="11" t="s">
        <v>674</v>
      </c>
      <c r="H1" s="11" t="s">
        <v>675</v>
      </c>
      <c r="I1" s="11" t="s">
        <v>676</v>
      </c>
      <c r="J1" s="11" t="s">
        <v>677</v>
      </c>
      <c r="K1" s="11" t="s">
        <v>678</v>
      </c>
      <c r="L1" s="11" t="s">
        <v>679</v>
      </c>
      <c r="M1" s="11" t="s">
        <v>680</v>
      </c>
      <c r="N1" s="11" t="s">
        <v>681</v>
      </c>
      <c r="O1" s="11" t="s">
        <v>682</v>
      </c>
      <c r="P1" s="11" t="s">
        <v>683</v>
      </c>
      <c r="Q1" s="11" t="s">
        <v>684</v>
      </c>
      <c r="R1" s="11" t="s">
        <v>685</v>
      </c>
      <c r="S1" s="11" t="s">
        <v>686</v>
      </c>
      <c r="T1" s="11" t="s">
        <v>687</v>
      </c>
      <c r="U1" s="11" t="s">
        <v>688</v>
      </c>
      <c r="V1" s="11" t="s">
        <v>689</v>
      </c>
      <c r="W1" s="11" t="s">
        <v>690</v>
      </c>
      <c r="X1" s="11" t="s">
        <v>691</v>
      </c>
      <c r="Y1" s="11" t="s">
        <v>692</v>
      </c>
      <c r="Z1" s="11" t="s">
        <v>693</v>
      </c>
      <c r="AA1" s="11" t="s">
        <v>694</v>
      </c>
      <c r="AB1" s="11" t="s">
        <v>695</v>
      </c>
      <c r="AC1" s="11" t="s">
        <v>696</v>
      </c>
      <c r="AD1" s="11" t="s">
        <v>697</v>
      </c>
    </row>
    <row r="2" customFormat="false" ht="15" hidden="false" customHeight="false" outlineLevel="0" collapsed="false">
      <c r="A2" s="7" t="s">
        <v>137</v>
      </c>
      <c r="B2" s="7" t="s">
        <v>698</v>
      </c>
      <c r="C2" s="7" t="s">
        <v>146</v>
      </c>
      <c r="D2" s="7" t="s">
        <v>699</v>
      </c>
      <c r="E2" s="16" t="n">
        <v>2023</v>
      </c>
      <c r="F2" s="16" t="n">
        <v>80</v>
      </c>
      <c r="G2" s="22" t="n">
        <v>31</v>
      </c>
      <c r="H2" s="7" t="s">
        <v>700</v>
      </c>
      <c r="I2" s="22" t="n">
        <v>7.42</v>
      </c>
      <c r="J2" s="8" t="n">
        <v>18411.52</v>
      </c>
      <c r="K2" s="22" t="n">
        <v>230.14</v>
      </c>
      <c r="L2" s="8" t="n">
        <v>0</v>
      </c>
      <c r="M2" s="22" t="n">
        <v>0</v>
      </c>
      <c r="N2" s="22" t="n">
        <v>0</v>
      </c>
      <c r="O2" s="22" t="n">
        <v>51.2</v>
      </c>
      <c r="P2" s="22" t="n">
        <v>14</v>
      </c>
      <c r="Q2" s="22" t="n">
        <v>8.26</v>
      </c>
      <c r="R2" s="22" t="n">
        <v>0</v>
      </c>
      <c r="S2" s="22" t="n">
        <v>0</v>
      </c>
      <c r="T2" s="22" t="n">
        <v>16</v>
      </c>
      <c r="U2" s="22" t="n">
        <v>18</v>
      </c>
      <c r="V2" s="22" t="n">
        <v>0</v>
      </c>
      <c r="W2" s="22" t="n">
        <v>107.46</v>
      </c>
      <c r="X2" s="22" t="n">
        <v>86.5</v>
      </c>
      <c r="Y2" s="19" t="n">
        <v>0</v>
      </c>
      <c r="Z2" s="22" t="n">
        <v>193.95</v>
      </c>
      <c r="AA2" s="22" t="n">
        <v>36.19</v>
      </c>
      <c r="AB2" s="16" t="n">
        <v>26.14</v>
      </c>
      <c r="AC2" s="22" t="n">
        <v>6.2565</v>
      </c>
      <c r="AD2" s="7" t="s">
        <v>701</v>
      </c>
    </row>
    <row r="3" customFormat="false" ht="15" hidden="false" customHeight="false" outlineLevel="0" collapsed="false">
      <c r="A3" s="7" t="s">
        <v>137</v>
      </c>
      <c r="B3" s="7" t="s">
        <v>702</v>
      </c>
      <c r="C3" s="7" t="s">
        <v>141</v>
      </c>
      <c r="D3" s="7" t="s">
        <v>703</v>
      </c>
      <c r="E3" s="16" t="n">
        <v>2023</v>
      </c>
      <c r="F3" s="16" t="n">
        <v>80</v>
      </c>
      <c r="G3" s="22" t="n">
        <v>74</v>
      </c>
      <c r="H3" s="7" t="s">
        <v>700</v>
      </c>
      <c r="I3" s="22" t="n">
        <v>4.72</v>
      </c>
      <c r="J3" s="8" t="n">
        <v>27942.4</v>
      </c>
      <c r="K3" s="22" t="n">
        <v>349.28</v>
      </c>
      <c r="L3" s="8" t="n">
        <v>0</v>
      </c>
      <c r="M3" s="22" t="n">
        <v>0</v>
      </c>
      <c r="N3" s="22" t="n">
        <v>78</v>
      </c>
      <c r="O3" s="22" t="n">
        <v>101.2</v>
      </c>
      <c r="P3" s="22" t="n">
        <v>50</v>
      </c>
      <c r="Q3" s="22" t="n">
        <v>22.12</v>
      </c>
      <c r="R3" s="22" t="n">
        <v>0</v>
      </c>
      <c r="S3" s="22" t="n">
        <v>0</v>
      </c>
      <c r="T3" s="22" t="n">
        <v>27.33</v>
      </c>
      <c r="U3" s="22" t="n">
        <v>22</v>
      </c>
      <c r="V3" s="22" t="n">
        <v>0</v>
      </c>
      <c r="W3" s="22" t="n">
        <v>300.65</v>
      </c>
      <c r="X3" s="22" t="n">
        <v>90.47</v>
      </c>
      <c r="Y3" s="19" t="n">
        <v>0</v>
      </c>
      <c r="Z3" s="22" t="n">
        <v>391.12</v>
      </c>
      <c r="AA3" s="22" t="n">
        <v>-41.84</v>
      </c>
      <c r="AB3" s="16" t="n">
        <v>82.87</v>
      </c>
      <c r="AC3" s="22" t="n">
        <v>5.2854</v>
      </c>
      <c r="AD3" s="7" t="s">
        <v>701</v>
      </c>
    </row>
    <row r="4" customFormat="false" ht="15" hidden="false" customHeight="false" outlineLevel="0" collapsed="false">
      <c r="A4" s="7" t="s">
        <v>137</v>
      </c>
      <c r="B4" s="7" t="s">
        <v>704</v>
      </c>
      <c r="C4" s="7" t="s">
        <v>141</v>
      </c>
      <c r="D4" s="7" t="s">
        <v>703</v>
      </c>
      <c r="E4" s="16" t="n">
        <v>2023</v>
      </c>
      <c r="F4" s="16" t="n">
        <v>125</v>
      </c>
      <c r="G4" s="22" t="n">
        <v>207</v>
      </c>
      <c r="H4" s="7" t="s">
        <v>700</v>
      </c>
      <c r="I4" s="22" t="n">
        <v>4.41</v>
      </c>
      <c r="J4" s="8" t="n">
        <v>113992.31</v>
      </c>
      <c r="K4" s="22" t="n">
        <v>911.94</v>
      </c>
      <c r="L4" s="8" t="n">
        <v>0</v>
      </c>
      <c r="M4" s="22" t="n">
        <v>0</v>
      </c>
      <c r="N4" s="22" t="n">
        <v>116</v>
      </c>
      <c r="O4" s="22" t="n">
        <v>210.1</v>
      </c>
      <c r="P4" s="22" t="n">
        <v>86</v>
      </c>
      <c r="Q4" s="22" t="n">
        <v>22.12</v>
      </c>
      <c r="R4" s="22" t="n">
        <v>0</v>
      </c>
      <c r="S4" s="22" t="n">
        <v>141</v>
      </c>
      <c r="T4" s="22" t="n">
        <v>33.32</v>
      </c>
      <c r="U4" s="22" t="n">
        <v>28</v>
      </c>
      <c r="V4" s="22" t="n">
        <v>0</v>
      </c>
      <c r="W4" s="22" t="n">
        <v>636.54</v>
      </c>
      <c r="X4" s="22" t="n">
        <v>90.47</v>
      </c>
      <c r="Y4" s="19" t="n">
        <v>0</v>
      </c>
      <c r="Z4" s="22" t="n">
        <v>727.01</v>
      </c>
      <c r="AA4" s="22" t="n">
        <v>184.93</v>
      </c>
      <c r="AB4" s="16" t="n">
        <v>164.85</v>
      </c>
      <c r="AC4" s="22" t="n">
        <v>3.5121</v>
      </c>
      <c r="AD4" s="7" t="s">
        <v>701</v>
      </c>
    </row>
    <row r="5" customFormat="false" ht="15" hidden="false" customHeight="false" outlineLevel="0" collapsed="false">
      <c r="A5" s="7" t="s">
        <v>137</v>
      </c>
      <c r="B5" s="7" t="s">
        <v>705</v>
      </c>
      <c r="C5" s="7" t="s">
        <v>146</v>
      </c>
      <c r="D5" s="7" t="s">
        <v>699</v>
      </c>
      <c r="E5" s="16" t="n">
        <v>2024</v>
      </c>
      <c r="F5" s="16" t="n">
        <v>80</v>
      </c>
      <c r="G5" s="22" t="n">
        <v>46</v>
      </c>
      <c r="H5" s="7" t="s">
        <v>700</v>
      </c>
      <c r="I5" s="22" t="n">
        <v>5.41</v>
      </c>
      <c r="J5" s="8" t="n">
        <v>19894.08</v>
      </c>
      <c r="K5" s="22" t="n">
        <v>248.68</v>
      </c>
      <c r="L5" s="8" t="n">
        <v>0</v>
      </c>
      <c r="M5" s="22" t="n">
        <v>0</v>
      </c>
      <c r="N5" s="22" t="n">
        <v>28.7</v>
      </c>
      <c r="O5" s="22" t="n">
        <v>64.7</v>
      </c>
      <c r="P5" s="22" t="n">
        <v>14.35</v>
      </c>
      <c r="Q5" s="22" t="n">
        <v>13.74</v>
      </c>
      <c r="R5" s="22" t="n">
        <v>0</v>
      </c>
      <c r="S5" s="22" t="n">
        <v>0</v>
      </c>
      <c r="T5" s="22" t="n">
        <v>16.48</v>
      </c>
      <c r="U5" s="22" t="n">
        <v>18</v>
      </c>
      <c r="V5" s="22" t="n">
        <v>0</v>
      </c>
      <c r="W5" s="22" t="n">
        <v>155.97</v>
      </c>
      <c r="X5" s="22" t="n">
        <v>88.15</v>
      </c>
      <c r="Y5" s="19" t="n">
        <v>0</v>
      </c>
      <c r="Z5" s="22" t="n">
        <v>244.12</v>
      </c>
      <c r="AA5" s="22" t="n">
        <v>4.56</v>
      </c>
      <c r="AB5" s="16" t="n">
        <v>45.12</v>
      </c>
      <c r="AC5" s="22" t="n">
        <v>5.3069</v>
      </c>
      <c r="AD5" s="7" t="s">
        <v>701</v>
      </c>
    </row>
    <row r="6" customFormat="false" ht="15" hidden="false" customHeight="false" outlineLevel="0" collapsed="false">
      <c r="A6" s="7" t="s">
        <v>137</v>
      </c>
      <c r="B6" s="7" t="s">
        <v>706</v>
      </c>
      <c r="C6" s="7" t="s">
        <v>144</v>
      </c>
      <c r="D6" s="7" t="s">
        <v>707</v>
      </c>
      <c r="E6" s="16" t="n">
        <v>2024</v>
      </c>
      <c r="F6" s="16" t="n">
        <v>125</v>
      </c>
      <c r="G6" s="22" t="n">
        <v>64</v>
      </c>
      <c r="H6" s="7" t="s">
        <v>700</v>
      </c>
      <c r="I6" s="22" t="n">
        <v>9.83</v>
      </c>
      <c r="J6" s="8" t="n">
        <v>78640</v>
      </c>
      <c r="K6" s="22" t="n">
        <v>629.12</v>
      </c>
      <c r="L6" s="8" t="n">
        <v>0</v>
      </c>
      <c r="M6" s="22" t="n">
        <v>0</v>
      </c>
      <c r="N6" s="22" t="n">
        <v>71.75</v>
      </c>
      <c r="O6" s="22" t="n">
        <v>28.5</v>
      </c>
      <c r="P6" s="22" t="n">
        <v>71.75</v>
      </c>
      <c r="Q6" s="22" t="n">
        <v>14.91</v>
      </c>
      <c r="R6" s="22" t="n">
        <v>0</v>
      </c>
      <c r="S6" s="22" t="n">
        <v>63.92</v>
      </c>
      <c r="T6" s="22" t="n">
        <v>18.54</v>
      </c>
      <c r="U6" s="22" t="n">
        <v>14</v>
      </c>
      <c r="V6" s="22" t="n">
        <v>0</v>
      </c>
      <c r="W6" s="22" t="n">
        <v>283.37</v>
      </c>
      <c r="X6" s="22" t="n">
        <v>57.34</v>
      </c>
      <c r="Y6" s="19" t="n">
        <v>0</v>
      </c>
      <c r="Z6" s="22" t="n">
        <v>340.71</v>
      </c>
      <c r="AA6" s="22" t="n">
        <v>288.41</v>
      </c>
      <c r="AB6" s="16" t="n">
        <v>34.66</v>
      </c>
      <c r="AC6" s="22" t="n">
        <v>5.3236</v>
      </c>
      <c r="AD6" s="7" t="s">
        <v>701</v>
      </c>
    </row>
    <row r="7" customFormat="false" ht="15" hidden="false" customHeight="false" outlineLevel="0" collapsed="false">
      <c r="A7" s="7" t="s">
        <v>137</v>
      </c>
      <c r="B7" s="7" t="s">
        <v>708</v>
      </c>
      <c r="C7" s="7" t="s">
        <v>144</v>
      </c>
      <c r="D7" s="7" t="s">
        <v>707</v>
      </c>
      <c r="E7" s="16" t="n">
        <v>2024</v>
      </c>
      <c r="F7" s="16" t="n">
        <v>80</v>
      </c>
      <c r="G7" s="22" t="n">
        <v>36</v>
      </c>
      <c r="H7" s="7" t="s">
        <v>700</v>
      </c>
      <c r="I7" s="22" t="n">
        <v>9.73</v>
      </c>
      <c r="J7" s="8" t="n">
        <v>28022.4</v>
      </c>
      <c r="K7" s="22" t="n">
        <v>350.28</v>
      </c>
      <c r="L7" s="8" t="n">
        <v>0</v>
      </c>
      <c r="M7" s="22" t="n">
        <v>0</v>
      </c>
      <c r="N7" s="22" t="n">
        <v>59.45</v>
      </c>
      <c r="O7" s="22" t="n">
        <v>0</v>
      </c>
      <c r="P7" s="22" t="n">
        <v>46.12</v>
      </c>
      <c r="Q7" s="22" t="n">
        <v>14.91</v>
      </c>
      <c r="R7" s="22" t="n">
        <v>0</v>
      </c>
      <c r="S7" s="22" t="n">
        <v>0</v>
      </c>
      <c r="T7" s="22" t="n">
        <v>18.54</v>
      </c>
      <c r="U7" s="22" t="n">
        <v>12</v>
      </c>
      <c r="V7" s="22" t="n">
        <v>0</v>
      </c>
      <c r="W7" s="22" t="n">
        <v>151.03</v>
      </c>
      <c r="X7" s="22" t="n">
        <v>57.34</v>
      </c>
      <c r="Y7" s="19" t="n">
        <v>0</v>
      </c>
      <c r="Z7" s="22" t="n">
        <v>208.37</v>
      </c>
      <c r="AA7" s="22" t="n">
        <v>141.91</v>
      </c>
      <c r="AB7" s="16" t="n">
        <v>21.42</v>
      </c>
      <c r="AC7" s="22" t="n">
        <v>5.788</v>
      </c>
      <c r="AD7" s="7" t="s">
        <v>701</v>
      </c>
    </row>
    <row r="8" customFormat="false" ht="15" hidden="false" customHeight="false" outlineLevel="0" collapsed="false">
      <c r="A8" s="7" t="s">
        <v>137</v>
      </c>
      <c r="B8" s="7" t="s">
        <v>709</v>
      </c>
      <c r="C8" s="7" t="s">
        <v>146</v>
      </c>
      <c r="D8" s="7" t="s">
        <v>699</v>
      </c>
      <c r="E8" s="16" t="n">
        <v>2025</v>
      </c>
      <c r="F8" s="16" t="n">
        <v>80</v>
      </c>
      <c r="G8" s="22" t="n">
        <v>53</v>
      </c>
      <c r="H8" s="7" t="s">
        <v>700</v>
      </c>
      <c r="I8" s="22" t="n">
        <v>5.03</v>
      </c>
      <c r="J8" s="8" t="n">
        <v>21306</v>
      </c>
      <c r="K8" s="22" t="n">
        <v>266.32</v>
      </c>
      <c r="L8" s="8" t="n">
        <v>0</v>
      </c>
      <c r="M8" s="22" t="n">
        <v>0</v>
      </c>
      <c r="N8" s="22" t="n">
        <v>29.4</v>
      </c>
      <c r="O8" s="22" t="n">
        <v>63.6</v>
      </c>
      <c r="P8" s="22" t="n">
        <v>33.2</v>
      </c>
      <c r="Q8" s="22" t="n">
        <v>12.79</v>
      </c>
      <c r="R8" s="22" t="n">
        <v>0</v>
      </c>
      <c r="S8" s="22" t="n">
        <v>0</v>
      </c>
      <c r="T8" s="22" t="n">
        <v>16.96</v>
      </c>
      <c r="U8" s="22" t="n">
        <v>18</v>
      </c>
      <c r="V8" s="22" t="n">
        <v>0</v>
      </c>
      <c r="W8" s="22" t="n">
        <v>173.95</v>
      </c>
      <c r="X8" s="22" t="n">
        <v>91.94</v>
      </c>
      <c r="Y8" s="19" t="n">
        <v>0</v>
      </c>
      <c r="Z8" s="22" t="n">
        <v>265.89</v>
      </c>
      <c r="AA8" s="22" t="n">
        <v>0.44</v>
      </c>
      <c r="AB8" s="16" t="n">
        <v>52.86</v>
      </c>
      <c r="AC8" s="22" t="n">
        <v>5.0167</v>
      </c>
      <c r="AD8" s="7" t="s">
        <v>701</v>
      </c>
    </row>
    <row r="9" customFormat="false" ht="15" hidden="false" customHeight="false" outlineLevel="0" collapsed="false">
      <c r="A9" s="7" t="s">
        <v>137</v>
      </c>
      <c r="B9" s="7" t="s">
        <v>710</v>
      </c>
      <c r="C9" s="7" t="s">
        <v>141</v>
      </c>
      <c r="D9" s="7" t="s">
        <v>703</v>
      </c>
      <c r="E9" s="16" t="n">
        <v>2025</v>
      </c>
      <c r="F9" s="16" t="n">
        <v>125</v>
      </c>
      <c r="G9" s="22" t="n">
        <v>231</v>
      </c>
      <c r="H9" s="7" t="s">
        <v>700</v>
      </c>
      <c r="I9" s="22" t="n">
        <v>4.12</v>
      </c>
      <c r="J9" s="8" t="n">
        <v>119037.14</v>
      </c>
      <c r="K9" s="22" t="n">
        <v>952.3</v>
      </c>
      <c r="L9" s="8" t="n">
        <v>4.12</v>
      </c>
      <c r="M9" s="22" t="n">
        <v>0</v>
      </c>
      <c r="N9" s="22" t="n">
        <v>121.8</v>
      </c>
      <c r="O9" s="22" t="n">
        <v>158.4</v>
      </c>
      <c r="P9" s="22" t="n">
        <v>90.3</v>
      </c>
      <c r="Q9" s="22" t="n">
        <v>19.04</v>
      </c>
      <c r="R9" s="22" t="n">
        <v>0</v>
      </c>
      <c r="S9" s="22" t="n">
        <v>112.8</v>
      </c>
      <c r="T9" s="22" t="n">
        <v>35.84</v>
      </c>
      <c r="U9" s="22" t="n">
        <v>28</v>
      </c>
      <c r="V9" s="22" t="n">
        <v>0</v>
      </c>
      <c r="W9" s="22" t="n">
        <v>566.18</v>
      </c>
      <c r="X9" s="22" t="n">
        <v>161.44</v>
      </c>
      <c r="Y9" s="19" t="n">
        <v>0</v>
      </c>
      <c r="Z9" s="22" t="n">
        <v>727.62</v>
      </c>
      <c r="AA9" s="22" t="n">
        <v>224.68</v>
      </c>
      <c r="AB9" s="16" t="n">
        <v>176.61</v>
      </c>
      <c r="AC9" s="22" t="n">
        <v>3.1499</v>
      </c>
      <c r="AD9" s="7" t="s">
        <v>701</v>
      </c>
    </row>
    <row r="10" customFormat="false" ht="15" hidden="false" customHeight="false" outlineLevel="0" collapsed="false">
      <c r="A10" s="7" t="s">
        <v>137</v>
      </c>
      <c r="B10" s="7" t="s">
        <v>711</v>
      </c>
      <c r="C10" s="7" t="s">
        <v>144</v>
      </c>
      <c r="D10" s="7" t="s">
        <v>707</v>
      </c>
      <c r="E10" s="16" t="n">
        <v>2025</v>
      </c>
      <c r="F10" s="16" t="n">
        <v>80</v>
      </c>
      <c r="G10" s="22" t="n">
        <v>42</v>
      </c>
      <c r="H10" s="7" t="s">
        <v>700</v>
      </c>
      <c r="I10" s="22" t="n">
        <v>10.18</v>
      </c>
      <c r="J10" s="8" t="n">
        <v>34188</v>
      </c>
      <c r="K10" s="22" t="n">
        <v>427.35</v>
      </c>
      <c r="L10" s="8" t="n">
        <v>0</v>
      </c>
      <c r="M10" s="22" t="n">
        <v>0</v>
      </c>
      <c r="N10" s="22" t="n">
        <v>60.9</v>
      </c>
      <c r="O10" s="22" t="n">
        <v>0</v>
      </c>
      <c r="P10" s="22" t="n">
        <v>47.25</v>
      </c>
      <c r="Q10" s="22" t="n">
        <v>14.28</v>
      </c>
      <c r="R10" s="22" t="n">
        <v>0</v>
      </c>
      <c r="S10" s="22" t="n">
        <v>0</v>
      </c>
      <c r="T10" s="22" t="n">
        <v>19.08</v>
      </c>
      <c r="U10" s="22" t="n">
        <v>12</v>
      </c>
      <c r="V10" s="22" t="n">
        <v>0</v>
      </c>
      <c r="W10" s="22" t="n">
        <v>153.51</v>
      </c>
      <c r="X10" s="22" t="n">
        <v>159.8</v>
      </c>
      <c r="Y10" s="19" t="n">
        <v>0</v>
      </c>
      <c r="Z10" s="22" t="n">
        <v>313.31</v>
      </c>
      <c r="AA10" s="22" t="n">
        <v>114.04</v>
      </c>
      <c r="AB10" s="16" t="n">
        <v>30.78</v>
      </c>
      <c r="AC10" s="22" t="n">
        <v>7.4598</v>
      </c>
      <c r="AD10" s="7" t="s">
        <v>701</v>
      </c>
    </row>
    <row r="11" customFormat="false" ht="15" hidden="false" customHeight="false" outlineLevel="0" collapsed="false">
      <c r="A11" s="7" t="s">
        <v>137</v>
      </c>
      <c r="B11" s="7" t="s">
        <v>712</v>
      </c>
      <c r="C11" s="7" t="s">
        <v>146</v>
      </c>
      <c r="D11" s="7" t="s">
        <v>699</v>
      </c>
      <c r="E11" s="16" t="n">
        <v>2026</v>
      </c>
      <c r="F11" s="16" t="n">
        <v>80</v>
      </c>
      <c r="G11" s="22" t="n">
        <v>36</v>
      </c>
      <c r="H11" s="7" t="s">
        <v>700</v>
      </c>
      <c r="I11" s="22" t="n">
        <v>5.68</v>
      </c>
      <c r="J11" s="8" t="n">
        <v>16355.52</v>
      </c>
      <c r="K11" s="22" t="n">
        <v>204.44</v>
      </c>
      <c r="L11" s="8" t="n">
        <v>0</v>
      </c>
      <c r="M11" s="22" t="n">
        <v>0</v>
      </c>
      <c r="N11" s="22" t="n">
        <v>30.1</v>
      </c>
      <c r="O11" s="22" t="n">
        <v>77.68</v>
      </c>
      <c r="P11" s="22" t="n">
        <v>15.05</v>
      </c>
      <c r="Q11" s="22" t="n">
        <v>13.38</v>
      </c>
      <c r="R11" s="22" t="n">
        <v>0</v>
      </c>
      <c r="S11" s="22" t="n">
        <v>0</v>
      </c>
      <c r="T11" s="22" t="n">
        <v>17.44</v>
      </c>
      <c r="U11" s="22" t="n">
        <v>18</v>
      </c>
      <c r="V11" s="22" t="n">
        <v>0</v>
      </c>
      <c r="W11" s="22" t="n">
        <v>171.65</v>
      </c>
      <c r="X11" s="22" t="n">
        <v>92.24</v>
      </c>
      <c r="Y11" s="19" t="n">
        <v>0</v>
      </c>
      <c r="Z11" s="22" t="n">
        <v>263.89</v>
      </c>
      <c r="AA11" s="22" t="n">
        <v>-59.44</v>
      </c>
      <c r="AB11" s="16" t="n">
        <v>46.46</v>
      </c>
      <c r="AC11" s="22" t="n">
        <v>7.3302</v>
      </c>
      <c r="AD11" s="7" t="s">
        <v>713</v>
      </c>
    </row>
    <row r="12" customFormat="false" ht="15" hidden="false" customHeight="false" outlineLevel="0" collapsed="false">
      <c r="A12" s="7" t="s">
        <v>137</v>
      </c>
      <c r="B12" s="7" t="s">
        <v>714</v>
      </c>
      <c r="C12" s="7" t="s">
        <v>141</v>
      </c>
      <c r="D12" s="7" t="s">
        <v>703</v>
      </c>
      <c r="E12" s="16" t="n">
        <v>2026</v>
      </c>
      <c r="F12" s="16" t="n">
        <v>80</v>
      </c>
      <c r="G12" s="22" t="n">
        <v>98</v>
      </c>
      <c r="H12" s="7" t="s">
        <v>700</v>
      </c>
      <c r="I12" s="22" t="n">
        <v>4.05</v>
      </c>
      <c r="J12" s="8" t="n">
        <v>31752</v>
      </c>
      <c r="K12" s="22" t="n">
        <v>396.9</v>
      </c>
      <c r="L12" s="8" t="n">
        <v>0</v>
      </c>
      <c r="M12" s="22" t="n">
        <v>0</v>
      </c>
      <c r="N12" s="22" t="n">
        <v>83.85</v>
      </c>
      <c r="O12" s="22" t="n">
        <v>98.44</v>
      </c>
      <c r="P12" s="22" t="n">
        <v>53.75</v>
      </c>
      <c r="Q12" s="22" t="n">
        <v>21.28</v>
      </c>
      <c r="R12" s="22" t="n">
        <v>0</v>
      </c>
      <c r="S12" s="22" t="n">
        <v>0</v>
      </c>
      <c r="T12" s="22" t="n">
        <v>30.57</v>
      </c>
      <c r="U12" s="22" t="n">
        <v>22</v>
      </c>
      <c r="V12" s="22" t="n">
        <v>0</v>
      </c>
      <c r="W12" s="22" t="n">
        <v>309.89</v>
      </c>
      <c r="X12" s="22" t="n">
        <v>253.95</v>
      </c>
      <c r="Y12" s="19" t="n">
        <v>0</v>
      </c>
      <c r="Z12" s="22" t="n">
        <v>563.84</v>
      </c>
      <c r="AA12" s="22" t="n">
        <v>-166.94</v>
      </c>
      <c r="AB12" s="16" t="n">
        <v>139.22</v>
      </c>
      <c r="AC12" s="22" t="n">
        <v>5.7535</v>
      </c>
      <c r="AD12" s="7" t="s">
        <v>701</v>
      </c>
    </row>
    <row r="13" customFormat="false" ht="15" hidden="false" customHeight="false" outlineLevel="0" collapsed="false">
      <c r="A13" s="7" t="s">
        <v>137</v>
      </c>
      <c r="B13" s="7" t="s">
        <v>715</v>
      </c>
      <c r="C13" s="7" t="s">
        <v>144</v>
      </c>
      <c r="D13" s="7" t="s">
        <v>707</v>
      </c>
      <c r="E13" s="16" t="n">
        <v>2026</v>
      </c>
      <c r="F13" s="16" t="n">
        <v>125</v>
      </c>
      <c r="G13" s="22" t="n">
        <v>62</v>
      </c>
      <c r="H13" s="7" t="s">
        <v>700</v>
      </c>
      <c r="I13" s="22" t="n">
        <v>10.36</v>
      </c>
      <c r="J13" s="8" t="n">
        <v>80305.58</v>
      </c>
      <c r="K13" s="22" t="n">
        <v>642.44</v>
      </c>
      <c r="L13" s="8" t="n">
        <v>0</v>
      </c>
      <c r="M13" s="22" t="n">
        <v>0</v>
      </c>
      <c r="N13" s="22" t="n">
        <v>75.25</v>
      </c>
      <c r="O13" s="22" t="n">
        <v>32.4</v>
      </c>
      <c r="P13" s="22" t="n">
        <v>75.25</v>
      </c>
      <c r="Q13" s="22" t="n">
        <v>15.96</v>
      </c>
      <c r="R13" s="22" t="n">
        <v>0</v>
      </c>
      <c r="S13" s="22" t="n">
        <v>82.72</v>
      </c>
      <c r="T13" s="22" t="n">
        <v>19.62</v>
      </c>
      <c r="U13" s="22" t="n">
        <v>14</v>
      </c>
      <c r="V13" s="22" t="n">
        <v>0</v>
      </c>
      <c r="W13" s="22" t="n">
        <v>315.2</v>
      </c>
      <c r="X13" s="22" t="n">
        <v>103.62</v>
      </c>
      <c r="Y13" s="19" t="n">
        <v>0</v>
      </c>
      <c r="Z13" s="22" t="n">
        <v>418.82</v>
      </c>
      <c r="AA13" s="22" t="n">
        <v>223.62</v>
      </c>
      <c r="AB13" s="16" t="n">
        <v>40.43</v>
      </c>
      <c r="AC13" s="22" t="n">
        <v>6.7552</v>
      </c>
      <c r="AD13" s="7" t="s">
        <v>716</v>
      </c>
    </row>
    <row r="14" customFormat="false" ht="15" hidden="false" customHeight="false" outlineLevel="0" collapsed="false">
      <c r="A14" s="7" t="s">
        <v>137</v>
      </c>
      <c r="B14" s="7" t="s">
        <v>717</v>
      </c>
      <c r="C14" s="7" t="s">
        <v>146</v>
      </c>
      <c r="D14" s="7" t="s">
        <v>699</v>
      </c>
      <c r="E14" s="16" t="n">
        <v>2027</v>
      </c>
      <c r="F14" s="16" t="n">
        <v>80</v>
      </c>
      <c r="G14" s="22" t="n">
        <v>46</v>
      </c>
      <c r="H14" s="7" t="s">
        <v>700</v>
      </c>
      <c r="I14" s="22" t="n">
        <v>5.67</v>
      </c>
      <c r="J14" s="8" t="n">
        <v>14605.92</v>
      </c>
      <c r="K14" s="22" t="n">
        <v>182.57</v>
      </c>
      <c r="L14" s="8" t="n">
        <v>0</v>
      </c>
      <c r="M14" s="22" t="n">
        <v>0</v>
      </c>
      <c r="N14" s="22" t="n">
        <v>30.8</v>
      </c>
      <c r="O14" s="22" t="n">
        <v>75.3</v>
      </c>
      <c r="P14" s="22" t="n">
        <v>15.4</v>
      </c>
      <c r="Q14" s="22" t="n">
        <v>13.81</v>
      </c>
      <c r="R14" s="22" t="n">
        <v>0</v>
      </c>
      <c r="S14" s="22" t="n">
        <v>0</v>
      </c>
      <c r="T14" s="22" t="n">
        <v>17.92</v>
      </c>
      <c r="U14" s="22" t="n">
        <v>18</v>
      </c>
      <c r="V14" s="22" t="n">
        <v>0</v>
      </c>
      <c r="W14" s="22" t="n">
        <v>171.23</v>
      </c>
      <c r="X14" s="22" t="n">
        <v>69.18</v>
      </c>
      <c r="Y14" s="19" t="n">
        <v>0</v>
      </c>
      <c r="Z14" s="22" t="n">
        <v>240.41</v>
      </c>
      <c r="AA14" s="22" t="n">
        <v>-57.84</v>
      </c>
      <c r="AB14" s="16" t="n">
        <v>42.4</v>
      </c>
      <c r="AC14" s="22" t="n">
        <v>5.2263</v>
      </c>
      <c r="AD14" s="7" t="s">
        <v>716</v>
      </c>
    </row>
    <row r="15" customFormat="false" ht="15" hidden="false" customHeight="false" outlineLevel="0" collapsed="false">
      <c r="A15" s="7" t="s">
        <v>137</v>
      </c>
      <c r="B15" s="7" t="s">
        <v>718</v>
      </c>
      <c r="C15" s="7" t="s">
        <v>136</v>
      </c>
      <c r="D15" s="7" t="s">
        <v>719</v>
      </c>
      <c r="E15" s="16" t="n">
        <v>2023</v>
      </c>
      <c r="F15" s="16" t="n">
        <v>96</v>
      </c>
      <c r="G15" s="22" t="n">
        <v>276</v>
      </c>
      <c r="H15" s="7" t="s">
        <v>720</v>
      </c>
      <c r="I15" s="22" t="n">
        <v>0.728</v>
      </c>
      <c r="J15" s="8" t="n">
        <v>23992.12</v>
      </c>
      <c r="K15" s="22" t="n">
        <v>249.92</v>
      </c>
      <c r="L15" s="8" t="n">
        <v>0</v>
      </c>
      <c r="M15" s="22" t="n">
        <v>0</v>
      </c>
      <c r="N15" s="22" t="n">
        <v>82</v>
      </c>
      <c r="O15" s="22" t="n">
        <v>44.3</v>
      </c>
      <c r="P15" s="22" t="n">
        <v>54</v>
      </c>
      <c r="Q15" s="22" t="n">
        <v>0</v>
      </c>
      <c r="R15" s="22" t="n">
        <v>188.51</v>
      </c>
      <c r="S15" s="22" t="n">
        <v>0</v>
      </c>
      <c r="T15" s="22" t="n">
        <v>0</v>
      </c>
      <c r="U15" s="22" t="n">
        <v>14.5</v>
      </c>
      <c r="V15" s="22" t="n">
        <v>0</v>
      </c>
      <c r="W15" s="22" t="n">
        <v>383.31</v>
      </c>
      <c r="X15" s="22" t="n">
        <v>0</v>
      </c>
      <c r="Y15" s="19" t="n">
        <v>0</v>
      </c>
      <c r="Z15" s="22" t="n">
        <v>383.31</v>
      </c>
      <c r="AA15" s="22" t="n">
        <v>-133.39</v>
      </c>
      <c r="AB15" s="16" t="n">
        <v>526.52</v>
      </c>
      <c r="AC15" s="22" t="n">
        <v>1.3888</v>
      </c>
      <c r="AD15" s="7" t="s">
        <v>701</v>
      </c>
    </row>
    <row r="16" customFormat="false" ht="15" hidden="false" customHeight="false" outlineLevel="0" collapsed="false">
      <c r="A16" s="7" t="s">
        <v>137</v>
      </c>
      <c r="B16" s="7" t="s">
        <v>721</v>
      </c>
      <c r="C16" s="7" t="s">
        <v>136</v>
      </c>
      <c r="D16" s="7" t="s">
        <v>719</v>
      </c>
      <c r="E16" s="16" t="n">
        <v>2024</v>
      </c>
      <c r="F16" s="16" t="n">
        <v>96</v>
      </c>
      <c r="G16" s="22" t="n">
        <v>468</v>
      </c>
      <c r="H16" s="7" t="s">
        <v>720</v>
      </c>
      <c r="I16" s="22" t="n">
        <v>0.645</v>
      </c>
      <c r="J16" s="8" t="n">
        <v>35198.83</v>
      </c>
      <c r="K16" s="22" t="n">
        <v>366.65</v>
      </c>
      <c r="L16" s="8" t="n">
        <v>0</v>
      </c>
      <c r="M16" s="22" t="n">
        <v>0</v>
      </c>
      <c r="N16" s="22" t="n">
        <v>84.46</v>
      </c>
      <c r="O16" s="22" t="n">
        <v>36.15</v>
      </c>
      <c r="P16" s="22" t="n">
        <v>88.58</v>
      </c>
      <c r="Q16" s="22" t="n">
        <v>0</v>
      </c>
      <c r="R16" s="22" t="n">
        <v>238.81</v>
      </c>
      <c r="S16" s="22" t="n">
        <v>0</v>
      </c>
      <c r="T16" s="22" t="n">
        <v>0</v>
      </c>
      <c r="U16" s="22" t="n">
        <v>14.94</v>
      </c>
      <c r="V16" s="22" t="n">
        <v>0</v>
      </c>
      <c r="W16" s="22" t="n">
        <v>462.94</v>
      </c>
      <c r="X16" s="22" t="n">
        <v>0</v>
      </c>
      <c r="Y16" s="19" t="n">
        <v>0</v>
      </c>
      <c r="Z16" s="22" t="n">
        <v>462.94</v>
      </c>
      <c r="AA16" s="22" t="n">
        <v>-96.28</v>
      </c>
      <c r="AB16" s="16" t="n">
        <v>717.73</v>
      </c>
      <c r="AC16" s="22" t="n">
        <v>0.9892</v>
      </c>
      <c r="AD16" s="7" t="s">
        <v>701</v>
      </c>
    </row>
    <row r="17" customFormat="false" ht="15" hidden="false" customHeight="false" outlineLevel="0" collapsed="false">
      <c r="A17" s="7" t="s">
        <v>137</v>
      </c>
      <c r="B17" s="7" t="s">
        <v>722</v>
      </c>
      <c r="C17" s="7" t="s">
        <v>136</v>
      </c>
      <c r="D17" s="7" t="s">
        <v>719</v>
      </c>
      <c r="E17" s="16" t="n">
        <v>2025</v>
      </c>
      <c r="F17" s="16" t="n">
        <v>96</v>
      </c>
      <c r="G17" s="22" t="n">
        <v>521</v>
      </c>
      <c r="H17" s="7" t="s">
        <v>720</v>
      </c>
      <c r="I17" s="22" t="n">
        <v>0.615</v>
      </c>
      <c r="J17" s="8" t="n">
        <v>38217.24</v>
      </c>
      <c r="K17" s="22" t="n">
        <v>398.1</v>
      </c>
      <c r="L17" s="8" t="n">
        <v>0</v>
      </c>
      <c r="M17" s="22" t="n">
        <v>0</v>
      </c>
      <c r="N17" s="22" t="n">
        <v>86.92</v>
      </c>
      <c r="O17" s="22" t="n">
        <v>35.8</v>
      </c>
      <c r="P17" s="22" t="n">
        <v>91.16</v>
      </c>
      <c r="Q17" s="22" t="n">
        <v>0</v>
      </c>
      <c r="R17" s="22" t="n">
        <v>254.19</v>
      </c>
      <c r="S17" s="22" t="n">
        <v>0</v>
      </c>
      <c r="T17" s="22" t="n">
        <v>0</v>
      </c>
      <c r="U17" s="22" t="n">
        <v>15.37</v>
      </c>
      <c r="V17" s="22" t="n">
        <v>0</v>
      </c>
      <c r="W17" s="22" t="n">
        <v>483.44</v>
      </c>
      <c r="X17" s="22" t="n">
        <v>0</v>
      </c>
      <c r="Y17" s="19" t="n">
        <v>0</v>
      </c>
      <c r="Z17" s="22" t="n">
        <v>483.44</v>
      </c>
      <c r="AA17" s="22" t="n">
        <v>-85.34</v>
      </c>
      <c r="AB17" s="16" t="n">
        <v>786.08</v>
      </c>
      <c r="AC17" s="22" t="n">
        <v>0.9279</v>
      </c>
      <c r="AD17" s="7" t="s">
        <v>701</v>
      </c>
    </row>
    <row r="18" customFormat="false" ht="15" hidden="false" customHeight="false" outlineLevel="0" collapsed="false">
      <c r="A18" s="7" t="s">
        <v>137</v>
      </c>
      <c r="B18" s="7" t="s">
        <v>723</v>
      </c>
      <c r="C18" s="7" t="s">
        <v>136</v>
      </c>
      <c r="D18" s="7" t="s">
        <v>719</v>
      </c>
      <c r="E18" s="16" t="n">
        <v>2026</v>
      </c>
      <c r="F18" s="16" t="n">
        <v>96</v>
      </c>
      <c r="G18" s="22" t="n">
        <v>455</v>
      </c>
      <c r="H18" s="7" t="s">
        <v>720</v>
      </c>
      <c r="I18" s="22" t="n">
        <v>0.82</v>
      </c>
      <c r="J18" s="8" t="n">
        <v>42950.54</v>
      </c>
      <c r="K18" s="22" t="n">
        <v>447.4</v>
      </c>
      <c r="L18" s="8" t="n">
        <v>0</v>
      </c>
      <c r="M18" s="22" t="n">
        <v>0</v>
      </c>
      <c r="N18" s="22" t="n">
        <v>89.38</v>
      </c>
      <c r="O18" s="22" t="n">
        <v>43.16</v>
      </c>
      <c r="P18" s="22" t="n">
        <v>93.74</v>
      </c>
      <c r="Q18" s="22" t="n">
        <v>0</v>
      </c>
      <c r="R18" s="22" t="n">
        <v>252.16</v>
      </c>
      <c r="S18" s="22" t="n">
        <v>0</v>
      </c>
      <c r="T18" s="22" t="n">
        <v>0</v>
      </c>
      <c r="U18" s="22" t="n">
        <v>15.8</v>
      </c>
      <c r="V18" s="22" t="n">
        <v>0</v>
      </c>
      <c r="W18" s="22" t="n">
        <v>494.24</v>
      </c>
      <c r="X18" s="22" t="n">
        <v>0</v>
      </c>
      <c r="Y18" s="19" t="n">
        <v>0</v>
      </c>
      <c r="Z18" s="22" t="n">
        <v>494.24</v>
      </c>
      <c r="AA18" s="22" t="n">
        <v>-46.84</v>
      </c>
      <c r="AB18" s="16" t="n">
        <v>602.73</v>
      </c>
      <c r="AC18" s="22" t="n">
        <v>1.0862</v>
      </c>
      <c r="AD18" s="7" t="s">
        <v>716</v>
      </c>
    </row>
  </sheetData>
  <autoFilter ref="A1:A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37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37"/>
    <col collapsed="false" customWidth="true" hidden="false" outlineLevel="0" max="10" min="10" style="0" width="10"/>
    <col collapsed="false" customWidth="true" hidden="false" outlineLevel="0" max="11" min="11" style="0" width="27"/>
    <col collapsed="false" customWidth="true" hidden="false" outlineLevel="0" max="12" min="12" style="0" width="60"/>
    <col collapsed="false" customWidth="true" hidden="false" outlineLevel="0" max="13" min="13" style="0" width="17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16"/>
    <col collapsed="false" customWidth="true" hidden="false" outlineLevel="0" max="20" min="20" style="0" width="15"/>
    <col collapsed="false" customWidth="true" hidden="false" outlineLevel="0" max="21" min="21" style="0" width="16"/>
    <col collapsed="false" customWidth="true" hidden="false" outlineLevel="0" max="22" min="22" style="0" width="12"/>
    <col collapsed="false" customWidth="true" hidden="false" outlineLevel="0" max="24" min="23" style="0" width="13"/>
    <col collapsed="false" customWidth="true" hidden="false" outlineLevel="0" max="25" min="25" style="0" width="16"/>
    <col collapsed="false" customWidth="true" hidden="false" outlineLevel="0" max="26" min="26" style="0" width="11"/>
  </cols>
  <sheetData>
    <row r="1" customFormat="false" ht="23.85" hidden="false" customHeight="false" outlineLevel="0" collapsed="false">
      <c r="A1" s="11" t="s">
        <v>724</v>
      </c>
      <c r="B1" s="11" t="s">
        <v>131</v>
      </c>
      <c r="C1" s="11" t="s">
        <v>725</v>
      </c>
      <c r="D1" s="11" t="s">
        <v>726</v>
      </c>
      <c r="E1" s="11" t="s">
        <v>727</v>
      </c>
      <c r="F1" s="11" t="s">
        <v>196</v>
      </c>
      <c r="G1" s="11" t="s">
        <v>130</v>
      </c>
      <c r="H1" s="11" t="s">
        <v>216</v>
      </c>
      <c r="I1" s="11" t="s">
        <v>217</v>
      </c>
      <c r="J1" s="11" t="s">
        <v>214</v>
      </c>
      <c r="K1" s="11" t="s">
        <v>728</v>
      </c>
      <c r="L1" s="11" t="s">
        <v>536</v>
      </c>
      <c r="M1" s="11" t="s">
        <v>535</v>
      </c>
      <c r="N1" s="11" t="s">
        <v>729</v>
      </c>
      <c r="O1" s="11" t="s">
        <v>730</v>
      </c>
      <c r="P1" s="11" t="s">
        <v>731</v>
      </c>
      <c r="Q1" s="11" t="s">
        <v>218</v>
      </c>
      <c r="R1" s="11" t="s">
        <v>732</v>
      </c>
      <c r="S1" s="11" t="s">
        <v>733</v>
      </c>
      <c r="T1" s="11" t="s">
        <v>734</v>
      </c>
      <c r="U1" s="11" t="s">
        <v>735</v>
      </c>
      <c r="V1" s="11" t="s">
        <v>736</v>
      </c>
      <c r="W1" s="11" t="s">
        <v>737</v>
      </c>
      <c r="X1" s="11" t="s">
        <v>738</v>
      </c>
      <c r="Y1" s="11" t="s">
        <v>671</v>
      </c>
      <c r="Z1" s="11" t="s">
        <v>739</v>
      </c>
      <c r="AA1" s="6" t="s">
        <v>740</v>
      </c>
    </row>
    <row r="2" customFormat="false" ht="15" hidden="false" customHeight="false" outlineLevel="0" collapsed="false">
      <c r="A2" s="7" t="s">
        <v>741</v>
      </c>
      <c r="B2" s="7" t="s">
        <v>137</v>
      </c>
      <c r="C2" s="20" t="n">
        <v>44914</v>
      </c>
      <c r="D2" s="20" t="n">
        <v>44939</v>
      </c>
      <c r="E2" s="20"/>
      <c r="F2" s="7" t="s">
        <v>742</v>
      </c>
      <c r="G2" s="7" t="s">
        <v>136</v>
      </c>
      <c r="H2" s="7" t="s">
        <v>292</v>
      </c>
      <c r="I2" s="7" t="s">
        <v>293</v>
      </c>
      <c r="J2" s="7" t="s">
        <v>248</v>
      </c>
      <c r="K2" s="7" t="s">
        <v>249</v>
      </c>
      <c r="L2" s="7" t="s">
        <v>743</v>
      </c>
      <c r="M2" s="7" t="s">
        <v>566</v>
      </c>
      <c r="N2" s="16"/>
      <c r="O2" s="7"/>
      <c r="P2" s="22"/>
      <c r="Q2" s="8" t="n">
        <v>16476.24</v>
      </c>
      <c r="R2" s="8" t="n">
        <v>16476.24</v>
      </c>
      <c r="S2" s="7" t="s">
        <v>744</v>
      </c>
      <c r="T2" s="7" t="s">
        <v>745</v>
      </c>
      <c r="U2" s="7"/>
      <c r="V2" s="20" t="n">
        <v>44939</v>
      </c>
      <c r="W2" s="7"/>
      <c r="X2" s="7"/>
      <c r="Y2" s="7"/>
      <c r="Z2" s="7"/>
      <c r="AA2" s="23" t="n">
        <f aca="false">YEAR(C2)</f>
        <v>2022</v>
      </c>
    </row>
    <row r="3" customFormat="false" ht="15" hidden="false" customHeight="false" outlineLevel="0" collapsed="false">
      <c r="A3" s="7" t="s">
        <v>746</v>
      </c>
      <c r="B3" s="7" t="s">
        <v>137</v>
      </c>
      <c r="C3" s="20" t="n">
        <v>44914</v>
      </c>
      <c r="D3" s="20" t="n">
        <v>45030</v>
      </c>
      <c r="E3" s="20"/>
      <c r="F3" s="7" t="s">
        <v>742</v>
      </c>
      <c r="G3" s="7" t="s">
        <v>136</v>
      </c>
      <c r="H3" s="7" t="s">
        <v>292</v>
      </c>
      <c r="I3" s="7" t="s">
        <v>293</v>
      </c>
      <c r="J3" s="7" t="s">
        <v>248</v>
      </c>
      <c r="K3" s="7" t="s">
        <v>249</v>
      </c>
      <c r="L3" s="7" t="s">
        <v>743</v>
      </c>
      <c r="M3" s="7" t="s">
        <v>566</v>
      </c>
      <c r="N3" s="16"/>
      <c r="O3" s="7"/>
      <c r="P3" s="22"/>
      <c r="Q3" s="8" t="n">
        <v>4493.52</v>
      </c>
      <c r="R3" s="8" t="n">
        <v>4493.52</v>
      </c>
      <c r="S3" s="7" t="s">
        <v>744</v>
      </c>
      <c r="T3" s="7" t="s">
        <v>745</v>
      </c>
      <c r="U3" s="7"/>
      <c r="V3" s="20" t="n">
        <v>45030</v>
      </c>
      <c r="W3" s="7"/>
      <c r="X3" s="7"/>
      <c r="Y3" s="7"/>
      <c r="Z3" s="7"/>
      <c r="AA3" s="23" t="n">
        <f aca="false">YEAR(C3)</f>
        <v>2022</v>
      </c>
    </row>
    <row r="4" customFormat="false" ht="15" hidden="false" customHeight="false" outlineLevel="0" collapsed="false">
      <c r="A4" s="7" t="s">
        <v>747</v>
      </c>
      <c r="B4" s="7" t="s">
        <v>137</v>
      </c>
      <c r="C4" s="20" t="n">
        <v>44914</v>
      </c>
      <c r="D4" s="20" t="n">
        <v>45121</v>
      </c>
      <c r="E4" s="20"/>
      <c r="F4" s="7" t="s">
        <v>742</v>
      </c>
      <c r="G4" s="7" t="s">
        <v>136</v>
      </c>
      <c r="H4" s="7" t="s">
        <v>292</v>
      </c>
      <c r="I4" s="7" t="s">
        <v>293</v>
      </c>
      <c r="J4" s="7" t="s">
        <v>248</v>
      </c>
      <c r="K4" s="7" t="s">
        <v>249</v>
      </c>
      <c r="L4" s="7" t="s">
        <v>743</v>
      </c>
      <c r="M4" s="7" t="s">
        <v>566</v>
      </c>
      <c r="N4" s="16"/>
      <c r="O4" s="7"/>
      <c r="P4" s="22"/>
      <c r="Q4" s="8" t="n">
        <v>4493.52</v>
      </c>
      <c r="R4" s="8" t="n">
        <v>4493.52</v>
      </c>
      <c r="S4" s="7" t="s">
        <v>744</v>
      </c>
      <c r="T4" s="7" t="s">
        <v>745</v>
      </c>
      <c r="U4" s="7"/>
      <c r="V4" s="20" t="n">
        <v>45121</v>
      </c>
      <c r="W4" s="7"/>
      <c r="X4" s="7"/>
      <c r="Y4" s="7"/>
      <c r="Z4" s="7"/>
      <c r="AA4" s="23" t="n">
        <f aca="false">YEAR(C4)</f>
        <v>2022</v>
      </c>
    </row>
    <row r="5" customFormat="false" ht="15" hidden="false" customHeight="false" outlineLevel="0" collapsed="false">
      <c r="A5" s="7" t="s">
        <v>748</v>
      </c>
      <c r="B5" s="7" t="s">
        <v>137</v>
      </c>
      <c r="C5" s="20" t="n">
        <v>44914</v>
      </c>
      <c r="D5" s="20" t="n">
        <v>45226</v>
      </c>
      <c r="E5" s="20"/>
      <c r="F5" s="7" t="s">
        <v>742</v>
      </c>
      <c r="G5" s="7" t="s">
        <v>136</v>
      </c>
      <c r="H5" s="7" t="s">
        <v>292</v>
      </c>
      <c r="I5" s="7" t="s">
        <v>293</v>
      </c>
      <c r="J5" s="7" t="s">
        <v>248</v>
      </c>
      <c r="K5" s="7" t="s">
        <v>249</v>
      </c>
      <c r="L5" s="7" t="s">
        <v>743</v>
      </c>
      <c r="M5" s="7" t="s">
        <v>566</v>
      </c>
      <c r="N5" s="16"/>
      <c r="O5" s="7"/>
      <c r="P5" s="22"/>
      <c r="Q5" s="8" t="n">
        <v>4493.52</v>
      </c>
      <c r="R5" s="8" t="n">
        <v>4493.52</v>
      </c>
      <c r="S5" s="7" t="s">
        <v>744</v>
      </c>
      <c r="T5" s="7" t="s">
        <v>745</v>
      </c>
      <c r="U5" s="7"/>
      <c r="V5" s="20" t="n">
        <v>45226</v>
      </c>
      <c r="W5" s="7"/>
      <c r="X5" s="7"/>
      <c r="Y5" s="7"/>
      <c r="Z5" s="7"/>
      <c r="AA5" s="23" t="n">
        <f aca="false">YEAR(C5)</f>
        <v>2022</v>
      </c>
    </row>
    <row r="6" customFormat="false" ht="15" hidden="false" customHeight="false" outlineLevel="0" collapsed="false">
      <c r="A6" s="7" t="s">
        <v>749</v>
      </c>
      <c r="B6" s="7" t="s">
        <v>137</v>
      </c>
      <c r="C6" s="20" t="n">
        <v>44915</v>
      </c>
      <c r="D6" s="20" t="n">
        <v>44945</v>
      </c>
      <c r="E6" s="20"/>
      <c r="F6" s="7" t="s">
        <v>742</v>
      </c>
      <c r="G6" s="7" t="s">
        <v>153</v>
      </c>
      <c r="H6" s="7" t="s">
        <v>268</v>
      </c>
      <c r="I6" s="7" t="s">
        <v>269</v>
      </c>
      <c r="J6" s="7" t="s">
        <v>221</v>
      </c>
      <c r="K6" s="7" t="s">
        <v>267</v>
      </c>
      <c r="L6" s="7" t="s">
        <v>750</v>
      </c>
      <c r="M6" s="7" t="s">
        <v>563</v>
      </c>
      <c r="N6" s="16"/>
      <c r="O6" s="7"/>
      <c r="P6" s="22"/>
      <c r="Q6" s="8" t="n">
        <v>3184.55</v>
      </c>
      <c r="R6" s="8" t="n">
        <v>-3184.55</v>
      </c>
      <c r="S6" s="7" t="s">
        <v>751</v>
      </c>
      <c r="T6" s="7"/>
      <c r="U6" s="7" t="s">
        <v>752</v>
      </c>
      <c r="V6" s="20" t="n">
        <v>44945</v>
      </c>
      <c r="W6" s="7"/>
      <c r="X6" s="7"/>
      <c r="Y6" s="7"/>
      <c r="Z6" s="7"/>
      <c r="AA6" s="23" t="n">
        <f aca="false">YEAR(C6)</f>
        <v>2022</v>
      </c>
    </row>
    <row r="7" customFormat="false" ht="15" hidden="false" customHeight="false" outlineLevel="0" collapsed="false">
      <c r="A7" s="7" t="s">
        <v>753</v>
      </c>
      <c r="B7" s="7" t="s">
        <v>137</v>
      </c>
      <c r="C7" s="20" t="n">
        <v>44926</v>
      </c>
      <c r="D7" s="20" t="n">
        <v>44953</v>
      </c>
      <c r="E7" s="20"/>
      <c r="F7" s="7" t="s">
        <v>742</v>
      </c>
      <c r="G7" s="7" t="s">
        <v>136</v>
      </c>
      <c r="H7" s="7" t="s">
        <v>299</v>
      </c>
      <c r="I7" s="7" t="s">
        <v>298</v>
      </c>
      <c r="J7" s="7" t="s">
        <v>229</v>
      </c>
      <c r="K7" s="7" t="s">
        <v>298</v>
      </c>
      <c r="L7" s="7" t="s">
        <v>754</v>
      </c>
      <c r="M7" s="7" t="s">
        <v>755</v>
      </c>
      <c r="N7" s="16"/>
      <c r="O7" s="7"/>
      <c r="P7" s="22"/>
      <c r="Q7" s="8" t="n">
        <v>431.2</v>
      </c>
      <c r="R7" s="8" t="n">
        <v>-431.2</v>
      </c>
      <c r="S7" s="7" t="s">
        <v>33</v>
      </c>
      <c r="T7" s="7"/>
      <c r="U7" s="7"/>
      <c r="V7" s="20"/>
      <c r="W7" s="7"/>
      <c r="X7" s="7"/>
      <c r="Y7" s="7"/>
      <c r="Z7" s="7"/>
      <c r="AA7" s="23" t="n">
        <f aca="false">YEAR(C7)</f>
        <v>2022</v>
      </c>
    </row>
    <row r="8" customFormat="false" ht="15" hidden="false" customHeight="false" outlineLevel="0" collapsed="false">
      <c r="A8" s="7" t="s">
        <v>756</v>
      </c>
      <c r="B8" s="7" t="s">
        <v>137</v>
      </c>
      <c r="C8" s="20" t="n">
        <v>44926</v>
      </c>
      <c r="D8" s="20" t="n">
        <v>45056</v>
      </c>
      <c r="E8" s="20"/>
      <c r="F8" s="7" t="s">
        <v>742</v>
      </c>
      <c r="G8" s="7" t="s">
        <v>153</v>
      </c>
      <c r="H8" s="7" t="s">
        <v>299</v>
      </c>
      <c r="I8" s="7" t="s">
        <v>298</v>
      </c>
      <c r="J8" s="7" t="s">
        <v>229</v>
      </c>
      <c r="K8" s="7" t="s">
        <v>298</v>
      </c>
      <c r="L8" s="7" t="s">
        <v>757</v>
      </c>
      <c r="M8" s="7" t="s">
        <v>633</v>
      </c>
      <c r="N8" s="16"/>
      <c r="O8" s="7"/>
      <c r="P8" s="22"/>
      <c r="Q8" s="8" t="n">
        <v>3390.12</v>
      </c>
      <c r="R8" s="8" t="n">
        <v>-3390.12</v>
      </c>
      <c r="S8" s="7" t="s">
        <v>33</v>
      </c>
      <c r="T8" s="7"/>
      <c r="U8" s="7"/>
      <c r="V8" s="20"/>
      <c r="W8" s="7"/>
      <c r="X8" s="7"/>
      <c r="Y8" s="7"/>
      <c r="Z8" s="7"/>
      <c r="AA8" s="23" t="n">
        <f aca="false">YEAR(C8)</f>
        <v>2022</v>
      </c>
    </row>
    <row r="9" customFormat="false" ht="15" hidden="false" customHeight="false" outlineLevel="0" collapsed="false">
      <c r="A9" s="7" t="s">
        <v>758</v>
      </c>
      <c r="B9" s="7" t="s">
        <v>137</v>
      </c>
      <c r="C9" s="20" t="n">
        <v>44927</v>
      </c>
      <c r="D9" s="20" t="n">
        <v>44927</v>
      </c>
      <c r="E9" s="20"/>
      <c r="F9" s="7" t="s">
        <v>759</v>
      </c>
      <c r="G9" s="7" t="s">
        <v>153</v>
      </c>
      <c r="H9" s="7" t="s">
        <v>545</v>
      </c>
      <c r="I9" s="7" t="s">
        <v>760</v>
      </c>
      <c r="J9" s="7" t="s">
        <v>761</v>
      </c>
      <c r="K9" s="7" t="s">
        <v>762</v>
      </c>
      <c r="L9" s="7" t="s">
        <v>546</v>
      </c>
      <c r="M9" s="7"/>
      <c r="N9" s="16"/>
      <c r="O9" s="7"/>
      <c r="P9" s="22"/>
      <c r="Q9" s="8" t="n">
        <v>4000</v>
      </c>
      <c r="R9" s="8" t="n">
        <v>-4000</v>
      </c>
      <c r="S9" s="7" t="s">
        <v>763</v>
      </c>
      <c r="T9" s="7"/>
      <c r="U9" s="7"/>
      <c r="V9" s="20"/>
      <c r="W9" s="7"/>
      <c r="X9" s="7"/>
      <c r="Y9" s="7"/>
      <c r="Z9" s="7"/>
      <c r="AA9" s="23" t="n">
        <f aca="false">YEAR(C9)</f>
        <v>2023</v>
      </c>
    </row>
    <row r="10" customFormat="false" ht="15" hidden="false" customHeight="false" outlineLevel="0" collapsed="false">
      <c r="A10" s="7" t="s">
        <v>764</v>
      </c>
      <c r="B10" s="7" t="s">
        <v>137</v>
      </c>
      <c r="C10" s="20" t="n">
        <v>44934</v>
      </c>
      <c r="D10" s="20" t="n">
        <v>44979</v>
      </c>
      <c r="E10" s="20"/>
      <c r="F10" s="7" t="s">
        <v>759</v>
      </c>
      <c r="G10" s="7" t="s">
        <v>153</v>
      </c>
      <c r="H10" s="7" t="s">
        <v>244</v>
      </c>
      <c r="I10" s="7" t="s">
        <v>245</v>
      </c>
      <c r="J10" s="7" t="s">
        <v>229</v>
      </c>
      <c r="K10" s="7" t="s">
        <v>233</v>
      </c>
      <c r="L10" s="7" t="s">
        <v>570</v>
      </c>
      <c r="M10" s="7"/>
      <c r="N10" s="16"/>
      <c r="O10" s="7"/>
      <c r="P10" s="22"/>
      <c r="Q10" s="8" t="n">
        <v>165</v>
      </c>
      <c r="R10" s="8" t="n">
        <v>-165</v>
      </c>
      <c r="S10" s="7" t="s">
        <v>765</v>
      </c>
      <c r="T10" s="7"/>
      <c r="U10" s="7"/>
      <c r="V10" s="20"/>
      <c r="W10" s="7"/>
      <c r="X10" s="7"/>
      <c r="Y10" s="7"/>
      <c r="Z10" s="7"/>
      <c r="AA10" s="23" t="n">
        <f aca="false">YEAR(C10)</f>
        <v>2023</v>
      </c>
    </row>
    <row r="11" customFormat="false" ht="15" hidden="false" customHeight="false" outlineLevel="0" collapsed="false">
      <c r="A11" s="7" t="s">
        <v>766</v>
      </c>
      <c r="B11" s="7" t="s">
        <v>137</v>
      </c>
      <c r="C11" s="20" t="n">
        <v>44936</v>
      </c>
      <c r="D11" s="20" t="n">
        <v>44936</v>
      </c>
      <c r="E11" s="20"/>
      <c r="F11" s="7" t="s">
        <v>759</v>
      </c>
      <c r="G11" s="7" t="s">
        <v>153</v>
      </c>
      <c r="H11" s="7" t="s">
        <v>237</v>
      </c>
      <c r="I11" s="7" t="s">
        <v>238</v>
      </c>
      <c r="J11" s="7" t="s">
        <v>236</v>
      </c>
      <c r="K11" s="7" t="s">
        <v>189</v>
      </c>
      <c r="L11" s="7" t="s">
        <v>767</v>
      </c>
      <c r="M11" s="7" t="s">
        <v>768</v>
      </c>
      <c r="N11" s="16"/>
      <c r="O11" s="7"/>
      <c r="P11" s="22"/>
      <c r="Q11" s="8" t="n">
        <v>107.66</v>
      </c>
      <c r="R11" s="8" t="n">
        <v>-107.66</v>
      </c>
      <c r="S11" s="7" t="s">
        <v>744</v>
      </c>
      <c r="T11" s="7"/>
      <c r="U11" s="7"/>
      <c r="V11" s="20"/>
      <c r="W11" s="7"/>
      <c r="X11" s="7" t="s">
        <v>769</v>
      </c>
      <c r="Y11" s="7"/>
      <c r="Z11" s="7"/>
      <c r="AA11" s="23" t="n">
        <f aca="false">YEAR(C11)</f>
        <v>2023</v>
      </c>
    </row>
    <row r="12" customFormat="false" ht="15" hidden="false" customHeight="false" outlineLevel="0" collapsed="false">
      <c r="A12" s="7" t="s">
        <v>770</v>
      </c>
      <c r="B12" s="7" t="s">
        <v>137</v>
      </c>
      <c r="C12" s="20" t="n">
        <v>44936</v>
      </c>
      <c r="D12" s="20" t="n">
        <v>44936</v>
      </c>
      <c r="E12" s="20"/>
      <c r="F12" s="7" t="s">
        <v>759</v>
      </c>
      <c r="G12" s="7" t="s">
        <v>153</v>
      </c>
      <c r="H12" s="7" t="s">
        <v>559</v>
      </c>
      <c r="I12" s="7" t="s">
        <v>771</v>
      </c>
      <c r="J12" s="7" t="s">
        <v>761</v>
      </c>
      <c r="K12" s="7" t="s">
        <v>772</v>
      </c>
      <c r="L12" s="7" t="s">
        <v>773</v>
      </c>
      <c r="M12" s="7" t="s">
        <v>768</v>
      </c>
      <c r="N12" s="16"/>
      <c r="O12" s="7"/>
      <c r="P12" s="22"/>
      <c r="Q12" s="8" t="n">
        <v>737.43</v>
      </c>
      <c r="R12" s="8" t="n">
        <v>-737.43</v>
      </c>
      <c r="S12" s="7" t="s">
        <v>744</v>
      </c>
      <c r="T12" s="7"/>
      <c r="U12" s="7"/>
      <c r="V12" s="20"/>
      <c r="W12" s="7"/>
      <c r="X12" s="7" t="s">
        <v>769</v>
      </c>
      <c r="Y12" s="7"/>
      <c r="Z12" s="7"/>
      <c r="AA12" s="23" t="n">
        <f aca="false">YEAR(C12)</f>
        <v>2023</v>
      </c>
    </row>
    <row r="13" customFormat="false" ht="15" hidden="false" customHeight="false" outlineLevel="0" collapsed="false">
      <c r="A13" s="7" t="s">
        <v>774</v>
      </c>
      <c r="B13" s="7" t="s">
        <v>137</v>
      </c>
      <c r="C13" s="20" t="n">
        <v>44938</v>
      </c>
      <c r="D13" s="20" t="n">
        <v>44938</v>
      </c>
      <c r="E13" s="20"/>
      <c r="F13" s="7" t="s">
        <v>759</v>
      </c>
      <c r="G13" s="7" t="s">
        <v>153</v>
      </c>
      <c r="H13" s="7" t="s">
        <v>240</v>
      </c>
      <c r="I13" s="7" t="s">
        <v>239</v>
      </c>
      <c r="J13" s="7" t="s">
        <v>229</v>
      </c>
      <c r="K13" s="7" t="s">
        <v>239</v>
      </c>
      <c r="L13" s="7" t="s">
        <v>548</v>
      </c>
      <c r="M13" s="7" t="s">
        <v>547</v>
      </c>
      <c r="N13" s="16"/>
      <c r="O13" s="7"/>
      <c r="P13" s="22"/>
      <c r="Q13" s="8" t="n">
        <v>395.26</v>
      </c>
      <c r="R13" s="8" t="n">
        <v>-395.26</v>
      </c>
      <c r="S13" s="7" t="s">
        <v>775</v>
      </c>
      <c r="T13" s="7"/>
      <c r="U13" s="7"/>
      <c r="V13" s="20"/>
      <c r="W13" s="7"/>
      <c r="X13" s="7"/>
      <c r="Y13" s="7"/>
      <c r="Z13" s="7"/>
      <c r="AA13" s="23" t="n">
        <f aca="false">YEAR(C13)</f>
        <v>2023</v>
      </c>
    </row>
    <row r="14" customFormat="false" ht="15" hidden="false" customHeight="false" outlineLevel="0" collapsed="false">
      <c r="A14" s="7" t="s">
        <v>776</v>
      </c>
      <c r="B14" s="7" t="s">
        <v>137</v>
      </c>
      <c r="C14" s="20" t="n">
        <v>44940</v>
      </c>
      <c r="D14" s="20" t="n">
        <v>44940</v>
      </c>
      <c r="E14" s="20"/>
      <c r="F14" s="7" t="s">
        <v>759</v>
      </c>
      <c r="G14" s="7" t="s">
        <v>149</v>
      </c>
      <c r="H14" s="7" t="s">
        <v>237</v>
      </c>
      <c r="I14" s="7" t="s">
        <v>238</v>
      </c>
      <c r="J14" s="7" t="s">
        <v>236</v>
      </c>
      <c r="K14" s="7" t="s">
        <v>189</v>
      </c>
      <c r="L14" s="7" t="s">
        <v>777</v>
      </c>
      <c r="M14" s="7" t="s">
        <v>778</v>
      </c>
      <c r="N14" s="16"/>
      <c r="O14" s="7"/>
      <c r="P14" s="22"/>
      <c r="Q14" s="8" t="n">
        <v>12838</v>
      </c>
      <c r="R14" s="8" t="n">
        <v>-12838</v>
      </c>
      <c r="S14" s="7" t="s">
        <v>744</v>
      </c>
      <c r="T14" s="7"/>
      <c r="U14" s="7"/>
      <c r="V14" s="20"/>
      <c r="W14" s="7"/>
      <c r="X14" s="7" t="s">
        <v>779</v>
      </c>
      <c r="Y14" s="7"/>
      <c r="Z14" s="7"/>
      <c r="AA14" s="23" t="n">
        <f aca="false">YEAR(C14)</f>
        <v>2023</v>
      </c>
    </row>
    <row r="15" customFormat="false" ht="15" hidden="false" customHeight="false" outlineLevel="0" collapsed="false">
      <c r="A15" s="7" t="s">
        <v>780</v>
      </c>
      <c r="B15" s="7" t="s">
        <v>137</v>
      </c>
      <c r="C15" s="20" t="n">
        <v>44940</v>
      </c>
      <c r="D15" s="20" t="n">
        <v>44940</v>
      </c>
      <c r="E15" s="20"/>
      <c r="F15" s="7" t="s">
        <v>759</v>
      </c>
      <c r="G15" s="7" t="s">
        <v>149</v>
      </c>
      <c r="H15" s="7" t="s">
        <v>559</v>
      </c>
      <c r="I15" s="7" t="s">
        <v>771</v>
      </c>
      <c r="J15" s="7" t="s">
        <v>761</v>
      </c>
      <c r="K15" s="7" t="s">
        <v>772</v>
      </c>
      <c r="L15" s="7" t="s">
        <v>781</v>
      </c>
      <c r="M15" s="7" t="s">
        <v>778</v>
      </c>
      <c r="N15" s="16"/>
      <c r="O15" s="7"/>
      <c r="P15" s="22"/>
      <c r="Q15" s="8" t="n">
        <v>32276.84</v>
      </c>
      <c r="R15" s="8" t="n">
        <v>-32276.84</v>
      </c>
      <c r="S15" s="7" t="s">
        <v>744</v>
      </c>
      <c r="T15" s="7"/>
      <c r="U15" s="7"/>
      <c r="V15" s="20"/>
      <c r="W15" s="7"/>
      <c r="X15" s="7" t="s">
        <v>779</v>
      </c>
      <c r="Y15" s="7"/>
      <c r="Z15" s="7"/>
      <c r="AA15" s="23" t="n">
        <f aca="false">YEAR(C15)</f>
        <v>2023</v>
      </c>
    </row>
    <row r="16" customFormat="false" ht="15" hidden="false" customHeight="false" outlineLevel="0" collapsed="false">
      <c r="A16" s="7" t="s">
        <v>782</v>
      </c>
      <c r="B16" s="7" t="s">
        <v>137</v>
      </c>
      <c r="C16" s="20" t="n">
        <v>44940</v>
      </c>
      <c r="D16" s="20" t="n">
        <v>44940</v>
      </c>
      <c r="E16" s="20"/>
      <c r="F16" s="7" t="s">
        <v>759</v>
      </c>
      <c r="G16" s="7" t="s">
        <v>153</v>
      </c>
      <c r="H16" s="7" t="s">
        <v>561</v>
      </c>
      <c r="I16" s="7" t="s">
        <v>363</v>
      </c>
      <c r="J16" s="7" t="s">
        <v>761</v>
      </c>
      <c r="K16" s="7" t="s">
        <v>772</v>
      </c>
      <c r="L16" s="7" t="s">
        <v>562</v>
      </c>
      <c r="M16" s="7" t="s">
        <v>556</v>
      </c>
      <c r="N16" s="16"/>
      <c r="O16" s="7"/>
      <c r="P16" s="22"/>
      <c r="Q16" s="8" t="n">
        <v>16000</v>
      </c>
      <c r="R16" s="8" t="n">
        <v>16000</v>
      </c>
      <c r="S16" s="7" t="s">
        <v>783</v>
      </c>
      <c r="T16" s="7"/>
      <c r="U16" s="7"/>
      <c r="V16" s="20"/>
      <c r="W16" s="7"/>
      <c r="X16" s="7" t="s">
        <v>784</v>
      </c>
      <c r="Y16" s="7"/>
      <c r="Z16" s="7"/>
      <c r="AA16" s="23" t="n">
        <f aca="false">YEAR(C16)</f>
        <v>2023</v>
      </c>
    </row>
    <row r="17" customFormat="false" ht="15" hidden="false" customHeight="false" outlineLevel="0" collapsed="false">
      <c r="A17" s="7" t="s">
        <v>785</v>
      </c>
      <c r="B17" s="7" t="s">
        <v>137</v>
      </c>
      <c r="C17" s="20" t="n">
        <v>44941</v>
      </c>
      <c r="D17" s="20" t="n">
        <v>44941</v>
      </c>
      <c r="E17" s="20"/>
      <c r="F17" s="7" t="s">
        <v>759</v>
      </c>
      <c r="G17" s="7" t="s">
        <v>153</v>
      </c>
      <c r="H17" s="7" t="s">
        <v>786</v>
      </c>
      <c r="I17" s="7" t="s">
        <v>787</v>
      </c>
      <c r="J17" s="7" t="s">
        <v>761</v>
      </c>
      <c r="K17" s="7" t="s">
        <v>762</v>
      </c>
      <c r="L17" s="7" t="s">
        <v>788</v>
      </c>
      <c r="M17" s="7"/>
      <c r="N17" s="16"/>
      <c r="O17" s="7"/>
      <c r="P17" s="22"/>
      <c r="Q17" s="8" t="n">
        <v>3000</v>
      </c>
      <c r="R17" s="8" t="n">
        <v>-3000</v>
      </c>
      <c r="S17" s="7" t="s">
        <v>789</v>
      </c>
      <c r="T17" s="7"/>
      <c r="U17" s="7"/>
      <c r="V17" s="20"/>
      <c r="W17" s="7"/>
      <c r="X17" s="7"/>
      <c r="Y17" s="7"/>
      <c r="Z17" s="7"/>
      <c r="AA17" s="23" t="n">
        <f aca="false">YEAR(C17)</f>
        <v>2023</v>
      </c>
    </row>
    <row r="18" customFormat="false" ht="15" hidden="false" customHeight="false" outlineLevel="0" collapsed="false">
      <c r="A18" s="7" t="s">
        <v>790</v>
      </c>
      <c r="B18" s="7" t="s">
        <v>137</v>
      </c>
      <c r="C18" s="20" t="n">
        <v>44944</v>
      </c>
      <c r="D18" s="20" t="n">
        <v>44944</v>
      </c>
      <c r="E18" s="20"/>
      <c r="F18" s="7" t="s">
        <v>759</v>
      </c>
      <c r="G18" s="7" t="s">
        <v>149</v>
      </c>
      <c r="H18" s="7" t="s">
        <v>231</v>
      </c>
      <c r="I18" s="7" t="s">
        <v>232</v>
      </c>
      <c r="J18" s="7" t="s">
        <v>229</v>
      </c>
      <c r="K18" s="7" t="s">
        <v>230</v>
      </c>
      <c r="L18" s="7" t="s">
        <v>791</v>
      </c>
      <c r="M18" s="7" t="s">
        <v>792</v>
      </c>
      <c r="N18" s="16"/>
      <c r="O18" s="7"/>
      <c r="P18" s="22"/>
      <c r="Q18" s="8" t="n">
        <v>3900</v>
      </c>
      <c r="R18" s="8" t="n">
        <v>-3900</v>
      </c>
      <c r="S18" s="7" t="s">
        <v>33</v>
      </c>
      <c r="T18" s="7"/>
      <c r="U18" s="7"/>
      <c r="V18" s="20"/>
      <c r="W18" s="7"/>
      <c r="X18" s="7"/>
      <c r="Y18" s="7"/>
      <c r="Z18" s="7"/>
      <c r="AA18" s="23" t="n">
        <f aca="false">YEAR(C18)</f>
        <v>2023</v>
      </c>
    </row>
    <row r="19" customFormat="false" ht="15" hidden="false" customHeight="false" outlineLevel="0" collapsed="false">
      <c r="A19" s="7" t="s">
        <v>793</v>
      </c>
      <c r="B19" s="7" t="s">
        <v>137</v>
      </c>
      <c r="C19" s="20" t="n">
        <v>44944</v>
      </c>
      <c r="D19" s="20" t="n">
        <v>44944</v>
      </c>
      <c r="E19" s="20"/>
      <c r="F19" s="7" t="s">
        <v>759</v>
      </c>
      <c r="G19" s="7" t="s">
        <v>153</v>
      </c>
      <c r="H19" s="7" t="s">
        <v>231</v>
      </c>
      <c r="I19" s="7" t="s">
        <v>232</v>
      </c>
      <c r="J19" s="7" t="s">
        <v>229</v>
      </c>
      <c r="K19" s="7" t="s">
        <v>230</v>
      </c>
      <c r="L19" s="7" t="s">
        <v>794</v>
      </c>
      <c r="M19" s="7" t="s">
        <v>792</v>
      </c>
      <c r="N19" s="16"/>
      <c r="O19" s="7"/>
      <c r="P19" s="22"/>
      <c r="Q19" s="8" t="n">
        <v>7880</v>
      </c>
      <c r="R19" s="8" t="n">
        <v>-7880</v>
      </c>
      <c r="S19" s="7" t="s">
        <v>33</v>
      </c>
      <c r="T19" s="7"/>
      <c r="U19" s="7"/>
      <c r="V19" s="20"/>
      <c r="W19" s="7"/>
      <c r="X19" s="7"/>
      <c r="Y19" s="7"/>
      <c r="Z19" s="7"/>
      <c r="AA19" s="23" t="n">
        <f aca="false">YEAR(C19)</f>
        <v>2023</v>
      </c>
    </row>
    <row r="20" customFormat="false" ht="15" hidden="false" customHeight="false" outlineLevel="0" collapsed="false">
      <c r="A20" s="7" t="s">
        <v>795</v>
      </c>
      <c r="B20" s="7" t="s">
        <v>137</v>
      </c>
      <c r="C20" s="20" t="n">
        <v>44944</v>
      </c>
      <c r="D20" s="20" t="n">
        <v>44944</v>
      </c>
      <c r="E20" s="20"/>
      <c r="F20" s="7" t="s">
        <v>759</v>
      </c>
      <c r="G20" s="7" t="s">
        <v>153</v>
      </c>
      <c r="H20" s="7" t="s">
        <v>561</v>
      </c>
      <c r="I20" s="7" t="s">
        <v>363</v>
      </c>
      <c r="J20" s="7" t="s">
        <v>761</v>
      </c>
      <c r="K20" s="7" t="s">
        <v>772</v>
      </c>
      <c r="L20" s="7" t="s">
        <v>562</v>
      </c>
      <c r="M20" s="7" t="s">
        <v>556</v>
      </c>
      <c r="N20" s="16"/>
      <c r="O20" s="7"/>
      <c r="P20" s="22"/>
      <c r="Q20" s="8" t="n">
        <v>15000</v>
      </c>
      <c r="R20" s="8" t="n">
        <v>15000</v>
      </c>
      <c r="S20" s="7" t="s">
        <v>783</v>
      </c>
      <c r="T20" s="7"/>
      <c r="U20" s="7"/>
      <c r="V20" s="20"/>
      <c r="W20" s="7"/>
      <c r="X20" s="7" t="s">
        <v>784</v>
      </c>
      <c r="Y20" s="7"/>
      <c r="Z20" s="7"/>
      <c r="AA20" s="23" t="n">
        <f aca="false">YEAR(C20)</f>
        <v>2023</v>
      </c>
    </row>
    <row r="21" customFormat="false" ht="15" hidden="false" customHeight="false" outlineLevel="0" collapsed="false">
      <c r="A21" s="7" t="s">
        <v>796</v>
      </c>
      <c r="B21" s="7" t="s">
        <v>137</v>
      </c>
      <c r="C21" s="20" t="n">
        <v>44944</v>
      </c>
      <c r="D21" s="20" t="n">
        <v>44949</v>
      </c>
      <c r="E21" s="20"/>
      <c r="F21" s="7" t="s">
        <v>759</v>
      </c>
      <c r="G21" s="7" t="s">
        <v>144</v>
      </c>
      <c r="H21" s="7" t="s">
        <v>250</v>
      </c>
      <c r="I21" s="7" t="s">
        <v>251</v>
      </c>
      <c r="J21" s="7" t="s">
        <v>248</v>
      </c>
      <c r="K21" s="7" t="s">
        <v>249</v>
      </c>
      <c r="L21" s="7" t="s">
        <v>797</v>
      </c>
      <c r="M21" s="7" t="s">
        <v>549</v>
      </c>
      <c r="N21" s="16" t="n">
        <v>3800</v>
      </c>
      <c r="O21" s="7" t="s">
        <v>798</v>
      </c>
      <c r="P21" s="22" t="n">
        <v>14.38</v>
      </c>
      <c r="Q21" s="8" t="n">
        <v>54644</v>
      </c>
      <c r="R21" s="8" t="n">
        <v>54644</v>
      </c>
      <c r="S21" s="7" t="s">
        <v>33</v>
      </c>
      <c r="T21" s="7"/>
      <c r="U21" s="7"/>
      <c r="V21" s="20"/>
      <c r="W21" s="7"/>
      <c r="X21" s="7"/>
      <c r="Y21" s="7"/>
      <c r="Z21" s="7"/>
      <c r="AA21" s="23" t="n">
        <f aca="false">YEAR(C21)</f>
        <v>2023</v>
      </c>
    </row>
    <row r="22" customFormat="false" ht="15" hidden="false" customHeight="false" outlineLevel="0" collapsed="false">
      <c r="A22" s="7" t="s">
        <v>799</v>
      </c>
      <c r="B22" s="7" t="s">
        <v>137</v>
      </c>
      <c r="C22" s="20" t="n">
        <v>44946</v>
      </c>
      <c r="D22" s="20" t="n">
        <v>44980</v>
      </c>
      <c r="E22" s="20"/>
      <c r="F22" s="7" t="s">
        <v>759</v>
      </c>
      <c r="G22" s="7" t="s">
        <v>136</v>
      </c>
      <c r="H22" s="7" t="s">
        <v>223</v>
      </c>
      <c r="I22" s="7" t="s">
        <v>224</v>
      </c>
      <c r="J22" s="7" t="s">
        <v>221</v>
      </c>
      <c r="K22" s="7" t="s">
        <v>222</v>
      </c>
      <c r="L22" s="7" t="s">
        <v>800</v>
      </c>
      <c r="M22" s="7" t="s">
        <v>589</v>
      </c>
      <c r="N22" s="16" t="n">
        <v>96</v>
      </c>
      <c r="O22" s="7" t="s">
        <v>801</v>
      </c>
      <c r="P22" s="22" t="n">
        <v>14</v>
      </c>
      <c r="Q22" s="8" t="n">
        <v>1344</v>
      </c>
      <c r="R22" s="8" t="n">
        <v>-1344</v>
      </c>
      <c r="S22" s="7" t="s">
        <v>751</v>
      </c>
      <c r="T22" s="7"/>
      <c r="U22" s="7" t="s">
        <v>802</v>
      </c>
      <c r="V22" s="20" t="n">
        <v>44976</v>
      </c>
      <c r="W22" s="7"/>
      <c r="X22" s="7"/>
      <c r="Y22" s="7" t="s">
        <v>718</v>
      </c>
      <c r="Z22" s="7"/>
      <c r="AA22" s="23" t="n">
        <f aca="false">YEAR(C22)</f>
        <v>2023</v>
      </c>
    </row>
    <row r="23" customFormat="false" ht="15" hidden="false" customHeight="false" outlineLevel="0" collapsed="false">
      <c r="A23" s="7" t="s">
        <v>803</v>
      </c>
      <c r="B23" s="7" t="s">
        <v>137</v>
      </c>
      <c r="C23" s="20" t="n">
        <v>44952</v>
      </c>
      <c r="D23" s="20" t="n">
        <v>44952</v>
      </c>
      <c r="E23" s="20"/>
      <c r="F23" s="7" t="s">
        <v>759</v>
      </c>
      <c r="G23" s="7" t="s">
        <v>149</v>
      </c>
      <c r="H23" s="7" t="s">
        <v>234</v>
      </c>
      <c r="I23" s="7" t="s">
        <v>235</v>
      </c>
      <c r="J23" s="7" t="s">
        <v>229</v>
      </c>
      <c r="K23" s="7" t="s">
        <v>233</v>
      </c>
      <c r="L23" s="7" t="s">
        <v>804</v>
      </c>
      <c r="M23" s="7" t="s">
        <v>805</v>
      </c>
      <c r="N23" s="16"/>
      <c r="O23" s="7"/>
      <c r="P23" s="22"/>
      <c r="Q23" s="8" t="n">
        <v>640</v>
      </c>
      <c r="R23" s="8" t="n">
        <v>-640</v>
      </c>
      <c r="S23" s="7" t="s">
        <v>33</v>
      </c>
      <c r="T23" s="7"/>
      <c r="U23" s="7"/>
      <c r="V23" s="20"/>
      <c r="W23" s="7"/>
      <c r="X23" s="7"/>
      <c r="Y23" s="7"/>
      <c r="Z23" s="7"/>
      <c r="AA23" s="23" t="n">
        <f aca="false">YEAR(C23)</f>
        <v>2023</v>
      </c>
    </row>
    <row r="24" customFormat="false" ht="15" hidden="false" customHeight="false" outlineLevel="0" collapsed="false">
      <c r="A24" s="7" t="s">
        <v>806</v>
      </c>
      <c r="B24" s="7" t="s">
        <v>137</v>
      </c>
      <c r="C24" s="20" t="n">
        <v>44952</v>
      </c>
      <c r="D24" s="20" t="n">
        <v>44979</v>
      </c>
      <c r="E24" s="20"/>
      <c r="F24" s="7" t="s">
        <v>759</v>
      </c>
      <c r="G24" s="7" t="s">
        <v>153</v>
      </c>
      <c r="H24" s="7" t="s">
        <v>242</v>
      </c>
      <c r="I24" s="7" t="s">
        <v>243</v>
      </c>
      <c r="J24" s="7" t="s">
        <v>229</v>
      </c>
      <c r="K24" s="7" t="s">
        <v>241</v>
      </c>
      <c r="L24" s="7" t="s">
        <v>571</v>
      </c>
      <c r="M24" s="7"/>
      <c r="N24" s="16"/>
      <c r="O24" s="7"/>
      <c r="P24" s="22"/>
      <c r="Q24" s="8" t="n">
        <v>284.74</v>
      </c>
      <c r="R24" s="8" t="n">
        <v>-284.74</v>
      </c>
      <c r="S24" s="7" t="s">
        <v>765</v>
      </c>
      <c r="T24" s="7"/>
      <c r="U24" s="7"/>
      <c r="V24" s="20"/>
      <c r="W24" s="7"/>
      <c r="X24" s="7"/>
      <c r="Y24" s="7"/>
      <c r="Z24" s="7"/>
      <c r="AA24" s="23" t="n">
        <f aca="false">YEAR(C24)</f>
        <v>2023</v>
      </c>
    </row>
    <row r="25" customFormat="false" ht="15" hidden="false" customHeight="false" outlineLevel="0" collapsed="false">
      <c r="A25" s="7" t="s">
        <v>807</v>
      </c>
      <c r="B25" s="7" t="s">
        <v>137</v>
      </c>
      <c r="C25" s="20" t="n">
        <v>44957</v>
      </c>
      <c r="D25" s="20" t="n">
        <v>44957</v>
      </c>
      <c r="E25" s="20"/>
      <c r="F25" s="7" t="s">
        <v>759</v>
      </c>
      <c r="G25" s="7" t="s">
        <v>153</v>
      </c>
      <c r="H25" s="7" t="s">
        <v>246</v>
      </c>
      <c r="I25" s="7" t="s">
        <v>247</v>
      </c>
      <c r="J25" s="7" t="s">
        <v>236</v>
      </c>
      <c r="K25" s="7" t="s">
        <v>189</v>
      </c>
      <c r="L25" s="7" t="s">
        <v>808</v>
      </c>
      <c r="M25" s="7" t="s">
        <v>556</v>
      </c>
      <c r="N25" s="16"/>
      <c r="O25" s="7"/>
      <c r="P25" s="22"/>
      <c r="Q25" s="8" t="n">
        <v>621.32</v>
      </c>
      <c r="R25" s="8" t="n">
        <v>-621.32</v>
      </c>
      <c r="S25" s="7" t="s">
        <v>775</v>
      </c>
      <c r="T25" s="7"/>
      <c r="U25" s="7"/>
      <c r="V25" s="20"/>
      <c r="W25" s="7"/>
      <c r="X25" s="7" t="s">
        <v>784</v>
      </c>
      <c r="Y25" s="7"/>
      <c r="Z25" s="7"/>
      <c r="AA25" s="23" t="n">
        <f aca="false">YEAR(C25)</f>
        <v>2023</v>
      </c>
    </row>
    <row r="26" customFormat="false" ht="15" hidden="false" customHeight="false" outlineLevel="0" collapsed="false">
      <c r="A26" s="7" t="s">
        <v>809</v>
      </c>
      <c r="B26" s="7" t="s">
        <v>137</v>
      </c>
      <c r="C26" s="20" t="n">
        <v>44957</v>
      </c>
      <c r="D26" s="20" t="n">
        <v>44957</v>
      </c>
      <c r="E26" s="20"/>
      <c r="F26" s="7" t="s">
        <v>759</v>
      </c>
      <c r="G26" s="7" t="s">
        <v>153</v>
      </c>
      <c r="H26" s="7" t="s">
        <v>574</v>
      </c>
      <c r="I26" s="7" t="s">
        <v>364</v>
      </c>
      <c r="J26" s="7" t="s">
        <v>761</v>
      </c>
      <c r="K26" s="7" t="s">
        <v>772</v>
      </c>
      <c r="L26" s="7" t="s">
        <v>575</v>
      </c>
      <c r="M26" s="7" t="s">
        <v>556</v>
      </c>
      <c r="N26" s="16"/>
      <c r="O26" s="7"/>
      <c r="P26" s="22"/>
      <c r="Q26" s="8" t="n">
        <v>42000</v>
      </c>
      <c r="R26" s="8" t="n">
        <v>-42000</v>
      </c>
      <c r="S26" s="7" t="s">
        <v>783</v>
      </c>
      <c r="T26" s="7"/>
      <c r="U26" s="7"/>
      <c r="V26" s="20"/>
      <c r="W26" s="7"/>
      <c r="X26" s="7" t="s">
        <v>784</v>
      </c>
      <c r="Y26" s="7"/>
      <c r="Z26" s="7"/>
      <c r="AA26" s="23" t="n">
        <f aca="false">YEAR(C26)</f>
        <v>2023</v>
      </c>
    </row>
    <row r="27" customFormat="false" ht="15" hidden="false" customHeight="false" outlineLevel="0" collapsed="false">
      <c r="A27" s="7" t="s">
        <v>810</v>
      </c>
      <c r="B27" s="7" t="s">
        <v>137</v>
      </c>
      <c r="C27" s="20" t="n">
        <v>44958</v>
      </c>
      <c r="D27" s="20" t="n">
        <v>44958</v>
      </c>
      <c r="E27" s="20"/>
      <c r="F27" s="7" t="s">
        <v>759</v>
      </c>
      <c r="G27" s="7" t="s">
        <v>153</v>
      </c>
      <c r="H27" s="7" t="s">
        <v>545</v>
      </c>
      <c r="I27" s="7" t="s">
        <v>760</v>
      </c>
      <c r="J27" s="7" t="s">
        <v>761</v>
      </c>
      <c r="K27" s="7" t="s">
        <v>762</v>
      </c>
      <c r="L27" s="7" t="s">
        <v>546</v>
      </c>
      <c r="M27" s="7"/>
      <c r="N27" s="16"/>
      <c r="O27" s="7"/>
      <c r="P27" s="22"/>
      <c r="Q27" s="8" t="n">
        <v>4000</v>
      </c>
      <c r="R27" s="8" t="n">
        <v>-4000</v>
      </c>
      <c r="S27" s="7" t="s">
        <v>763</v>
      </c>
      <c r="T27" s="7"/>
      <c r="U27" s="7"/>
      <c r="V27" s="20"/>
      <c r="W27" s="7"/>
      <c r="X27" s="7"/>
      <c r="Y27" s="7"/>
      <c r="Z27" s="7"/>
      <c r="AA27" s="23" t="n">
        <f aca="false">YEAR(C27)</f>
        <v>2023</v>
      </c>
    </row>
    <row r="28" customFormat="false" ht="15" hidden="false" customHeight="false" outlineLevel="0" collapsed="false">
      <c r="A28" s="7" t="s">
        <v>811</v>
      </c>
      <c r="B28" s="7" t="s">
        <v>137</v>
      </c>
      <c r="C28" s="20" t="n">
        <v>44965</v>
      </c>
      <c r="D28" s="20" t="n">
        <v>45007</v>
      </c>
      <c r="E28" s="20"/>
      <c r="F28" s="7" t="s">
        <v>759</v>
      </c>
      <c r="G28" s="7" t="s">
        <v>153</v>
      </c>
      <c r="H28" s="7" t="s">
        <v>244</v>
      </c>
      <c r="I28" s="7" t="s">
        <v>245</v>
      </c>
      <c r="J28" s="7" t="s">
        <v>229</v>
      </c>
      <c r="K28" s="7" t="s">
        <v>233</v>
      </c>
      <c r="L28" s="7" t="s">
        <v>570</v>
      </c>
      <c r="M28" s="7"/>
      <c r="N28" s="16"/>
      <c r="O28" s="7"/>
      <c r="P28" s="22"/>
      <c r="Q28" s="8" t="n">
        <v>165</v>
      </c>
      <c r="R28" s="8" t="n">
        <v>-165</v>
      </c>
      <c r="S28" s="7" t="s">
        <v>765</v>
      </c>
      <c r="T28" s="7"/>
      <c r="U28" s="7"/>
      <c r="V28" s="20"/>
      <c r="W28" s="7"/>
      <c r="X28" s="7"/>
      <c r="Y28" s="7"/>
      <c r="Z28" s="7"/>
      <c r="AA28" s="23" t="n">
        <f aca="false">YEAR(C28)</f>
        <v>2023</v>
      </c>
    </row>
    <row r="29" customFormat="false" ht="15" hidden="false" customHeight="false" outlineLevel="0" collapsed="false">
      <c r="A29" s="7" t="s">
        <v>812</v>
      </c>
      <c r="B29" s="7" t="s">
        <v>137</v>
      </c>
      <c r="C29" s="20" t="n">
        <v>44967</v>
      </c>
      <c r="D29" s="20" t="n">
        <v>44967</v>
      </c>
      <c r="E29" s="20"/>
      <c r="F29" s="7" t="s">
        <v>759</v>
      </c>
      <c r="G29" s="7" t="s">
        <v>153</v>
      </c>
      <c r="H29" s="7" t="s">
        <v>237</v>
      </c>
      <c r="I29" s="7" t="s">
        <v>238</v>
      </c>
      <c r="J29" s="7" t="s">
        <v>236</v>
      </c>
      <c r="K29" s="7" t="s">
        <v>189</v>
      </c>
      <c r="L29" s="7" t="s">
        <v>813</v>
      </c>
      <c r="M29" s="7" t="s">
        <v>768</v>
      </c>
      <c r="N29" s="16"/>
      <c r="O29" s="7"/>
      <c r="P29" s="22"/>
      <c r="Q29" s="8" t="n">
        <v>105.27</v>
      </c>
      <c r="R29" s="8" t="n">
        <v>-105.27</v>
      </c>
      <c r="S29" s="7" t="s">
        <v>744</v>
      </c>
      <c r="T29" s="7"/>
      <c r="U29" s="7"/>
      <c r="V29" s="20"/>
      <c r="W29" s="7"/>
      <c r="X29" s="7" t="s">
        <v>769</v>
      </c>
      <c r="Y29" s="7"/>
      <c r="Z29" s="7"/>
      <c r="AA29" s="23" t="n">
        <f aca="false">YEAR(C29)</f>
        <v>2023</v>
      </c>
    </row>
    <row r="30" customFormat="false" ht="15" hidden="false" customHeight="false" outlineLevel="0" collapsed="false">
      <c r="A30" s="7" t="s">
        <v>814</v>
      </c>
      <c r="B30" s="7" t="s">
        <v>137</v>
      </c>
      <c r="C30" s="20" t="n">
        <v>44967</v>
      </c>
      <c r="D30" s="20" t="n">
        <v>44967</v>
      </c>
      <c r="E30" s="20"/>
      <c r="F30" s="7" t="s">
        <v>759</v>
      </c>
      <c r="G30" s="7" t="s">
        <v>153</v>
      </c>
      <c r="H30" s="7" t="s">
        <v>559</v>
      </c>
      <c r="I30" s="7" t="s">
        <v>771</v>
      </c>
      <c r="J30" s="7" t="s">
        <v>761</v>
      </c>
      <c r="K30" s="7" t="s">
        <v>772</v>
      </c>
      <c r="L30" s="7" t="s">
        <v>815</v>
      </c>
      <c r="M30" s="7" t="s">
        <v>768</v>
      </c>
      <c r="N30" s="16"/>
      <c r="O30" s="7"/>
      <c r="P30" s="22"/>
      <c r="Q30" s="8" t="n">
        <v>739.82</v>
      </c>
      <c r="R30" s="8" t="n">
        <v>-739.82</v>
      </c>
      <c r="S30" s="7" t="s">
        <v>744</v>
      </c>
      <c r="T30" s="7"/>
      <c r="U30" s="7"/>
      <c r="V30" s="20"/>
      <c r="W30" s="7"/>
      <c r="X30" s="7" t="s">
        <v>769</v>
      </c>
      <c r="Y30" s="7"/>
      <c r="Z30" s="7"/>
      <c r="AA30" s="23" t="n">
        <f aca="false">YEAR(C30)</f>
        <v>2023</v>
      </c>
    </row>
    <row r="31" customFormat="false" ht="15" hidden="false" customHeight="false" outlineLevel="0" collapsed="false">
      <c r="A31" s="7" t="s">
        <v>816</v>
      </c>
      <c r="B31" s="7" t="s">
        <v>137</v>
      </c>
      <c r="C31" s="20" t="n">
        <v>44969</v>
      </c>
      <c r="D31" s="20" t="n">
        <v>44969</v>
      </c>
      <c r="E31" s="20"/>
      <c r="F31" s="7" t="s">
        <v>759</v>
      </c>
      <c r="G31" s="7" t="s">
        <v>153</v>
      </c>
      <c r="H31" s="7" t="s">
        <v>240</v>
      </c>
      <c r="I31" s="7" t="s">
        <v>239</v>
      </c>
      <c r="J31" s="7" t="s">
        <v>229</v>
      </c>
      <c r="K31" s="7" t="s">
        <v>239</v>
      </c>
      <c r="L31" s="7" t="s">
        <v>548</v>
      </c>
      <c r="M31" s="7" t="s">
        <v>547</v>
      </c>
      <c r="N31" s="16"/>
      <c r="O31" s="7"/>
      <c r="P31" s="22"/>
      <c r="Q31" s="8" t="n">
        <v>433</v>
      </c>
      <c r="R31" s="8" t="n">
        <v>-433</v>
      </c>
      <c r="S31" s="7" t="s">
        <v>775</v>
      </c>
      <c r="T31" s="7"/>
      <c r="U31" s="7"/>
      <c r="V31" s="20"/>
      <c r="W31" s="7"/>
      <c r="X31" s="7"/>
      <c r="Y31" s="7"/>
      <c r="Z31" s="7"/>
      <c r="AA31" s="23" t="n">
        <f aca="false">YEAR(C31)</f>
        <v>2023</v>
      </c>
    </row>
    <row r="32" customFormat="false" ht="15" hidden="false" customHeight="false" outlineLevel="0" collapsed="false">
      <c r="A32" s="7" t="s">
        <v>817</v>
      </c>
      <c r="B32" s="7" t="s">
        <v>137</v>
      </c>
      <c r="C32" s="20" t="n">
        <v>44983</v>
      </c>
      <c r="D32" s="20" t="n">
        <v>45007</v>
      </c>
      <c r="E32" s="20"/>
      <c r="F32" s="7" t="s">
        <v>759</v>
      </c>
      <c r="G32" s="7" t="s">
        <v>153</v>
      </c>
      <c r="H32" s="7" t="s">
        <v>242</v>
      </c>
      <c r="I32" s="7" t="s">
        <v>243</v>
      </c>
      <c r="J32" s="7" t="s">
        <v>229</v>
      </c>
      <c r="K32" s="7" t="s">
        <v>241</v>
      </c>
      <c r="L32" s="7" t="s">
        <v>571</v>
      </c>
      <c r="M32" s="7"/>
      <c r="N32" s="16"/>
      <c r="O32" s="7"/>
      <c r="P32" s="22"/>
      <c r="Q32" s="8" t="n">
        <v>389.28</v>
      </c>
      <c r="R32" s="8" t="n">
        <v>-389.28</v>
      </c>
      <c r="S32" s="7" t="s">
        <v>765</v>
      </c>
      <c r="T32" s="7"/>
      <c r="U32" s="7"/>
      <c r="V32" s="20"/>
      <c r="W32" s="7"/>
      <c r="X32" s="7"/>
      <c r="Y32" s="7"/>
      <c r="Z32" s="7"/>
      <c r="AA32" s="23" t="n">
        <f aca="false">YEAR(C32)</f>
        <v>2023</v>
      </c>
    </row>
    <row r="33" customFormat="false" ht="15" hidden="false" customHeight="false" outlineLevel="0" collapsed="false">
      <c r="A33" s="7" t="s">
        <v>818</v>
      </c>
      <c r="B33" s="7" t="s">
        <v>137</v>
      </c>
      <c r="C33" s="20" t="n">
        <v>44984</v>
      </c>
      <c r="D33" s="20" t="n">
        <v>44984</v>
      </c>
      <c r="E33" s="20"/>
      <c r="F33" s="7" t="s">
        <v>759</v>
      </c>
      <c r="G33" s="7" t="s">
        <v>153</v>
      </c>
      <c r="H33" s="7" t="s">
        <v>252</v>
      </c>
      <c r="I33" s="7" t="s">
        <v>253</v>
      </c>
      <c r="J33" s="7" t="s">
        <v>229</v>
      </c>
      <c r="K33" s="7" t="s">
        <v>233</v>
      </c>
      <c r="L33" s="7" t="s">
        <v>819</v>
      </c>
      <c r="M33" s="7" t="s">
        <v>820</v>
      </c>
      <c r="N33" s="16"/>
      <c r="O33" s="7"/>
      <c r="P33" s="22"/>
      <c r="Q33" s="8" t="n">
        <v>3400</v>
      </c>
      <c r="R33" s="8" t="n">
        <v>-3400</v>
      </c>
      <c r="S33" s="7" t="s">
        <v>33</v>
      </c>
      <c r="T33" s="7"/>
      <c r="U33" s="7"/>
      <c r="V33" s="20"/>
      <c r="W33" s="7"/>
      <c r="X33" s="7"/>
      <c r="Y33" s="7"/>
      <c r="Z33" s="7"/>
      <c r="AA33" s="23" t="n">
        <f aca="false">YEAR(C33)</f>
        <v>2023</v>
      </c>
    </row>
    <row r="34" customFormat="false" ht="15" hidden="false" customHeight="false" outlineLevel="0" collapsed="false">
      <c r="A34" s="7" t="s">
        <v>821</v>
      </c>
      <c r="B34" s="7" t="s">
        <v>137</v>
      </c>
      <c r="C34" s="20" t="n">
        <v>44985</v>
      </c>
      <c r="D34" s="20" t="n">
        <v>44985</v>
      </c>
      <c r="E34" s="20"/>
      <c r="F34" s="7" t="s">
        <v>759</v>
      </c>
      <c r="G34" s="7" t="s">
        <v>153</v>
      </c>
      <c r="H34" s="7" t="s">
        <v>246</v>
      </c>
      <c r="I34" s="7" t="s">
        <v>247</v>
      </c>
      <c r="J34" s="7" t="s">
        <v>236</v>
      </c>
      <c r="K34" s="7" t="s">
        <v>189</v>
      </c>
      <c r="L34" s="7" t="s">
        <v>822</v>
      </c>
      <c r="M34" s="7" t="s">
        <v>556</v>
      </c>
      <c r="N34" s="16"/>
      <c r="O34" s="7"/>
      <c r="P34" s="22"/>
      <c r="Q34" s="8" t="n">
        <v>396.03</v>
      </c>
      <c r="R34" s="8" t="n">
        <v>-396.03</v>
      </c>
      <c r="S34" s="7" t="s">
        <v>775</v>
      </c>
      <c r="T34" s="7"/>
      <c r="U34" s="7"/>
      <c r="V34" s="20"/>
      <c r="W34" s="7"/>
      <c r="X34" s="7" t="s">
        <v>784</v>
      </c>
      <c r="Y34" s="7"/>
      <c r="Z34" s="7"/>
      <c r="AA34" s="23" t="n">
        <f aca="false">YEAR(C34)</f>
        <v>2023</v>
      </c>
    </row>
    <row r="35" customFormat="false" ht="15" hidden="false" customHeight="false" outlineLevel="0" collapsed="false">
      <c r="A35" s="7" t="s">
        <v>823</v>
      </c>
      <c r="B35" s="7" t="s">
        <v>137</v>
      </c>
      <c r="C35" s="20" t="n">
        <v>44986</v>
      </c>
      <c r="D35" s="20" t="n">
        <v>44986</v>
      </c>
      <c r="E35" s="20"/>
      <c r="F35" s="7" t="s">
        <v>759</v>
      </c>
      <c r="G35" s="7" t="s">
        <v>153</v>
      </c>
      <c r="H35" s="7" t="s">
        <v>545</v>
      </c>
      <c r="I35" s="7" t="s">
        <v>760</v>
      </c>
      <c r="J35" s="7" t="s">
        <v>761</v>
      </c>
      <c r="K35" s="7" t="s">
        <v>762</v>
      </c>
      <c r="L35" s="7" t="s">
        <v>546</v>
      </c>
      <c r="M35" s="7"/>
      <c r="N35" s="16"/>
      <c r="O35" s="7"/>
      <c r="P35" s="22"/>
      <c r="Q35" s="8" t="n">
        <v>4000</v>
      </c>
      <c r="R35" s="8" t="n">
        <v>-4000</v>
      </c>
      <c r="S35" s="7" t="s">
        <v>763</v>
      </c>
      <c r="T35" s="7"/>
      <c r="U35" s="7"/>
      <c r="V35" s="20"/>
      <c r="W35" s="7"/>
      <c r="X35" s="7"/>
      <c r="Y35" s="7"/>
      <c r="Z35" s="7"/>
      <c r="AA35" s="23" t="n">
        <f aca="false">YEAR(C35)</f>
        <v>2023</v>
      </c>
    </row>
    <row r="36" customFormat="false" ht="15" hidden="false" customHeight="false" outlineLevel="0" collapsed="false">
      <c r="A36" s="7" t="s">
        <v>824</v>
      </c>
      <c r="B36" s="7" t="s">
        <v>137</v>
      </c>
      <c r="C36" s="20" t="n">
        <v>44987</v>
      </c>
      <c r="D36" s="20" t="n">
        <v>45019</v>
      </c>
      <c r="E36" s="20"/>
      <c r="F36" s="7" t="s">
        <v>759</v>
      </c>
      <c r="G36" s="7" t="s">
        <v>146</v>
      </c>
      <c r="H36" s="7" t="s">
        <v>255</v>
      </c>
      <c r="I36" s="7" t="s">
        <v>256</v>
      </c>
      <c r="J36" s="7" t="s">
        <v>221</v>
      </c>
      <c r="K36" s="7" t="s">
        <v>254</v>
      </c>
      <c r="L36" s="7" t="s">
        <v>825</v>
      </c>
      <c r="M36" s="7" t="s">
        <v>563</v>
      </c>
      <c r="N36" s="16"/>
      <c r="O36" s="7"/>
      <c r="P36" s="22"/>
      <c r="Q36" s="8" t="n">
        <v>4096</v>
      </c>
      <c r="R36" s="8" t="n">
        <v>-4096</v>
      </c>
      <c r="S36" s="7" t="s">
        <v>751</v>
      </c>
      <c r="T36" s="7"/>
      <c r="U36" s="7" t="s">
        <v>826</v>
      </c>
      <c r="V36" s="20" t="n">
        <v>45017</v>
      </c>
      <c r="W36" s="7"/>
      <c r="X36" s="7"/>
      <c r="Y36" s="7" t="s">
        <v>698</v>
      </c>
      <c r="Z36" s="7"/>
      <c r="AA36" s="23" t="n">
        <f aca="false">YEAR(C36)</f>
        <v>2023</v>
      </c>
    </row>
    <row r="37" customFormat="false" ht="15" hidden="false" customHeight="false" outlineLevel="0" collapsed="false">
      <c r="A37" s="7" t="s">
        <v>827</v>
      </c>
      <c r="B37" s="7" t="s">
        <v>137</v>
      </c>
      <c r="C37" s="20" t="n">
        <v>44991</v>
      </c>
      <c r="D37" s="20" t="n">
        <v>45026</v>
      </c>
      <c r="E37" s="20"/>
      <c r="F37" s="7" t="s">
        <v>759</v>
      </c>
      <c r="G37" s="7" t="s">
        <v>136</v>
      </c>
      <c r="H37" s="7" t="s">
        <v>223</v>
      </c>
      <c r="I37" s="7" t="s">
        <v>224</v>
      </c>
      <c r="J37" s="7" t="s">
        <v>221</v>
      </c>
      <c r="K37" s="7" t="s">
        <v>222</v>
      </c>
      <c r="L37" s="7" t="s">
        <v>828</v>
      </c>
      <c r="M37" s="7" t="s">
        <v>589</v>
      </c>
      <c r="N37" s="16" t="n">
        <v>96</v>
      </c>
      <c r="O37" s="7" t="s">
        <v>801</v>
      </c>
      <c r="P37" s="22" t="n">
        <v>24</v>
      </c>
      <c r="Q37" s="8" t="n">
        <v>2304</v>
      </c>
      <c r="R37" s="8" t="n">
        <v>-2304</v>
      </c>
      <c r="S37" s="7" t="s">
        <v>751</v>
      </c>
      <c r="T37" s="7"/>
      <c r="U37" s="7" t="s">
        <v>829</v>
      </c>
      <c r="V37" s="20" t="n">
        <v>45021</v>
      </c>
      <c r="W37" s="7"/>
      <c r="X37" s="7"/>
      <c r="Y37" s="7" t="s">
        <v>718</v>
      </c>
      <c r="Z37" s="7"/>
      <c r="AA37" s="23" t="n">
        <f aca="false">YEAR(C37)</f>
        <v>2023</v>
      </c>
    </row>
    <row r="38" customFormat="false" ht="15" hidden="false" customHeight="false" outlineLevel="0" collapsed="false">
      <c r="A38" s="7" t="s">
        <v>830</v>
      </c>
      <c r="B38" s="7" t="s">
        <v>137</v>
      </c>
      <c r="C38" s="20" t="n">
        <v>44993</v>
      </c>
      <c r="D38" s="20" t="n">
        <v>45038</v>
      </c>
      <c r="E38" s="20"/>
      <c r="F38" s="7" t="s">
        <v>759</v>
      </c>
      <c r="G38" s="7" t="s">
        <v>153</v>
      </c>
      <c r="H38" s="7" t="s">
        <v>244</v>
      </c>
      <c r="I38" s="7" t="s">
        <v>245</v>
      </c>
      <c r="J38" s="7" t="s">
        <v>229</v>
      </c>
      <c r="K38" s="7" t="s">
        <v>233</v>
      </c>
      <c r="L38" s="7" t="s">
        <v>570</v>
      </c>
      <c r="M38" s="7"/>
      <c r="N38" s="16"/>
      <c r="O38" s="7"/>
      <c r="P38" s="22"/>
      <c r="Q38" s="8" t="n">
        <v>165</v>
      </c>
      <c r="R38" s="8" t="n">
        <v>-165</v>
      </c>
      <c r="S38" s="7" t="s">
        <v>765</v>
      </c>
      <c r="T38" s="7"/>
      <c r="U38" s="7"/>
      <c r="V38" s="20"/>
      <c r="W38" s="7"/>
      <c r="X38" s="7"/>
      <c r="Y38" s="7"/>
      <c r="Z38" s="7"/>
      <c r="AA38" s="23" t="n">
        <f aca="false">YEAR(C38)</f>
        <v>2023</v>
      </c>
    </row>
    <row r="39" customFormat="false" ht="15" hidden="false" customHeight="false" outlineLevel="0" collapsed="false">
      <c r="A39" s="7" t="s">
        <v>831</v>
      </c>
      <c r="B39" s="7" t="s">
        <v>137</v>
      </c>
      <c r="C39" s="20" t="n">
        <v>44995</v>
      </c>
      <c r="D39" s="20" t="n">
        <v>44995</v>
      </c>
      <c r="E39" s="20"/>
      <c r="F39" s="7" t="s">
        <v>759</v>
      </c>
      <c r="G39" s="7" t="s">
        <v>153</v>
      </c>
      <c r="H39" s="7" t="s">
        <v>237</v>
      </c>
      <c r="I39" s="7" t="s">
        <v>238</v>
      </c>
      <c r="J39" s="7" t="s">
        <v>236</v>
      </c>
      <c r="K39" s="7" t="s">
        <v>189</v>
      </c>
      <c r="L39" s="7" t="s">
        <v>832</v>
      </c>
      <c r="M39" s="7" t="s">
        <v>768</v>
      </c>
      <c r="N39" s="16"/>
      <c r="O39" s="7"/>
      <c r="P39" s="22"/>
      <c r="Q39" s="8" t="n">
        <v>102.86</v>
      </c>
      <c r="R39" s="8" t="n">
        <v>-102.86</v>
      </c>
      <c r="S39" s="7" t="s">
        <v>744</v>
      </c>
      <c r="T39" s="7"/>
      <c r="U39" s="7"/>
      <c r="V39" s="20"/>
      <c r="W39" s="7"/>
      <c r="X39" s="7" t="s">
        <v>769</v>
      </c>
      <c r="Y39" s="7"/>
      <c r="Z39" s="7"/>
      <c r="AA39" s="23" t="n">
        <f aca="false">YEAR(C39)</f>
        <v>2023</v>
      </c>
    </row>
    <row r="40" customFormat="false" ht="15" hidden="false" customHeight="false" outlineLevel="0" collapsed="false">
      <c r="A40" s="7" t="s">
        <v>833</v>
      </c>
      <c r="B40" s="7" t="s">
        <v>137</v>
      </c>
      <c r="C40" s="20" t="n">
        <v>44995</v>
      </c>
      <c r="D40" s="20" t="n">
        <v>44995</v>
      </c>
      <c r="E40" s="20"/>
      <c r="F40" s="7" t="s">
        <v>759</v>
      </c>
      <c r="G40" s="7" t="s">
        <v>153</v>
      </c>
      <c r="H40" s="7" t="s">
        <v>559</v>
      </c>
      <c r="I40" s="7" t="s">
        <v>771</v>
      </c>
      <c r="J40" s="7" t="s">
        <v>761</v>
      </c>
      <c r="K40" s="7" t="s">
        <v>772</v>
      </c>
      <c r="L40" s="7" t="s">
        <v>834</v>
      </c>
      <c r="M40" s="7" t="s">
        <v>768</v>
      </c>
      <c r="N40" s="16"/>
      <c r="O40" s="7"/>
      <c r="P40" s="22"/>
      <c r="Q40" s="8" t="n">
        <v>742.23</v>
      </c>
      <c r="R40" s="8" t="n">
        <v>-742.23</v>
      </c>
      <c r="S40" s="7" t="s">
        <v>744</v>
      </c>
      <c r="T40" s="7"/>
      <c r="U40" s="7"/>
      <c r="V40" s="20"/>
      <c r="W40" s="7"/>
      <c r="X40" s="7" t="s">
        <v>769</v>
      </c>
      <c r="Y40" s="7"/>
      <c r="Z40" s="7"/>
      <c r="AA40" s="23" t="n">
        <f aca="false">YEAR(C40)</f>
        <v>2023</v>
      </c>
    </row>
    <row r="41" customFormat="false" ht="15" hidden="false" customHeight="false" outlineLevel="0" collapsed="false">
      <c r="A41" s="7" t="s">
        <v>835</v>
      </c>
      <c r="B41" s="7" t="s">
        <v>137</v>
      </c>
      <c r="C41" s="20" t="n">
        <v>44997</v>
      </c>
      <c r="D41" s="20" t="n">
        <v>44997</v>
      </c>
      <c r="E41" s="20"/>
      <c r="F41" s="7" t="s">
        <v>759</v>
      </c>
      <c r="G41" s="7" t="s">
        <v>153</v>
      </c>
      <c r="H41" s="7" t="s">
        <v>240</v>
      </c>
      <c r="I41" s="7" t="s">
        <v>239</v>
      </c>
      <c r="J41" s="7" t="s">
        <v>229</v>
      </c>
      <c r="K41" s="7" t="s">
        <v>239</v>
      </c>
      <c r="L41" s="7" t="s">
        <v>548</v>
      </c>
      <c r="M41" s="7" t="s">
        <v>547</v>
      </c>
      <c r="N41" s="16"/>
      <c r="O41" s="7"/>
      <c r="P41" s="22"/>
      <c r="Q41" s="8" t="n">
        <v>271.38</v>
      </c>
      <c r="R41" s="8" t="n">
        <v>-271.38</v>
      </c>
      <c r="S41" s="7" t="s">
        <v>775</v>
      </c>
      <c r="T41" s="7"/>
      <c r="U41" s="7"/>
      <c r="V41" s="20"/>
      <c r="W41" s="7"/>
      <c r="X41" s="7"/>
      <c r="Y41" s="7"/>
      <c r="Z41" s="7"/>
      <c r="AA41" s="23" t="n">
        <f aca="false">YEAR(C41)</f>
        <v>2023</v>
      </c>
    </row>
    <row r="42" customFormat="false" ht="15" hidden="false" customHeight="false" outlineLevel="0" collapsed="false">
      <c r="A42" s="7" t="s">
        <v>836</v>
      </c>
      <c r="B42" s="7" t="s">
        <v>137</v>
      </c>
      <c r="C42" s="20" t="n">
        <v>44999</v>
      </c>
      <c r="D42" s="20" t="n">
        <v>45029</v>
      </c>
      <c r="E42" s="20"/>
      <c r="F42" s="7" t="s">
        <v>759</v>
      </c>
      <c r="G42" s="7" t="s">
        <v>153</v>
      </c>
      <c r="H42" s="7" t="s">
        <v>261</v>
      </c>
      <c r="I42" s="7" t="s">
        <v>262</v>
      </c>
      <c r="J42" s="7" t="s">
        <v>221</v>
      </c>
      <c r="K42" s="7" t="s">
        <v>260</v>
      </c>
      <c r="L42" s="7" t="s">
        <v>623</v>
      </c>
      <c r="M42" s="7" t="s">
        <v>538</v>
      </c>
      <c r="N42" s="16"/>
      <c r="O42" s="7"/>
      <c r="P42" s="22"/>
      <c r="Q42" s="8" t="n">
        <v>1290.98</v>
      </c>
      <c r="R42" s="8" t="n">
        <v>-1290.98</v>
      </c>
      <c r="S42" s="7" t="s">
        <v>751</v>
      </c>
      <c r="T42" s="7"/>
      <c r="U42" s="7" t="s">
        <v>837</v>
      </c>
      <c r="V42" s="20" t="n">
        <v>45029</v>
      </c>
      <c r="W42" s="7"/>
      <c r="X42" s="7"/>
      <c r="Y42" s="7"/>
      <c r="Z42" s="7"/>
      <c r="AA42" s="23" t="n">
        <f aca="false">YEAR(C42)</f>
        <v>2023</v>
      </c>
    </row>
    <row r="43" customFormat="false" ht="15" hidden="false" customHeight="false" outlineLevel="0" collapsed="false">
      <c r="A43" s="7" t="s">
        <v>838</v>
      </c>
      <c r="B43" s="7" t="s">
        <v>137</v>
      </c>
      <c r="C43" s="20" t="n">
        <v>45000</v>
      </c>
      <c r="D43" s="20" t="n">
        <v>45000</v>
      </c>
      <c r="E43" s="20"/>
      <c r="F43" s="7" t="s">
        <v>759</v>
      </c>
      <c r="G43" s="7" t="s">
        <v>146</v>
      </c>
      <c r="H43" s="7" t="s">
        <v>258</v>
      </c>
      <c r="I43" s="7" t="s">
        <v>259</v>
      </c>
      <c r="J43" s="7" t="s">
        <v>221</v>
      </c>
      <c r="K43" s="7" t="s">
        <v>257</v>
      </c>
      <c r="L43" s="7" t="s">
        <v>839</v>
      </c>
      <c r="M43" s="7" t="s">
        <v>840</v>
      </c>
      <c r="N43" s="16"/>
      <c r="O43" s="7"/>
      <c r="P43" s="22"/>
      <c r="Q43" s="8" t="n">
        <v>1440</v>
      </c>
      <c r="R43" s="8" t="n">
        <v>-1440</v>
      </c>
      <c r="S43" s="7" t="s">
        <v>33</v>
      </c>
      <c r="T43" s="7"/>
      <c r="U43" s="7"/>
      <c r="V43" s="20"/>
      <c r="W43" s="7"/>
      <c r="X43" s="7"/>
      <c r="Y43" s="7" t="s">
        <v>698</v>
      </c>
      <c r="Z43" s="7"/>
      <c r="AA43" s="23" t="n">
        <f aca="false">YEAR(C43)</f>
        <v>2023</v>
      </c>
    </row>
    <row r="44" customFormat="false" ht="15" hidden="false" customHeight="false" outlineLevel="0" collapsed="false">
      <c r="A44" s="7" t="s">
        <v>841</v>
      </c>
      <c r="B44" s="7" t="s">
        <v>137</v>
      </c>
      <c r="C44" s="20" t="n">
        <v>45000</v>
      </c>
      <c r="D44" s="20" t="n">
        <v>45000</v>
      </c>
      <c r="E44" s="20"/>
      <c r="F44" s="7" t="s">
        <v>759</v>
      </c>
      <c r="G44" s="7" t="s">
        <v>141</v>
      </c>
      <c r="H44" s="7" t="s">
        <v>258</v>
      </c>
      <c r="I44" s="7" t="s">
        <v>259</v>
      </c>
      <c r="J44" s="7" t="s">
        <v>221</v>
      </c>
      <c r="K44" s="7" t="s">
        <v>257</v>
      </c>
      <c r="L44" s="7" t="s">
        <v>842</v>
      </c>
      <c r="M44" s="7" t="s">
        <v>840</v>
      </c>
      <c r="N44" s="16"/>
      <c r="O44" s="7"/>
      <c r="P44" s="22"/>
      <c r="Q44" s="8" t="n">
        <v>1760</v>
      </c>
      <c r="R44" s="8" t="n">
        <v>-1760</v>
      </c>
      <c r="S44" s="7" t="s">
        <v>33</v>
      </c>
      <c r="T44" s="7"/>
      <c r="U44" s="7"/>
      <c r="V44" s="20"/>
      <c r="W44" s="7"/>
      <c r="X44" s="7"/>
      <c r="Y44" s="7" t="s">
        <v>702</v>
      </c>
      <c r="Z44" s="7"/>
      <c r="AA44" s="23" t="n">
        <f aca="false">YEAR(C44)</f>
        <v>2023</v>
      </c>
    </row>
    <row r="45" customFormat="false" ht="15" hidden="false" customHeight="false" outlineLevel="0" collapsed="false">
      <c r="A45" s="7" t="s">
        <v>843</v>
      </c>
      <c r="B45" s="7" t="s">
        <v>137</v>
      </c>
      <c r="C45" s="20" t="n">
        <v>45000</v>
      </c>
      <c r="D45" s="20" t="n">
        <v>45000</v>
      </c>
      <c r="E45" s="20"/>
      <c r="F45" s="7" t="s">
        <v>759</v>
      </c>
      <c r="G45" s="7" t="s">
        <v>141</v>
      </c>
      <c r="H45" s="7" t="s">
        <v>258</v>
      </c>
      <c r="I45" s="7" t="s">
        <v>259</v>
      </c>
      <c r="J45" s="7" t="s">
        <v>221</v>
      </c>
      <c r="K45" s="7" t="s">
        <v>257</v>
      </c>
      <c r="L45" s="7" t="s">
        <v>842</v>
      </c>
      <c r="M45" s="7" t="s">
        <v>840</v>
      </c>
      <c r="N45" s="16"/>
      <c r="O45" s="7"/>
      <c r="P45" s="22"/>
      <c r="Q45" s="8" t="n">
        <v>3500</v>
      </c>
      <c r="R45" s="8" t="n">
        <v>-3500</v>
      </c>
      <c r="S45" s="7" t="s">
        <v>33</v>
      </c>
      <c r="T45" s="7"/>
      <c r="U45" s="7"/>
      <c r="V45" s="20"/>
      <c r="W45" s="7"/>
      <c r="X45" s="7"/>
      <c r="Y45" s="7" t="s">
        <v>704</v>
      </c>
      <c r="Z45" s="7"/>
      <c r="AA45" s="23" t="n">
        <f aca="false">YEAR(C45)</f>
        <v>2023</v>
      </c>
    </row>
    <row r="46" customFormat="false" ht="15" hidden="false" customHeight="false" outlineLevel="0" collapsed="false">
      <c r="A46" s="7" t="s">
        <v>844</v>
      </c>
      <c r="B46" s="7" t="s">
        <v>137</v>
      </c>
      <c r="C46" s="20" t="n">
        <v>45000</v>
      </c>
      <c r="D46" s="20" t="n">
        <v>45000</v>
      </c>
      <c r="E46" s="20"/>
      <c r="F46" s="7" t="s">
        <v>759</v>
      </c>
      <c r="G46" s="7" t="s">
        <v>153</v>
      </c>
      <c r="H46" s="7" t="s">
        <v>561</v>
      </c>
      <c r="I46" s="7" t="s">
        <v>363</v>
      </c>
      <c r="J46" s="7" t="s">
        <v>761</v>
      </c>
      <c r="K46" s="7" t="s">
        <v>772</v>
      </c>
      <c r="L46" s="7" t="s">
        <v>562</v>
      </c>
      <c r="M46" s="7" t="s">
        <v>556</v>
      </c>
      <c r="N46" s="16"/>
      <c r="O46" s="7"/>
      <c r="P46" s="22"/>
      <c r="Q46" s="8" t="n">
        <v>14000</v>
      </c>
      <c r="R46" s="8" t="n">
        <v>14000</v>
      </c>
      <c r="S46" s="7" t="s">
        <v>783</v>
      </c>
      <c r="T46" s="7"/>
      <c r="U46" s="7"/>
      <c r="V46" s="20"/>
      <c r="W46" s="7"/>
      <c r="X46" s="7" t="s">
        <v>784</v>
      </c>
      <c r="Y46" s="7"/>
      <c r="Z46" s="7"/>
      <c r="AA46" s="23" t="n">
        <f aca="false">YEAR(C46)</f>
        <v>2023</v>
      </c>
    </row>
    <row r="47" customFormat="false" ht="15" hidden="false" customHeight="false" outlineLevel="0" collapsed="false">
      <c r="A47" s="7" t="s">
        <v>845</v>
      </c>
      <c r="B47" s="7" t="s">
        <v>137</v>
      </c>
      <c r="C47" s="20" t="n">
        <v>45011</v>
      </c>
      <c r="D47" s="20" t="n">
        <v>45038</v>
      </c>
      <c r="E47" s="20"/>
      <c r="F47" s="7" t="s">
        <v>759</v>
      </c>
      <c r="G47" s="7" t="s">
        <v>153</v>
      </c>
      <c r="H47" s="7" t="s">
        <v>242</v>
      </c>
      <c r="I47" s="7" t="s">
        <v>243</v>
      </c>
      <c r="J47" s="7" t="s">
        <v>229</v>
      </c>
      <c r="K47" s="7" t="s">
        <v>241</v>
      </c>
      <c r="L47" s="7" t="s">
        <v>571</v>
      </c>
      <c r="M47" s="7"/>
      <c r="N47" s="16"/>
      <c r="O47" s="7"/>
      <c r="P47" s="22"/>
      <c r="Q47" s="8" t="n">
        <v>355.59</v>
      </c>
      <c r="R47" s="8" t="n">
        <v>-355.59</v>
      </c>
      <c r="S47" s="7" t="s">
        <v>765</v>
      </c>
      <c r="T47" s="7"/>
      <c r="U47" s="7"/>
      <c r="V47" s="20"/>
      <c r="W47" s="7"/>
      <c r="X47" s="7"/>
      <c r="Y47" s="7"/>
      <c r="Z47" s="7"/>
      <c r="AA47" s="23" t="n">
        <f aca="false">YEAR(C47)</f>
        <v>2023</v>
      </c>
    </row>
    <row r="48" customFormat="false" ht="15" hidden="false" customHeight="false" outlineLevel="0" collapsed="false">
      <c r="A48" s="7" t="s">
        <v>846</v>
      </c>
      <c r="B48" s="7" t="s">
        <v>137</v>
      </c>
      <c r="C48" s="20" t="n">
        <v>45013</v>
      </c>
      <c r="D48" s="20" t="n">
        <v>45043</v>
      </c>
      <c r="E48" s="20"/>
      <c r="F48" s="7" t="s">
        <v>759</v>
      </c>
      <c r="G48" s="7" t="s">
        <v>146</v>
      </c>
      <c r="H48" s="7" t="s">
        <v>264</v>
      </c>
      <c r="I48" s="7" t="s">
        <v>263</v>
      </c>
      <c r="J48" s="7" t="s">
        <v>221</v>
      </c>
      <c r="K48" s="7" t="s">
        <v>263</v>
      </c>
      <c r="L48" s="7" t="s">
        <v>847</v>
      </c>
      <c r="M48" s="7" t="s">
        <v>563</v>
      </c>
      <c r="N48" s="16"/>
      <c r="O48" s="7"/>
      <c r="P48" s="22"/>
      <c r="Q48" s="8" t="n">
        <v>1120</v>
      </c>
      <c r="R48" s="8" t="n">
        <v>-1120</v>
      </c>
      <c r="S48" s="7" t="s">
        <v>751</v>
      </c>
      <c r="T48" s="7"/>
      <c r="U48" s="7" t="s">
        <v>848</v>
      </c>
      <c r="V48" s="20" t="n">
        <v>45043</v>
      </c>
      <c r="W48" s="7"/>
      <c r="X48" s="7"/>
      <c r="Y48" s="7" t="s">
        <v>698</v>
      </c>
      <c r="Z48" s="7"/>
      <c r="AA48" s="23" t="n">
        <f aca="false">YEAR(C48)</f>
        <v>2023</v>
      </c>
    </row>
    <row r="49" customFormat="false" ht="15" hidden="false" customHeight="false" outlineLevel="0" collapsed="false">
      <c r="A49" s="7" t="s">
        <v>849</v>
      </c>
      <c r="B49" s="7" t="s">
        <v>137</v>
      </c>
      <c r="C49" s="20" t="n">
        <v>45015</v>
      </c>
      <c r="D49" s="20" t="n">
        <v>45047</v>
      </c>
      <c r="E49" s="20"/>
      <c r="F49" s="7" t="s">
        <v>759</v>
      </c>
      <c r="G49" s="7" t="s">
        <v>141</v>
      </c>
      <c r="H49" s="7" t="s">
        <v>255</v>
      </c>
      <c r="I49" s="7" t="s">
        <v>256</v>
      </c>
      <c r="J49" s="7" t="s">
        <v>221</v>
      </c>
      <c r="K49" s="7" t="s">
        <v>254</v>
      </c>
      <c r="L49" s="7" t="s">
        <v>850</v>
      </c>
      <c r="M49" s="7" t="s">
        <v>563</v>
      </c>
      <c r="N49" s="16"/>
      <c r="O49" s="7"/>
      <c r="P49" s="22"/>
      <c r="Q49" s="8" t="n">
        <v>7562.5</v>
      </c>
      <c r="R49" s="8" t="n">
        <v>-7562.5</v>
      </c>
      <c r="S49" s="7" t="s">
        <v>751</v>
      </c>
      <c r="T49" s="7"/>
      <c r="U49" s="7" t="s">
        <v>851</v>
      </c>
      <c r="V49" s="20" t="n">
        <v>45045</v>
      </c>
      <c r="W49" s="7"/>
      <c r="X49" s="7"/>
      <c r="Y49" s="7" t="s">
        <v>704</v>
      </c>
      <c r="Z49" s="7"/>
      <c r="AA49" s="23" t="n">
        <f aca="false">YEAR(C49)</f>
        <v>2023</v>
      </c>
    </row>
    <row r="50" customFormat="false" ht="15" hidden="false" customHeight="false" outlineLevel="0" collapsed="false">
      <c r="A50" s="7" t="s">
        <v>852</v>
      </c>
      <c r="B50" s="7" t="s">
        <v>137</v>
      </c>
      <c r="C50" s="20" t="n">
        <v>45016</v>
      </c>
      <c r="D50" s="20" t="n">
        <v>45016</v>
      </c>
      <c r="E50" s="20"/>
      <c r="F50" s="7" t="s">
        <v>759</v>
      </c>
      <c r="G50" s="7" t="s">
        <v>153</v>
      </c>
      <c r="H50" s="7" t="s">
        <v>246</v>
      </c>
      <c r="I50" s="7" t="s">
        <v>247</v>
      </c>
      <c r="J50" s="7" t="s">
        <v>236</v>
      </c>
      <c r="K50" s="7" t="s">
        <v>189</v>
      </c>
      <c r="L50" s="7" t="s">
        <v>853</v>
      </c>
      <c r="M50" s="7" t="s">
        <v>556</v>
      </c>
      <c r="N50" s="16"/>
      <c r="O50" s="7"/>
      <c r="P50" s="22"/>
      <c r="Q50" s="8" t="n">
        <v>509.67</v>
      </c>
      <c r="R50" s="8" t="n">
        <v>-509.67</v>
      </c>
      <c r="S50" s="7" t="s">
        <v>775</v>
      </c>
      <c r="T50" s="7"/>
      <c r="U50" s="7"/>
      <c r="V50" s="20"/>
      <c r="W50" s="7"/>
      <c r="X50" s="7" t="s">
        <v>784</v>
      </c>
      <c r="Y50" s="7"/>
      <c r="Z50" s="7"/>
      <c r="AA50" s="23" t="n">
        <f aca="false">YEAR(C50)</f>
        <v>2023</v>
      </c>
    </row>
    <row r="51" customFormat="false" ht="15" hidden="false" customHeight="false" outlineLevel="0" collapsed="false">
      <c r="A51" s="7" t="s">
        <v>854</v>
      </c>
      <c r="B51" s="7" t="s">
        <v>137</v>
      </c>
      <c r="C51" s="20" t="n">
        <v>45017</v>
      </c>
      <c r="D51" s="20" t="n">
        <v>45017</v>
      </c>
      <c r="E51" s="20"/>
      <c r="F51" s="7" t="s">
        <v>759</v>
      </c>
      <c r="G51" s="7" t="s">
        <v>153</v>
      </c>
      <c r="H51" s="7" t="s">
        <v>545</v>
      </c>
      <c r="I51" s="7" t="s">
        <v>760</v>
      </c>
      <c r="J51" s="7" t="s">
        <v>761</v>
      </c>
      <c r="K51" s="7" t="s">
        <v>762</v>
      </c>
      <c r="L51" s="7" t="s">
        <v>546</v>
      </c>
      <c r="M51" s="7"/>
      <c r="N51" s="16"/>
      <c r="O51" s="7"/>
      <c r="P51" s="22"/>
      <c r="Q51" s="8" t="n">
        <v>4000</v>
      </c>
      <c r="R51" s="8" t="n">
        <v>-4000</v>
      </c>
      <c r="S51" s="7" t="s">
        <v>763</v>
      </c>
      <c r="T51" s="7"/>
      <c r="U51" s="7"/>
      <c r="V51" s="20"/>
      <c r="W51" s="7"/>
      <c r="X51" s="7"/>
      <c r="Y51" s="7"/>
      <c r="Z51" s="7"/>
      <c r="AA51" s="23" t="n">
        <f aca="false">YEAR(C51)</f>
        <v>2023</v>
      </c>
    </row>
    <row r="52" customFormat="false" ht="15" hidden="false" customHeight="false" outlineLevel="0" collapsed="false">
      <c r="A52" s="7" t="s">
        <v>855</v>
      </c>
      <c r="B52" s="7" t="s">
        <v>137</v>
      </c>
      <c r="C52" s="20" t="n">
        <v>45019</v>
      </c>
      <c r="D52" s="20" t="n">
        <v>44917</v>
      </c>
      <c r="E52" s="20"/>
      <c r="F52" s="7" t="s">
        <v>759</v>
      </c>
      <c r="G52" s="7" t="s">
        <v>141</v>
      </c>
      <c r="H52" s="7" t="s">
        <v>255</v>
      </c>
      <c r="I52" s="7" t="s">
        <v>256</v>
      </c>
      <c r="J52" s="7" t="s">
        <v>221</v>
      </c>
      <c r="K52" s="7" t="s">
        <v>254</v>
      </c>
      <c r="L52" s="7" t="s">
        <v>856</v>
      </c>
      <c r="M52" s="7" t="s">
        <v>563</v>
      </c>
      <c r="N52" s="16"/>
      <c r="O52" s="7"/>
      <c r="P52" s="22"/>
      <c r="Q52" s="8" t="n">
        <v>18700</v>
      </c>
      <c r="R52" s="8" t="n">
        <v>-18700</v>
      </c>
      <c r="S52" s="7" t="s">
        <v>33</v>
      </c>
      <c r="T52" s="7"/>
      <c r="U52" s="7"/>
      <c r="V52" s="20"/>
      <c r="W52" s="7"/>
      <c r="X52" s="7"/>
      <c r="Y52" s="7" t="s">
        <v>704</v>
      </c>
      <c r="Z52" s="7"/>
      <c r="AA52" s="23" t="n">
        <f aca="false">YEAR(C52)</f>
        <v>2023</v>
      </c>
    </row>
    <row r="53" customFormat="false" ht="15" hidden="false" customHeight="false" outlineLevel="0" collapsed="false">
      <c r="A53" s="7" t="s">
        <v>857</v>
      </c>
      <c r="B53" s="7" t="s">
        <v>137</v>
      </c>
      <c r="C53" s="20" t="n">
        <v>45020</v>
      </c>
      <c r="D53" s="20" t="n">
        <v>45050</v>
      </c>
      <c r="E53" s="20"/>
      <c r="F53" s="7" t="s">
        <v>759</v>
      </c>
      <c r="G53" s="7" t="s">
        <v>141</v>
      </c>
      <c r="H53" s="7" t="s">
        <v>255</v>
      </c>
      <c r="I53" s="7" t="s">
        <v>256</v>
      </c>
      <c r="J53" s="7" t="s">
        <v>221</v>
      </c>
      <c r="K53" s="7" t="s">
        <v>254</v>
      </c>
      <c r="L53" s="7" t="s">
        <v>850</v>
      </c>
      <c r="M53" s="7" t="s">
        <v>563</v>
      </c>
      <c r="N53" s="16"/>
      <c r="O53" s="7"/>
      <c r="P53" s="22"/>
      <c r="Q53" s="8" t="n">
        <v>2464</v>
      </c>
      <c r="R53" s="8" t="n">
        <v>-2464</v>
      </c>
      <c r="S53" s="7" t="s">
        <v>751</v>
      </c>
      <c r="T53" s="7"/>
      <c r="U53" s="7" t="s">
        <v>858</v>
      </c>
      <c r="V53" s="20" t="n">
        <v>45050</v>
      </c>
      <c r="W53" s="7"/>
      <c r="X53" s="7"/>
      <c r="Y53" s="7" t="s">
        <v>702</v>
      </c>
      <c r="Z53" s="7"/>
      <c r="AA53" s="23" t="n">
        <f aca="false">YEAR(C53)</f>
        <v>2023</v>
      </c>
    </row>
    <row r="54" customFormat="false" ht="15" hidden="false" customHeight="false" outlineLevel="0" collapsed="false">
      <c r="A54" s="7" t="s">
        <v>859</v>
      </c>
      <c r="B54" s="7" t="s">
        <v>137</v>
      </c>
      <c r="C54" s="20" t="n">
        <v>45024</v>
      </c>
      <c r="D54" s="20" t="n">
        <v>45068</v>
      </c>
      <c r="E54" s="20"/>
      <c r="F54" s="7" t="s">
        <v>759</v>
      </c>
      <c r="G54" s="7" t="s">
        <v>153</v>
      </c>
      <c r="H54" s="7" t="s">
        <v>244</v>
      </c>
      <c r="I54" s="7" t="s">
        <v>245</v>
      </c>
      <c r="J54" s="7" t="s">
        <v>229</v>
      </c>
      <c r="K54" s="7" t="s">
        <v>233</v>
      </c>
      <c r="L54" s="7" t="s">
        <v>570</v>
      </c>
      <c r="M54" s="7"/>
      <c r="N54" s="16"/>
      <c r="O54" s="7"/>
      <c r="P54" s="22"/>
      <c r="Q54" s="8" t="n">
        <v>165</v>
      </c>
      <c r="R54" s="8" t="n">
        <v>-165</v>
      </c>
      <c r="S54" s="7" t="s">
        <v>765</v>
      </c>
      <c r="T54" s="7"/>
      <c r="U54" s="7"/>
      <c r="V54" s="20"/>
      <c r="W54" s="7"/>
      <c r="X54" s="7"/>
      <c r="Y54" s="7"/>
      <c r="Z54" s="7"/>
      <c r="AA54" s="23" t="n">
        <f aca="false">YEAR(C54)</f>
        <v>2023</v>
      </c>
    </row>
    <row r="55" customFormat="false" ht="15" hidden="false" customHeight="false" outlineLevel="0" collapsed="false">
      <c r="A55" s="7" t="s">
        <v>860</v>
      </c>
      <c r="B55" s="7" t="s">
        <v>137</v>
      </c>
      <c r="C55" s="20" t="n">
        <v>45026</v>
      </c>
      <c r="D55" s="20" t="n">
        <v>44917</v>
      </c>
      <c r="E55" s="20"/>
      <c r="F55" s="7" t="s">
        <v>759</v>
      </c>
      <c r="G55" s="7" t="s">
        <v>141</v>
      </c>
      <c r="H55" s="7" t="s">
        <v>266</v>
      </c>
      <c r="I55" s="7" t="s">
        <v>265</v>
      </c>
      <c r="J55" s="7" t="s">
        <v>221</v>
      </c>
      <c r="K55" s="7" t="s">
        <v>265</v>
      </c>
      <c r="L55" s="7" t="s">
        <v>861</v>
      </c>
      <c r="M55" s="7" t="s">
        <v>628</v>
      </c>
      <c r="N55" s="16"/>
      <c r="O55" s="7"/>
      <c r="P55" s="22"/>
      <c r="Q55" s="8" t="n">
        <v>14500</v>
      </c>
      <c r="R55" s="8" t="n">
        <v>-14500</v>
      </c>
      <c r="S55" s="7" t="s">
        <v>33</v>
      </c>
      <c r="T55" s="7"/>
      <c r="U55" s="7"/>
      <c r="V55" s="20"/>
      <c r="W55" s="7"/>
      <c r="X55" s="7"/>
      <c r="Y55" s="7" t="s">
        <v>704</v>
      </c>
      <c r="Z55" s="7"/>
      <c r="AA55" s="23" t="n">
        <f aca="false">YEAR(C55)</f>
        <v>2023</v>
      </c>
    </row>
    <row r="56" customFormat="false" ht="15" hidden="false" customHeight="false" outlineLevel="0" collapsed="false">
      <c r="A56" s="7" t="s">
        <v>862</v>
      </c>
      <c r="B56" s="7" t="s">
        <v>137</v>
      </c>
      <c r="C56" s="20" t="n">
        <v>45026</v>
      </c>
      <c r="D56" s="20" t="n">
        <v>45026</v>
      </c>
      <c r="E56" s="20"/>
      <c r="F56" s="7" t="s">
        <v>759</v>
      </c>
      <c r="G56" s="7" t="s">
        <v>153</v>
      </c>
      <c r="H56" s="7" t="s">
        <v>237</v>
      </c>
      <c r="I56" s="7" t="s">
        <v>238</v>
      </c>
      <c r="J56" s="7" t="s">
        <v>236</v>
      </c>
      <c r="K56" s="7" t="s">
        <v>189</v>
      </c>
      <c r="L56" s="7" t="s">
        <v>863</v>
      </c>
      <c r="M56" s="7" t="s">
        <v>768</v>
      </c>
      <c r="N56" s="16"/>
      <c r="O56" s="7"/>
      <c r="P56" s="22"/>
      <c r="Q56" s="8" t="n">
        <v>100.45</v>
      </c>
      <c r="R56" s="8" t="n">
        <v>-100.45</v>
      </c>
      <c r="S56" s="7" t="s">
        <v>744</v>
      </c>
      <c r="T56" s="7"/>
      <c r="U56" s="7"/>
      <c r="V56" s="20"/>
      <c r="W56" s="7"/>
      <c r="X56" s="7" t="s">
        <v>769</v>
      </c>
      <c r="Y56" s="7"/>
      <c r="Z56" s="7"/>
      <c r="AA56" s="23" t="n">
        <f aca="false">YEAR(C56)</f>
        <v>2023</v>
      </c>
    </row>
    <row r="57" customFormat="false" ht="15" hidden="false" customHeight="false" outlineLevel="0" collapsed="false">
      <c r="A57" s="7" t="s">
        <v>864</v>
      </c>
      <c r="B57" s="7" t="s">
        <v>137</v>
      </c>
      <c r="C57" s="20" t="n">
        <v>45026</v>
      </c>
      <c r="D57" s="20" t="n">
        <v>45026</v>
      </c>
      <c r="E57" s="20"/>
      <c r="F57" s="7" t="s">
        <v>759</v>
      </c>
      <c r="G57" s="7" t="s">
        <v>153</v>
      </c>
      <c r="H57" s="7" t="s">
        <v>559</v>
      </c>
      <c r="I57" s="7" t="s">
        <v>771</v>
      </c>
      <c r="J57" s="7" t="s">
        <v>761</v>
      </c>
      <c r="K57" s="7" t="s">
        <v>772</v>
      </c>
      <c r="L57" s="7" t="s">
        <v>865</v>
      </c>
      <c r="M57" s="7" t="s">
        <v>768</v>
      </c>
      <c r="N57" s="16"/>
      <c r="O57" s="7"/>
      <c r="P57" s="22"/>
      <c r="Q57" s="8" t="n">
        <v>744.64</v>
      </c>
      <c r="R57" s="8" t="n">
        <v>-744.64</v>
      </c>
      <c r="S57" s="7" t="s">
        <v>744</v>
      </c>
      <c r="T57" s="7"/>
      <c r="U57" s="7"/>
      <c r="V57" s="20"/>
      <c r="W57" s="7"/>
      <c r="X57" s="7" t="s">
        <v>769</v>
      </c>
      <c r="Y57" s="7"/>
      <c r="Z57" s="7"/>
      <c r="AA57" s="23" t="n">
        <f aca="false">YEAR(C57)</f>
        <v>2023</v>
      </c>
    </row>
    <row r="58" customFormat="false" ht="15" hidden="false" customHeight="false" outlineLevel="0" collapsed="false">
      <c r="A58" s="7" t="s">
        <v>866</v>
      </c>
      <c r="B58" s="7" t="s">
        <v>137</v>
      </c>
      <c r="C58" s="20" t="n">
        <v>45026</v>
      </c>
      <c r="D58" s="20" t="n">
        <v>45026</v>
      </c>
      <c r="E58" s="20"/>
      <c r="F58" s="7" t="s">
        <v>759</v>
      </c>
      <c r="G58" s="7" t="s">
        <v>153</v>
      </c>
      <c r="H58" s="7" t="s">
        <v>561</v>
      </c>
      <c r="I58" s="7" t="s">
        <v>363</v>
      </c>
      <c r="J58" s="7" t="s">
        <v>761</v>
      </c>
      <c r="K58" s="7" t="s">
        <v>772</v>
      </c>
      <c r="L58" s="7" t="s">
        <v>562</v>
      </c>
      <c r="M58" s="7" t="s">
        <v>556</v>
      </c>
      <c r="N58" s="16"/>
      <c r="O58" s="7"/>
      <c r="P58" s="22"/>
      <c r="Q58" s="8" t="n">
        <v>13000</v>
      </c>
      <c r="R58" s="8" t="n">
        <v>13000</v>
      </c>
      <c r="S58" s="7" t="s">
        <v>783</v>
      </c>
      <c r="T58" s="7"/>
      <c r="U58" s="7"/>
      <c r="V58" s="20"/>
      <c r="W58" s="7"/>
      <c r="X58" s="7" t="s">
        <v>784</v>
      </c>
      <c r="Y58" s="7"/>
      <c r="Z58" s="7"/>
      <c r="AA58" s="23" t="n">
        <f aca="false">YEAR(C58)</f>
        <v>2023</v>
      </c>
    </row>
    <row r="59" customFormat="false" ht="15" hidden="false" customHeight="false" outlineLevel="0" collapsed="false">
      <c r="A59" s="7" t="s">
        <v>867</v>
      </c>
      <c r="B59" s="7" t="s">
        <v>137</v>
      </c>
      <c r="C59" s="20" t="n">
        <v>45026</v>
      </c>
      <c r="D59" s="20" t="n">
        <v>45056</v>
      </c>
      <c r="E59" s="20"/>
      <c r="F59" s="7" t="s">
        <v>759</v>
      </c>
      <c r="G59" s="7" t="s">
        <v>141</v>
      </c>
      <c r="H59" s="7" t="s">
        <v>255</v>
      </c>
      <c r="I59" s="7" t="s">
        <v>256</v>
      </c>
      <c r="J59" s="7" t="s">
        <v>221</v>
      </c>
      <c r="K59" s="7" t="s">
        <v>254</v>
      </c>
      <c r="L59" s="7" t="s">
        <v>868</v>
      </c>
      <c r="M59" s="7" t="s">
        <v>563</v>
      </c>
      <c r="N59" s="16" t="n">
        <v>80</v>
      </c>
      <c r="O59" s="7" t="s">
        <v>801</v>
      </c>
      <c r="P59" s="22"/>
      <c r="Q59" s="8" t="n">
        <v>5632</v>
      </c>
      <c r="R59" s="8" t="n">
        <v>-5632</v>
      </c>
      <c r="S59" s="7" t="s">
        <v>751</v>
      </c>
      <c r="T59" s="7"/>
      <c r="U59" s="7" t="s">
        <v>869</v>
      </c>
      <c r="V59" s="20" t="n">
        <v>45056</v>
      </c>
      <c r="W59" s="7"/>
      <c r="X59" s="7"/>
      <c r="Y59" s="7" t="s">
        <v>702</v>
      </c>
      <c r="Z59" s="7"/>
      <c r="AA59" s="23" t="n">
        <f aca="false">YEAR(C59)</f>
        <v>2023</v>
      </c>
    </row>
    <row r="60" customFormat="false" ht="15" hidden="false" customHeight="false" outlineLevel="0" collapsed="false">
      <c r="A60" s="7" t="s">
        <v>870</v>
      </c>
      <c r="B60" s="7" t="s">
        <v>137</v>
      </c>
      <c r="C60" s="20" t="n">
        <v>45028</v>
      </c>
      <c r="D60" s="20" t="n">
        <v>45028</v>
      </c>
      <c r="E60" s="20"/>
      <c r="F60" s="7" t="s">
        <v>759</v>
      </c>
      <c r="G60" s="7" t="s">
        <v>153</v>
      </c>
      <c r="H60" s="7" t="s">
        <v>240</v>
      </c>
      <c r="I60" s="7" t="s">
        <v>239</v>
      </c>
      <c r="J60" s="7" t="s">
        <v>229</v>
      </c>
      <c r="K60" s="7" t="s">
        <v>239</v>
      </c>
      <c r="L60" s="7" t="s">
        <v>548</v>
      </c>
      <c r="M60" s="7" t="s">
        <v>547</v>
      </c>
      <c r="N60" s="16"/>
      <c r="O60" s="7"/>
      <c r="P60" s="22"/>
      <c r="Q60" s="8" t="n">
        <v>237.29</v>
      </c>
      <c r="R60" s="8" t="n">
        <v>-237.29</v>
      </c>
      <c r="S60" s="7" t="s">
        <v>775</v>
      </c>
      <c r="T60" s="7"/>
      <c r="U60" s="7"/>
      <c r="V60" s="20"/>
      <c r="W60" s="7"/>
      <c r="X60" s="7"/>
      <c r="Y60" s="7"/>
      <c r="Z60" s="7"/>
      <c r="AA60" s="23" t="n">
        <f aca="false">YEAR(C60)</f>
        <v>2023</v>
      </c>
    </row>
    <row r="61" customFormat="false" ht="15" hidden="false" customHeight="false" outlineLevel="0" collapsed="false">
      <c r="A61" s="7" t="s">
        <v>871</v>
      </c>
      <c r="B61" s="7" t="s">
        <v>137</v>
      </c>
      <c r="C61" s="20" t="n">
        <v>45028</v>
      </c>
      <c r="D61" s="20" t="n">
        <v>45062</v>
      </c>
      <c r="E61" s="20"/>
      <c r="F61" s="7" t="s">
        <v>759</v>
      </c>
      <c r="G61" s="7" t="s">
        <v>136</v>
      </c>
      <c r="H61" s="7" t="s">
        <v>264</v>
      </c>
      <c r="I61" s="7" t="s">
        <v>263</v>
      </c>
      <c r="J61" s="7" t="s">
        <v>221</v>
      </c>
      <c r="K61" s="7" t="s">
        <v>263</v>
      </c>
      <c r="L61" s="7" t="s">
        <v>872</v>
      </c>
      <c r="M61" s="7" t="s">
        <v>591</v>
      </c>
      <c r="N61" s="16" t="n">
        <v>96</v>
      </c>
      <c r="O61" s="7" t="s">
        <v>801</v>
      </c>
      <c r="P61" s="22" t="n">
        <v>22</v>
      </c>
      <c r="Q61" s="8" t="n">
        <v>2112</v>
      </c>
      <c r="R61" s="8" t="n">
        <v>-2112</v>
      </c>
      <c r="S61" s="7" t="s">
        <v>751</v>
      </c>
      <c r="T61" s="7"/>
      <c r="U61" s="7" t="s">
        <v>873</v>
      </c>
      <c r="V61" s="20" t="n">
        <v>45058</v>
      </c>
      <c r="W61" s="7"/>
      <c r="X61" s="7"/>
      <c r="Y61" s="7" t="s">
        <v>718</v>
      </c>
      <c r="Z61" s="7"/>
      <c r="AA61" s="23" t="n">
        <f aca="false">YEAR(C61)</f>
        <v>2023</v>
      </c>
    </row>
    <row r="62" customFormat="false" ht="15" hidden="false" customHeight="false" outlineLevel="0" collapsed="false">
      <c r="A62" s="7" t="s">
        <v>874</v>
      </c>
      <c r="B62" s="7" t="s">
        <v>137</v>
      </c>
      <c r="C62" s="20" t="n">
        <v>45028</v>
      </c>
      <c r="D62" s="20" t="n">
        <v>45062</v>
      </c>
      <c r="E62" s="20"/>
      <c r="F62" s="7" t="s">
        <v>759</v>
      </c>
      <c r="G62" s="7" t="s">
        <v>136</v>
      </c>
      <c r="H62" s="7" t="s">
        <v>223</v>
      </c>
      <c r="I62" s="7" t="s">
        <v>224</v>
      </c>
      <c r="J62" s="7" t="s">
        <v>221</v>
      </c>
      <c r="K62" s="7" t="s">
        <v>222</v>
      </c>
      <c r="L62" s="7" t="s">
        <v>875</v>
      </c>
      <c r="M62" s="7" t="s">
        <v>589</v>
      </c>
      <c r="N62" s="16" t="n">
        <v>96</v>
      </c>
      <c r="O62" s="7" t="s">
        <v>801</v>
      </c>
      <c r="P62" s="22" t="n">
        <v>9</v>
      </c>
      <c r="Q62" s="8" t="n">
        <v>864</v>
      </c>
      <c r="R62" s="8" t="n">
        <v>-864</v>
      </c>
      <c r="S62" s="7" t="s">
        <v>751</v>
      </c>
      <c r="T62" s="7"/>
      <c r="U62" s="7" t="s">
        <v>876</v>
      </c>
      <c r="V62" s="20" t="n">
        <v>45058</v>
      </c>
      <c r="W62" s="7"/>
      <c r="X62" s="7"/>
      <c r="Y62" s="7" t="s">
        <v>718</v>
      </c>
      <c r="Z62" s="7"/>
      <c r="AA62" s="23" t="n">
        <f aca="false">YEAR(C62)</f>
        <v>2023</v>
      </c>
    </row>
    <row r="63" customFormat="false" ht="15" hidden="false" customHeight="false" outlineLevel="0" collapsed="false">
      <c r="A63" s="7" t="s">
        <v>877</v>
      </c>
      <c r="B63" s="7" t="s">
        <v>137</v>
      </c>
      <c r="C63" s="20" t="n">
        <v>45030</v>
      </c>
      <c r="D63" s="20" t="n">
        <v>45075</v>
      </c>
      <c r="E63" s="20"/>
      <c r="F63" s="7" t="s">
        <v>759</v>
      </c>
      <c r="G63" s="7" t="s">
        <v>141</v>
      </c>
      <c r="H63" s="7" t="s">
        <v>266</v>
      </c>
      <c r="I63" s="7" t="s">
        <v>265</v>
      </c>
      <c r="J63" s="7" t="s">
        <v>221</v>
      </c>
      <c r="K63" s="7" t="s">
        <v>265</v>
      </c>
      <c r="L63" s="7" t="s">
        <v>878</v>
      </c>
      <c r="M63" s="7" t="s">
        <v>628</v>
      </c>
      <c r="N63" s="16" t="n">
        <v>80</v>
      </c>
      <c r="O63" s="7" t="s">
        <v>801</v>
      </c>
      <c r="P63" s="22"/>
      <c r="Q63" s="8" t="n">
        <v>6240</v>
      </c>
      <c r="R63" s="8" t="n">
        <v>-6240</v>
      </c>
      <c r="S63" s="7" t="s">
        <v>751</v>
      </c>
      <c r="T63" s="7"/>
      <c r="U63" s="7" t="s">
        <v>879</v>
      </c>
      <c r="V63" s="20" t="n">
        <v>45075</v>
      </c>
      <c r="W63" s="7"/>
      <c r="X63" s="7"/>
      <c r="Y63" s="7" t="s">
        <v>702</v>
      </c>
      <c r="Z63" s="7"/>
      <c r="AA63" s="23" t="n">
        <f aca="false">YEAR(C63)</f>
        <v>2023</v>
      </c>
    </row>
    <row r="64" customFormat="false" ht="15" hidden="false" customHeight="false" outlineLevel="0" collapsed="false">
      <c r="A64" s="7" t="s">
        <v>880</v>
      </c>
      <c r="B64" s="7" t="s">
        <v>137</v>
      </c>
      <c r="C64" s="20" t="n">
        <v>45031</v>
      </c>
      <c r="D64" s="20" t="n">
        <v>45031</v>
      </c>
      <c r="E64" s="20"/>
      <c r="F64" s="7" t="s">
        <v>759</v>
      </c>
      <c r="G64" s="7" t="s">
        <v>153</v>
      </c>
      <c r="H64" s="7" t="s">
        <v>786</v>
      </c>
      <c r="I64" s="7" t="s">
        <v>787</v>
      </c>
      <c r="J64" s="7" t="s">
        <v>761</v>
      </c>
      <c r="K64" s="7" t="s">
        <v>762</v>
      </c>
      <c r="L64" s="7" t="s">
        <v>788</v>
      </c>
      <c r="M64" s="7"/>
      <c r="N64" s="16"/>
      <c r="O64" s="7"/>
      <c r="P64" s="22"/>
      <c r="Q64" s="8" t="n">
        <v>3000</v>
      </c>
      <c r="R64" s="8" t="n">
        <v>-3000</v>
      </c>
      <c r="S64" s="7" t="s">
        <v>789</v>
      </c>
      <c r="T64" s="7"/>
      <c r="U64" s="7"/>
      <c r="V64" s="20"/>
      <c r="W64" s="7"/>
      <c r="X64" s="7"/>
      <c r="Y64" s="7"/>
      <c r="Z64" s="7"/>
      <c r="AA64" s="23" t="n">
        <f aca="false">YEAR(C64)</f>
        <v>2023</v>
      </c>
    </row>
    <row r="65" customFormat="false" ht="15" hidden="false" customHeight="false" outlineLevel="0" collapsed="false">
      <c r="A65" s="7" t="s">
        <v>881</v>
      </c>
      <c r="B65" s="7" t="s">
        <v>137</v>
      </c>
      <c r="C65" s="20" t="n">
        <v>45035</v>
      </c>
      <c r="D65" s="20" t="n">
        <v>45065</v>
      </c>
      <c r="E65" s="20"/>
      <c r="F65" s="7" t="s">
        <v>759</v>
      </c>
      <c r="G65" s="7" t="s">
        <v>141</v>
      </c>
      <c r="H65" s="7" t="s">
        <v>268</v>
      </c>
      <c r="I65" s="7" t="s">
        <v>269</v>
      </c>
      <c r="J65" s="7" t="s">
        <v>221</v>
      </c>
      <c r="K65" s="7" t="s">
        <v>267</v>
      </c>
      <c r="L65" s="7" t="s">
        <v>882</v>
      </c>
      <c r="M65" s="7" t="s">
        <v>563</v>
      </c>
      <c r="N65" s="16"/>
      <c r="O65" s="7"/>
      <c r="P65" s="22"/>
      <c r="Q65" s="8" t="n">
        <v>1244.25</v>
      </c>
      <c r="R65" s="8" t="n">
        <v>-1244.25</v>
      </c>
      <c r="S65" s="7" t="s">
        <v>751</v>
      </c>
      <c r="T65" s="7"/>
      <c r="U65" s="7" t="s">
        <v>883</v>
      </c>
      <c r="V65" s="20" t="n">
        <v>45065</v>
      </c>
      <c r="W65" s="7"/>
      <c r="X65" s="7"/>
      <c r="Y65" s="7" t="s">
        <v>704</v>
      </c>
      <c r="Z65" s="7"/>
      <c r="AA65" s="23" t="n">
        <f aca="false">YEAR(C65)</f>
        <v>2023</v>
      </c>
    </row>
    <row r="66" customFormat="false" ht="15" hidden="false" customHeight="false" outlineLevel="0" collapsed="false">
      <c r="A66" s="7" t="s">
        <v>884</v>
      </c>
      <c r="B66" s="7" t="s">
        <v>137</v>
      </c>
      <c r="C66" s="20" t="n">
        <v>45037</v>
      </c>
      <c r="D66" s="20" t="n">
        <v>45068</v>
      </c>
      <c r="E66" s="20"/>
      <c r="F66" s="7" t="s">
        <v>759</v>
      </c>
      <c r="G66" s="7" t="s">
        <v>141</v>
      </c>
      <c r="H66" s="7" t="s">
        <v>264</v>
      </c>
      <c r="I66" s="7" t="s">
        <v>263</v>
      </c>
      <c r="J66" s="7" t="s">
        <v>221</v>
      </c>
      <c r="K66" s="7" t="s">
        <v>263</v>
      </c>
      <c r="L66" s="7" t="s">
        <v>885</v>
      </c>
      <c r="M66" s="7" t="s">
        <v>563</v>
      </c>
      <c r="N66" s="16"/>
      <c r="O66" s="7"/>
      <c r="P66" s="22"/>
      <c r="Q66" s="8" t="n">
        <v>3987.5</v>
      </c>
      <c r="R66" s="8" t="n">
        <v>-3987.5</v>
      </c>
      <c r="S66" s="7" t="s">
        <v>751</v>
      </c>
      <c r="T66" s="7"/>
      <c r="U66" s="7" t="s">
        <v>886</v>
      </c>
      <c r="V66" s="20" t="n">
        <v>45067</v>
      </c>
      <c r="W66" s="7"/>
      <c r="X66" s="7"/>
      <c r="Y66" s="7" t="s">
        <v>704</v>
      </c>
      <c r="Z66" s="7"/>
      <c r="AA66" s="23" t="n">
        <f aca="false">YEAR(C66)</f>
        <v>2023</v>
      </c>
    </row>
    <row r="67" customFormat="false" ht="15" hidden="false" customHeight="false" outlineLevel="0" collapsed="false">
      <c r="A67" s="7" t="s">
        <v>887</v>
      </c>
      <c r="B67" s="7" t="s">
        <v>137</v>
      </c>
      <c r="C67" s="20" t="n">
        <v>45038</v>
      </c>
      <c r="D67" s="20" t="n">
        <v>45068</v>
      </c>
      <c r="E67" s="20"/>
      <c r="F67" s="7" t="s">
        <v>759</v>
      </c>
      <c r="G67" s="7" t="s">
        <v>153</v>
      </c>
      <c r="H67" s="7" t="s">
        <v>234</v>
      </c>
      <c r="I67" s="7" t="s">
        <v>235</v>
      </c>
      <c r="J67" s="7" t="s">
        <v>229</v>
      </c>
      <c r="K67" s="7" t="s">
        <v>233</v>
      </c>
      <c r="L67" s="7" t="s">
        <v>888</v>
      </c>
      <c r="M67" s="7"/>
      <c r="N67" s="16"/>
      <c r="O67" s="7"/>
      <c r="P67" s="22"/>
      <c r="Q67" s="8" t="n">
        <v>480</v>
      </c>
      <c r="R67" s="8" t="n">
        <v>-480</v>
      </c>
      <c r="S67" s="7" t="s">
        <v>765</v>
      </c>
      <c r="T67" s="7"/>
      <c r="U67" s="7"/>
      <c r="V67" s="20"/>
      <c r="W67" s="7"/>
      <c r="X67" s="7"/>
      <c r="Y67" s="7"/>
      <c r="Z67" s="7"/>
      <c r="AA67" s="23" t="n">
        <f aca="false">YEAR(C67)</f>
        <v>2023</v>
      </c>
    </row>
    <row r="68" customFormat="false" ht="15" hidden="false" customHeight="false" outlineLevel="0" collapsed="false">
      <c r="A68" s="7" t="s">
        <v>889</v>
      </c>
      <c r="B68" s="7" t="s">
        <v>137</v>
      </c>
      <c r="C68" s="20" t="n">
        <v>45040</v>
      </c>
      <c r="D68" s="20" t="n">
        <v>45070</v>
      </c>
      <c r="E68" s="20"/>
      <c r="F68" s="7" t="s">
        <v>759</v>
      </c>
      <c r="G68" s="7" t="s">
        <v>141</v>
      </c>
      <c r="H68" s="7" t="s">
        <v>268</v>
      </c>
      <c r="I68" s="7" t="s">
        <v>269</v>
      </c>
      <c r="J68" s="7" t="s">
        <v>221</v>
      </c>
      <c r="K68" s="7" t="s">
        <v>267</v>
      </c>
      <c r="L68" s="7" t="s">
        <v>882</v>
      </c>
      <c r="M68" s="7" t="s">
        <v>563</v>
      </c>
      <c r="N68" s="16"/>
      <c r="O68" s="7"/>
      <c r="P68" s="22"/>
      <c r="Q68" s="8" t="n">
        <v>796.32</v>
      </c>
      <c r="R68" s="8" t="n">
        <v>-796.32</v>
      </c>
      <c r="S68" s="7" t="s">
        <v>751</v>
      </c>
      <c r="T68" s="7"/>
      <c r="U68" s="7" t="s">
        <v>890</v>
      </c>
      <c r="V68" s="20" t="n">
        <v>45070</v>
      </c>
      <c r="W68" s="7"/>
      <c r="X68" s="7"/>
      <c r="Y68" s="7" t="s">
        <v>702</v>
      </c>
      <c r="Z68" s="7"/>
      <c r="AA68" s="23" t="n">
        <f aca="false">YEAR(C68)</f>
        <v>2023</v>
      </c>
    </row>
    <row r="69" customFormat="false" ht="15" hidden="false" customHeight="false" outlineLevel="0" collapsed="false">
      <c r="A69" s="7" t="s">
        <v>891</v>
      </c>
      <c r="B69" s="7" t="s">
        <v>137</v>
      </c>
      <c r="C69" s="20" t="n">
        <v>45041</v>
      </c>
      <c r="D69" s="20" t="n">
        <v>45075</v>
      </c>
      <c r="E69" s="20"/>
      <c r="F69" s="7" t="s">
        <v>759</v>
      </c>
      <c r="G69" s="7" t="s">
        <v>136</v>
      </c>
      <c r="H69" s="7" t="s">
        <v>255</v>
      </c>
      <c r="I69" s="7" t="s">
        <v>256</v>
      </c>
      <c r="J69" s="7" t="s">
        <v>221</v>
      </c>
      <c r="K69" s="7" t="s">
        <v>254</v>
      </c>
      <c r="L69" s="7" t="s">
        <v>892</v>
      </c>
      <c r="M69" s="7" t="s">
        <v>591</v>
      </c>
      <c r="N69" s="16" t="n">
        <v>96</v>
      </c>
      <c r="O69" s="7" t="s">
        <v>801</v>
      </c>
      <c r="P69" s="22" t="n">
        <v>44.3</v>
      </c>
      <c r="Q69" s="8" t="n">
        <v>4252.8</v>
      </c>
      <c r="R69" s="8" t="n">
        <v>-4252.8</v>
      </c>
      <c r="S69" s="7" t="s">
        <v>751</v>
      </c>
      <c r="T69" s="7"/>
      <c r="U69" s="7" t="s">
        <v>893</v>
      </c>
      <c r="V69" s="20" t="n">
        <v>45071</v>
      </c>
      <c r="W69" s="7"/>
      <c r="X69" s="7"/>
      <c r="Y69" s="7" t="s">
        <v>718</v>
      </c>
      <c r="Z69" s="7"/>
      <c r="AA69" s="23" t="n">
        <f aca="false">YEAR(C69)</f>
        <v>2023</v>
      </c>
    </row>
    <row r="70" customFormat="false" ht="15" hidden="false" customHeight="false" outlineLevel="0" collapsed="false">
      <c r="A70" s="7" t="s">
        <v>894</v>
      </c>
      <c r="B70" s="7" t="s">
        <v>137</v>
      </c>
      <c r="C70" s="20" t="n">
        <v>45042</v>
      </c>
      <c r="D70" s="20" t="n">
        <v>45068</v>
      </c>
      <c r="E70" s="20"/>
      <c r="F70" s="7" t="s">
        <v>759</v>
      </c>
      <c r="G70" s="7" t="s">
        <v>153</v>
      </c>
      <c r="H70" s="7" t="s">
        <v>242</v>
      </c>
      <c r="I70" s="7" t="s">
        <v>243</v>
      </c>
      <c r="J70" s="7" t="s">
        <v>229</v>
      </c>
      <c r="K70" s="7" t="s">
        <v>241</v>
      </c>
      <c r="L70" s="7" t="s">
        <v>571</v>
      </c>
      <c r="M70" s="7"/>
      <c r="N70" s="16"/>
      <c r="O70" s="7"/>
      <c r="P70" s="22"/>
      <c r="Q70" s="8" t="n">
        <v>290.65</v>
      </c>
      <c r="R70" s="8" t="n">
        <v>-290.65</v>
      </c>
      <c r="S70" s="7" t="s">
        <v>765</v>
      </c>
      <c r="T70" s="7"/>
      <c r="U70" s="7"/>
      <c r="V70" s="20"/>
      <c r="W70" s="7"/>
      <c r="X70" s="7"/>
      <c r="Y70" s="7"/>
      <c r="Z70" s="7"/>
      <c r="AA70" s="23" t="n">
        <f aca="false">YEAR(C70)</f>
        <v>2023</v>
      </c>
    </row>
    <row r="71" customFormat="false" ht="15" hidden="false" customHeight="false" outlineLevel="0" collapsed="false">
      <c r="A71" s="7" t="s">
        <v>895</v>
      </c>
      <c r="B71" s="7" t="s">
        <v>137</v>
      </c>
      <c r="C71" s="20" t="n">
        <v>45042</v>
      </c>
      <c r="D71" s="20" t="n">
        <v>45072</v>
      </c>
      <c r="E71" s="20"/>
      <c r="F71" s="7" t="s">
        <v>759</v>
      </c>
      <c r="G71" s="7" t="s">
        <v>141</v>
      </c>
      <c r="H71" s="7" t="s">
        <v>264</v>
      </c>
      <c r="I71" s="7" t="s">
        <v>263</v>
      </c>
      <c r="J71" s="7" t="s">
        <v>221</v>
      </c>
      <c r="K71" s="7" t="s">
        <v>263</v>
      </c>
      <c r="L71" s="7" t="s">
        <v>885</v>
      </c>
      <c r="M71" s="7" t="s">
        <v>563</v>
      </c>
      <c r="N71" s="16"/>
      <c r="O71" s="7"/>
      <c r="P71" s="22"/>
      <c r="Q71" s="8" t="n">
        <v>2200</v>
      </c>
      <c r="R71" s="8" t="n">
        <v>-2200</v>
      </c>
      <c r="S71" s="7" t="s">
        <v>751</v>
      </c>
      <c r="T71" s="7"/>
      <c r="U71" s="7" t="s">
        <v>896</v>
      </c>
      <c r="V71" s="20" t="n">
        <v>45072</v>
      </c>
      <c r="W71" s="7"/>
      <c r="X71" s="7"/>
      <c r="Y71" s="7" t="s">
        <v>702</v>
      </c>
      <c r="Z71" s="7"/>
      <c r="AA71" s="23" t="n">
        <f aca="false">YEAR(C71)</f>
        <v>2023</v>
      </c>
    </row>
    <row r="72" customFormat="false" ht="15" hidden="false" customHeight="false" outlineLevel="0" collapsed="false">
      <c r="A72" s="7" t="s">
        <v>897</v>
      </c>
      <c r="B72" s="7" t="s">
        <v>137</v>
      </c>
      <c r="C72" s="20" t="n">
        <v>45046</v>
      </c>
      <c r="D72" s="20" t="n">
        <v>45046</v>
      </c>
      <c r="E72" s="20"/>
      <c r="F72" s="7" t="s">
        <v>759</v>
      </c>
      <c r="G72" s="7" t="s">
        <v>153</v>
      </c>
      <c r="H72" s="7" t="s">
        <v>246</v>
      </c>
      <c r="I72" s="7" t="s">
        <v>247</v>
      </c>
      <c r="J72" s="7" t="s">
        <v>236</v>
      </c>
      <c r="K72" s="7" t="s">
        <v>189</v>
      </c>
      <c r="L72" s="7" t="s">
        <v>853</v>
      </c>
      <c r="M72" s="7" t="s">
        <v>556</v>
      </c>
      <c r="N72" s="16"/>
      <c r="O72" s="7"/>
      <c r="P72" s="22"/>
      <c r="Q72" s="8" t="n">
        <v>607.32</v>
      </c>
      <c r="R72" s="8" t="n">
        <v>-607.32</v>
      </c>
      <c r="S72" s="7" t="s">
        <v>775</v>
      </c>
      <c r="T72" s="7"/>
      <c r="U72" s="7"/>
      <c r="V72" s="20"/>
      <c r="W72" s="7"/>
      <c r="X72" s="7" t="s">
        <v>784</v>
      </c>
      <c r="Y72" s="7"/>
      <c r="Z72" s="7"/>
      <c r="AA72" s="23" t="n">
        <f aca="false">YEAR(C72)</f>
        <v>2023</v>
      </c>
    </row>
    <row r="73" customFormat="false" ht="15" hidden="false" customHeight="false" outlineLevel="0" collapsed="false">
      <c r="A73" s="7" t="s">
        <v>898</v>
      </c>
      <c r="B73" s="7" t="s">
        <v>137</v>
      </c>
      <c r="C73" s="20" t="n">
        <v>45047</v>
      </c>
      <c r="D73" s="20" t="n">
        <v>45047</v>
      </c>
      <c r="E73" s="20"/>
      <c r="F73" s="7" t="s">
        <v>759</v>
      </c>
      <c r="G73" s="7" t="s">
        <v>153</v>
      </c>
      <c r="H73" s="7" t="s">
        <v>561</v>
      </c>
      <c r="I73" s="7" t="s">
        <v>363</v>
      </c>
      <c r="J73" s="7" t="s">
        <v>761</v>
      </c>
      <c r="K73" s="7" t="s">
        <v>772</v>
      </c>
      <c r="L73" s="7" t="s">
        <v>562</v>
      </c>
      <c r="M73" s="7" t="s">
        <v>556</v>
      </c>
      <c r="N73" s="16"/>
      <c r="O73" s="7"/>
      <c r="P73" s="22"/>
      <c r="Q73" s="8" t="n">
        <v>14000</v>
      </c>
      <c r="R73" s="8" t="n">
        <v>14000</v>
      </c>
      <c r="S73" s="7" t="s">
        <v>783</v>
      </c>
      <c r="T73" s="7"/>
      <c r="U73" s="7"/>
      <c r="V73" s="20"/>
      <c r="W73" s="7"/>
      <c r="X73" s="7" t="s">
        <v>784</v>
      </c>
      <c r="Y73" s="7"/>
      <c r="Z73" s="7"/>
      <c r="AA73" s="23" t="n">
        <f aca="false">YEAR(C73)</f>
        <v>2023</v>
      </c>
    </row>
    <row r="74" customFormat="false" ht="15" hidden="false" customHeight="false" outlineLevel="0" collapsed="false">
      <c r="A74" s="7" t="s">
        <v>899</v>
      </c>
      <c r="B74" s="7" t="s">
        <v>137</v>
      </c>
      <c r="C74" s="20" t="n">
        <v>45047</v>
      </c>
      <c r="D74" s="20" t="n">
        <v>45047</v>
      </c>
      <c r="E74" s="20"/>
      <c r="F74" s="7" t="s">
        <v>759</v>
      </c>
      <c r="G74" s="7" t="s">
        <v>153</v>
      </c>
      <c r="H74" s="7" t="s">
        <v>545</v>
      </c>
      <c r="I74" s="7" t="s">
        <v>760</v>
      </c>
      <c r="J74" s="7" t="s">
        <v>761</v>
      </c>
      <c r="K74" s="7" t="s">
        <v>762</v>
      </c>
      <c r="L74" s="7" t="s">
        <v>546</v>
      </c>
      <c r="M74" s="7"/>
      <c r="N74" s="16"/>
      <c r="O74" s="7"/>
      <c r="P74" s="22"/>
      <c r="Q74" s="8" t="n">
        <v>4000</v>
      </c>
      <c r="R74" s="8" t="n">
        <v>-4000</v>
      </c>
      <c r="S74" s="7" t="s">
        <v>763</v>
      </c>
      <c r="T74" s="7"/>
      <c r="U74" s="7"/>
      <c r="V74" s="20"/>
      <c r="W74" s="7"/>
      <c r="X74" s="7"/>
      <c r="Y74" s="7"/>
      <c r="Z74" s="7"/>
      <c r="AA74" s="23" t="n">
        <f aca="false">YEAR(C74)</f>
        <v>2023</v>
      </c>
    </row>
    <row r="75" customFormat="false" ht="15" hidden="false" customHeight="false" outlineLevel="0" collapsed="false">
      <c r="A75" s="7" t="s">
        <v>900</v>
      </c>
      <c r="B75" s="7" t="s">
        <v>137</v>
      </c>
      <c r="C75" s="20" t="n">
        <v>45054</v>
      </c>
      <c r="D75" s="20" t="n">
        <v>45099</v>
      </c>
      <c r="E75" s="20"/>
      <c r="F75" s="7" t="s">
        <v>759</v>
      </c>
      <c r="G75" s="7" t="s">
        <v>153</v>
      </c>
      <c r="H75" s="7" t="s">
        <v>244</v>
      </c>
      <c r="I75" s="7" t="s">
        <v>245</v>
      </c>
      <c r="J75" s="7" t="s">
        <v>229</v>
      </c>
      <c r="K75" s="7" t="s">
        <v>233</v>
      </c>
      <c r="L75" s="7" t="s">
        <v>570</v>
      </c>
      <c r="M75" s="7"/>
      <c r="N75" s="16"/>
      <c r="O75" s="7"/>
      <c r="P75" s="22"/>
      <c r="Q75" s="8" t="n">
        <v>165</v>
      </c>
      <c r="R75" s="8" t="n">
        <v>-165</v>
      </c>
      <c r="S75" s="7" t="s">
        <v>765</v>
      </c>
      <c r="T75" s="7"/>
      <c r="U75" s="7"/>
      <c r="V75" s="20"/>
      <c r="W75" s="7"/>
      <c r="X75" s="7"/>
      <c r="Y75" s="7"/>
      <c r="Z75" s="7"/>
      <c r="AA75" s="23" t="n">
        <f aca="false">YEAR(C75)</f>
        <v>2023</v>
      </c>
    </row>
    <row r="76" customFormat="false" ht="15" hidden="false" customHeight="false" outlineLevel="0" collapsed="false">
      <c r="A76" s="7" t="s">
        <v>901</v>
      </c>
      <c r="B76" s="7" t="s">
        <v>137</v>
      </c>
      <c r="C76" s="20" t="n">
        <v>45056</v>
      </c>
      <c r="D76" s="20" t="n">
        <v>45056</v>
      </c>
      <c r="E76" s="20"/>
      <c r="F76" s="7" t="s">
        <v>759</v>
      </c>
      <c r="G76" s="7" t="s">
        <v>153</v>
      </c>
      <c r="H76" s="7" t="s">
        <v>237</v>
      </c>
      <c r="I76" s="7" t="s">
        <v>238</v>
      </c>
      <c r="J76" s="7" t="s">
        <v>236</v>
      </c>
      <c r="K76" s="7" t="s">
        <v>189</v>
      </c>
      <c r="L76" s="7" t="s">
        <v>902</v>
      </c>
      <c r="M76" s="7" t="s">
        <v>768</v>
      </c>
      <c r="N76" s="16"/>
      <c r="O76" s="7"/>
      <c r="P76" s="22"/>
      <c r="Q76" s="8" t="n">
        <v>98.03</v>
      </c>
      <c r="R76" s="8" t="n">
        <v>-98.03</v>
      </c>
      <c r="S76" s="7" t="s">
        <v>744</v>
      </c>
      <c r="T76" s="7"/>
      <c r="U76" s="7"/>
      <c r="V76" s="20"/>
      <c r="W76" s="7"/>
      <c r="X76" s="7" t="s">
        <v>769</v>
      </c>
      <c r="Y76" s="7"/>
      <c r="Z76" s="7"/>
      <c r="AA76" s="23" t="n">
        <f aca="false">YEAR(C76)</f>
        <v>2023</v>
      </c>
    </row>
    <row r="77" customFormat="false" ht="15" hidden="false" customHeight="false" outlineLevel="0" collapsed="false">
      <c r="A77" s="7" t="s">
        <v>903</v>
      </c>
      <c r="B77" s="7" t="s">
        <v>137</v>
      </c>
      <c r="C77" s="20" t="n">
        <v>45056</v>
      </c>
      <c r="D77" s="20" t="n">
        <v>45056</v>
      </c>
      <c r="E77" s="20"/>
      <c r="F77" s="7" t="s">
        <v>759</v>
      </c>
      <c r="G77" s="7" t="s">
        <v>153</v>
      </c>
      <c r="H77" s="7" t="s">
        <v>559</v>
      </c>
      <c r="I77" s="7" t="s">
        <v>771</v>
      </c>
      <c r="J77" s="7" t="s">
        <v>761</v>
      </c>
      <c r="K77" s="7" t="s">
        <v>772</v>
      </c>
      <c r="L77" s="7" t="s">
        <v>904</v>
      </c>
      <c r="M77" s="7" t="s">
        <v>768</v>
      </c>
      <c r="N77" s="16"/>
      <c r="O77" s="7"/>
      <c r="P77" s="22"/>
      <c r="Q77" s="8" t="n">
        <v>747.06</v>
      </c>
      <c r="R77" s="8" t="n">
        <v>-747.06</v>
      </c>
      <c r="S77" s="7" t="s">
        <v>744</v>
      </c>
      <c r="T77" s="7"/>
      <c r="U77" s="7"/>
      <c r="V77" s="20"/>
      <c r="W77" s="7"/>
      <c r="X77" s="7" t="s">
        <v>769</v>
      </c>
      <c r="Y77" s="7"/>
      <c r="Z77" s="7"/>
      <c r="AA77" s="23" t="n">
        <f aca="false">YEAR(C77)</f>
        <v>2023</v>
      </c>
    </row>
    <row r="78" customFormat="false" ht="15" hidden="false" customHeight="false" outlineLevel="0" collapsed="false">
      <c r="A78" s="7" t="s">
        <v>905</v>
      </c>
      <c r="B78" s="7" t="s">
        <v>137</v>
      </c>
      <c r="C78" s="20" t="n">
        <v>45058</v>
      </c>
      <c r="D78" s="20" t="n">
        <v>45058</v>
      </c>
      <c r="E78" s="20"/>
      <c r="F78" s="7" t="s">
        <v>759</v>
      </c>
      <c r="G78" s="7" t="s">
        <v>149</v>
      </c>
      <c r="H78" s="7" t="s">
        <v>271</v>
      </c>
      <c r="I78" s="7" t="s">
        <v>272</v>
      </c>
      <c r="J78" s="7" t="s">
        <v>221</v>
      </c>
      <c r="K78" s="7" t="s">
        <v>270</v>
      </c>
      <c r="L78" s="7" t="s">
        <v>906</v>
      </c>
      <c r="M78" s="7" t="s">
        <v>541</v>
      </c>
      <c r="N78" s="16"/>
      <c r="O78" s="7"/>
      <c r="P78" s="22"/>
      <c r="Q78" s="8" t="n">
        <v>644.47</v>
      </c>
      <c r="R78" s="8" t="n">
        <v>-644.47</v>
      </c>
      <c r="S78" s="7" t="s">
        <v>744</v>
      </c>
      <c r="T78" s="7"/>
      <c r="U78" s="7"/>
      <c r="V78" s="20"/>
      <c r="W78" s="7"/>
      <c r="X78" s="7"/>
      <c r="Y78" s="7"/>
      <c r="Z78" s="7"/>
      <c r="AA78" s="23" t="n">
        <f aca="false">YEAR(C78)</f>
        <v>2023</v>
      </c>
    </row>
    <row r="79" customFormat="false" ht="15" hidden="false" customHeight="false" outlineLevel="0" collapsed="false">
      <c r="A79" s="7" t="s">
        <v>907</v>
      </c>
      <c r="B79" s="7" t="s">
        <v>137</v>
      </c>
      <c r="C79" s="20" t="n">
        <v>45058</v>
      </c>
      <c r="D79" s="20" t="n">
        <v>45058</v>
      </c>
      <c r="E79" s="20"/>
      <c r="F79" s="7" t="s">
        <v>759</v>
      </c>
      <c r="G79" s="7" t="s">
        <v>153</v>
      </c>
      <c r="H79" s="7" t="s">
        <v>271</v>
      </c>
      <c r="I79" s="7" t="s">
        <v>272</v>
      </c>
      <c r="J79" s="7" t="s">
        <v>221</v>
      </c>
      <c r="K79" s="7" t="s">
        <v>270</v>
      </c>
      <c r="L79" s="7" t="s">
        <v>544</v>
      </c>
      <c r="M79" s="7" t="s">
        <v>541</v>
      </c>
      <c r="N79" s="16"/>
      <c r="O79" s="7"/>
      <c r="P79" s="22"/>
      <c r="Q79" s="8" t="n">
        <v>429.65</v>
      </c>
      <c r="R79" s="8" t="n">
        <v>-429.65</v>
      </c>
      <c r="S79" s="7" t="s">
        <v>744</v>
      </c>
      <c r="T79" s="7"/>
      <c r="U79" s="7"/>
      <c r="V79" s="20"/>
      <c r="W79" s="7"/>
      <c r="X79" s="7"/>
      <c r="Y79" s="7"/>
      <c r="Z79" s="7"/>
      <c r="AA79" s="23" t="n">
        <f aca="false">YEAR(C79)</f>
        <v>2023</v>
      </c>
    </row>
    <row r="80" customFormat="false" ht="15" hidden="false" customHeight="false" outlineLevel="0" collapsed="false">
      <c r="A80" s="7" t="s">
        <v>908</v>
      </c>
      <c r="B80" s="7" t="s">
        <v>137</v>
      </c>
      <c r="C80" s="20" t="n">
        <v>45058</v>
      </c>
      <c r="D80" s="20" t="n">
        <v>45058</v>
      </c>
      <c r="E80" s="20"/>
      <c r="F80" s="7" t="s">
        <v>759</v>
      </c>
      <c r="G80" s="7" t="s">
        <v>153</v>
      </c>
      <c r="H80" s="7" t="s">
        <v>240</v>
      </c>
      <c r="I80" s="7" t="s">
        <v>239</v>
      </c>
      <c r="J80" s="7" t="s">
        <v>229</v>
      </c>
      <c r="K80" s="7" t="s">
        <v>239</v>
      </c>
      <c r="L80" s="7" t="s">
        <v>548</v>
      </c>
      <c r="M80" s="7" t="s">
        <v>547</v>
      </c>
      <c r="N80" s="16"/>
      <c r="O80" s="7"/>
      <c r="P80" s="22"/>
      <c r="Q80" s="8" t="n">
        <v>247.2</v>
      </c>
      <c r="R80" s="8" t="n">
        <v>-247.2</v>
      </c>
      <c r="S80" s="7" t="s">
        <v>775</v>
      </c>
      <c r="T80" s="7"/>
      <c r="U80" s="7"/>
      <c r="V80" s="20"/>
      <c r="W80" s="7"/>
      <c r="X80" s="7"/>
      <c r="Y80" s="7"/>
      <c r="Z80" s="7"/>
      <c r="AA80" s="23" t="n">
        <f aca="false">YEAR(C80)</f>
        <v>2023</v>
      </c>
    </row>
    <row r="81" customFormat="false" ht="15" hidden="false" customHeight="false" outlineLevel="0" collapsed="false">
      <c r="A81" s="7" t="s">
        <v>909</v>
      </c>
      <c r="B81" s="7" t="s">
        <v>137</v>
      </c>
      <c r="C81" s="20" t="n">
        <v>45058</v>
      </c>
      <c r="D81" s="20" t="n">
        <v>45058</v>
      </c>
      <c r="E81" s="20"/>
      <c r="F81" s="7" t="s">
        <v>759</v>
      </c>
      <c r="G81" s="7" t="s">
        <v>153</v>
      </c>
      <c r="H81" s="7" t="s">
        <v>561</v>
      </c>
      <c r="I81" s="7" t="s">
        <v>363</v>
      </c>
      <c r="J81" s="7" t="s">
        <v>761</v>
      </c>
      <c r="K81" s="7" t="s">
        <v>772</v>
      </c>
      <c r="L81" s="7" t="s">
        <v>562</v>
      </c>
      <c r="M81" s="7" t="s">
        <v>556</v>
      </c>
      <c r="N81" s="16"/>
      <c r="O81" s="7"/>
      <c r="P81" s="22"/>
      <c r="Q81" s="8" t="n">
        <v>13000</v>
      </c>
      <c r="R81" s="8" t="n">
        <v>13000</v>
      </c>
      <c r="S81" s="7" t="s">
        <v>783</v>
      </c>
      <c r="T81" s="7"/>
      <c r="U81" s="7"/>
      <c r="V81" s="20"/>
      <c r="W81" s="7"/>
      <c r="X81" s="7" t="s">
        <v>784</v>
      </c>
      <c r="Y81" s="7"/>
      <c r="Z81" s="7"/>
      <c r="AA81" s="23" t="n">
        <f aca="false">YEAR(C81)</f>
        <v>2023</v>
      </c>
    </row>
    <row r="82" customFormat="false" ht="15" hidden="false" customHeight="false" outlineLevel="0" collapsed="false">
      <c r="A82" s="7" t="s">
        <v>910</v>
      </c>
      <c r="B82" s="7" t="s">
        <v>137</v>
      </c>
      <c r="C82" s="20" t="n">
        <v>45058</v>
      </c>
      <c r="D82" s="20" t="n">
        <v>45092</v>
      </c>
      <c r="E82" s="20"/>
      <c r="F82" s="7" t="s">
        <v>759</v>
      </c>
      <c r="G82" s="7" t="s">
        <v>149</v>
      </c>
      <c r="H82" s="7" t="s">
        <v>273</v>
      </c>
      <c r="I82" s="7" t="s">
        <v>274</v>
      </c>
      <c r="J82" s="7" t="s">
        <v>221</v>
      </c>
      <c r="K82" s="7" t="s">
        <v>270</v>
      </c>
      <c r="L82" s="7" t="s">
        <v>554</v>
      </c>
      <c r="M82" s="7" t="s">
        <v>541</v>
      </c>
      <c r="N82" s="16"/>
      <c r="O82" s="7"/>
      <c r="P82" s="22"/>
      <c r="Q82" s="8" t="n">
        <v>94.52</v>
      </c>
      <c r="R82" s="8" t="n">
        <v>-94.52</v>
      </c>
      <c r="S82" s="7" t="s">
        <v>789</v>
      </c>
      <c r="T82" s="7"/>
      <c r="U82" s="7"/>
      <c r="V82" s="20"/>
      <c r="W82" s="7"/>
      <c r="X82" s="7"/>
      <c r="Y82" s="7"/>
      <c r="Z82" s="7"/>
      <c r="AA82" s="23" t="n">
        <f aca="false">YEAR(C82)</f>
        <v>2023</v>
      </c>
    </row>
    <row r="83" customFormat="false" ht="15" hidden="false" customHeight="false" outlineLevel="0" collapsed="false">
      <c r="A83" s="7" t="s">
        <v>911</v>
      </c>
      <c r="B83" s="7" t="s">
        <v>137</v>
      </c>
      <c r="C83" s="20" t="n">
        <v>45064</v>
      </c>
      <c r="D83" s="20" t="n">
        <v>45098</v>
      </c>
      <c r="E83" s="20"/>
      <c r="F83" s="7" t="s">
        <v>759</v>
      </c>
      <c r="G83" s="7" t="s">
        <v>136</v>
      </c>
      <c r="H83" s="7" t="s">
        <v>266</v>
      </c>
      <c r="I83" s="7" t="s">
        <v>265</v>
      </c>
      <c r="J83" s="7" t="s">
        <v>221</v>
      </c>
      <c r="K83" s="7" t="s">
        <v>265</v>
      </c>
      <c r="L83" s="7" t="s">
        <v>912</v>
      </c>
      <c r="M83" s="7" t="s">
        <v>591</v>
      </c>
      <c r="N83" s="16" t="n">
        <v>96</v>
      </c>
      <c r="O83" s="7" t="s">
        <v>801</v>
      </c>
      <c r="P83" s="22" t="n">
        <v>82</v>
      </c>
      <c r="Q83" s="8" t="n">
        <v>7872</v>
      </c>
      <c r="R83" s="8" t="n">
        <v>-7872</v>
      </c>
      <c r="S83" s="7" t="s">
        <v>751</v>
      </c>
      <c r="T83" s="7"/>
      <c r="U83" s="7" t="s">
        <v>913</v>
      </c>
      <c r="V83" s="20" t="n">
        <v>45094</v>
      </c>
      <c r="W83" s="7"/>
      <c r="X83" s="7"/>
      <c r="Y83" s="7" t="s">
        <v>718</v>
      </c>
      <c r="Z83" s="7"/>
      <c r="AA83" s="23" t="n">
        <f aca="false">YEAR(C83)</f>
        <v>2023</v>
      </c>
    </row>
    <row r="84" customFormat="false" ht="15" hidden="false" customHeight="false" outlineLevel="0" collapsed="false">
      <c r="A84" s="7" t="s">
        <v>914</v>
      </c>
      <c r="B84" s="7" t="s">
        <v>137</v>
      </c>
      <c r="C84" s="20" t="n">
        <v>45064</v>
      </c>
      <c r="D84" s="20" t="n">
        <v>45098</v>
      </c>
      <c r="E84" s="20"/>
      <c r="F84" s="7" t="s">
        <v>759</v>
      </c>
      <c r="G84" s="7" t="s">
        <v>136</v>
      </c>
      <c r="H84" s="7" t="s">
        <v>223</v>
      </c>
      <c r="I84" s="7" t="s">
        <v>224</v>
      </c>
      <c r="J84" s="7" t="s">
        <v>221</v>
      </c>
      <c r="K84" s="7" t="s">
        <v>222</v>
      </c>
      <c r="L84" s="7" t="s">
        <v>915</v>
      </c>
      <c r="M84" s="7" t="s">
        <v>589</v>
      </c>
      <c r="N84" s="16" t="n">
        <v>96</v>
      </c>
      <c r="O84" s="7" t="s">
        <v>801</v>
      </c>
      <c r="P84" s="22" t="n">
        <v>24</v>
      </c>
      <c r="Q84" s="8" t="n">
        <v>2304</v>
      </c>
      <c r="R84" s="8" t="n">
        <v>-2304</v>
      </c>
      <c r="S84" s="7" t="s">
        <v>751</v>
      </c>
      <c r="T84" s="7"/>
      <c r="U84" s="7" t="s">
        <v>916</v>
      </c>
      <c r="V84" s="20" t="n">
        <v>45094</v>
      </c>
      <c r="W84" s="7"/>
      <c r="X84" s="7"/>
      <c r="Y84" s="7" t="s">
        <v>718</v>
      </c>
      <c r="Z84" s="7"/>
      <c r="AA84" s="23" t="n">
        <f aca="false">YEAR(C84)</f>
        <v>2023</v>
      </c>
    </row>
    <row r="85" customFormat="false" ht="15" hidden="false" customHeight="false" outlineLevel="0" collapsed="false">
      <c r="A85" s="7" t="s">
        <v>917</v>
      </c>
      <c r="B85" s="7" t="s">
        <v>137</v>
      </c>
      <c r="C85" s="20" t="n">
        <v>45066</v>
      </c>
      <c r="D85" s="20" t="n">
        <v>45100</v>
      </c>
      <c r="E85" s="20"/>
      <c r="F85" s="7" t="s">
        <v>759</v>
      </c>
      <c r="G85" s="7" t="s">
        <v>136</v>
      </c>
      <c r="H85" s="7" t="s">
        <v>264</v>
      </c>
      <c r="I85" s="7" t="s">
        <v>263</v>
      </c>
      <c r="J85" s="7" t="s">
        <v>221</v>
      </c>
      <c r="K85" s="7" t="s">
        <v>263</v>
      </c>
      <c r="L85" s="7" t="s">
        <v>918</v>
      </c>
      <c r="M85" s="7" t="s">
        <v>591</v>
      </c>
      <c r="N85" s="16" t="n">
        <v>96</v>
      </c>
      <c r="O85" s="7" t="s">
        <v>801</v>
      </c>
      <c r="P85" s="22" t="n">
        <v>18</v>
      </c>
      <c r="Q85" s="8" t="n">
        <v>1728</v>
      </c>
      <c r="R85" s="8" t="n">
        <v>-1728</v>
      </c>
      <c r="S85" s="7" t="s">
        <v>751</v>
      </c>
      <c r="T85" s="7"/>
      <c r="U85" s="7" t="s">
        <v>919</v>
      </c>
      <c r="V85" s="20" t="n">
        <v>45096</v>
      </c>
      <c r="W85" s="7"/>
      <c r="X85" s="7"/>
      <c r="Y85" s="7" t="s">
        <v>718</v>
      </c>
      <c r="Z85" s="7"/>
      <c r="AA85" s="23" t="n">
        <f aca="false">YEAR(C85)</f>
        <v>2023</v>
      </c>
    </row>
    <row r="86" customFormat="false" ht="15" hidden="false" customHeight="false" outlineLevel="0" collapsed="false">
      <c r="A86" s="7" t="s">
        <v>920</v>
      </c>
      <c r="B86" s="7" t="s">
        <v>137</v>
      </c>
      <c r="C86" s="20" t="n">
        <v>45072</v>
      </c>
      <c r="D86" s="20" t="n">
        <v>45072</v>
      </c>
      <c r="E86" s="20"/>
      <c r="F86" s="7" t="s">
        <v>759</v>
      </c>
      <c r="G86" s="7" t="s">
        <v>149</v>
      </c>
      <c r="H86" s="7" t="s">
        <v>271</v>
      </c>
      <c r="I86" s="7" t="s">
        <v>272</v>
      </c>
      <c r="J86" s="7" t="s">
        <v>221</v>
      </c>
      <c r="K86" s="7" t="s">
        <v>270</v>
      </c>
      <c r="L86" s="7" t="s">
        <v>921</v>
      </c>
      <c r="M86" s="7" t="s">
        <v>541</v>
      </c>
      <c r="N86" s="16"/>
      <c r="O86" s="7"/>
      <c r="P86" s="22"/>
      <c r="Q86" s="8" t="n">
        <v>674.29</v>
      </c>
      <c r="R86" s="8" t="n">
        <v>-674.29</v>
      </c>
      <c r="S86" s="7" t="s">
        <v>744</v>
      </c>
      <c r="T86" s="7"/>
      <c r="U86" s="7"/>
      <c r="V86" s="20"/>
      <c r="W86" s="7"/>
      <c r="X86" s="7"/>
      <c r="Y86" s="7"/>
      <c r="Z86" s="7"/>
      <c r="AA86" s="23" t="n">
        <f aca="false">YEAR(C86)</f>
        <v>2023</v>
      </c>
    </row>
    <row r="87" customFormat="false" ht="15" hidden="false" customHeight="false" outlineLevel="0" collapsed="false">
      <c r="A87" s="7" t="s">
        <v>922</v>
      </c>
      <c r="B87" s="7" t="s">
        <v>137</v>
      </c>
      <c r="C87" s="20" t="n">
        <v>45072</v>
      </c>
      <c r="D87" s="20" t="n">
        <v>45072</v>
      </c>
      <c r="E87" s="20"/>
      <c r="F87" s="7" t="s">
        <v>759</v>
      </c>
      <c r="G87" s="7" t="s">
        <v>153</v>
      </c>
      <c r="H87" s="7" t="s">
        <v>271</v>
      </c>
      <c r="I87" s="7" t="s">
        <v>272</v>
      </c>
      <c r="J87" s="7" t="s">
        <v>221</v>
      </c>
      <c r="K87" s="7" t="s">
        <v>270</v>
      </c>
      <c r="L87" s="7" t="s">
        <v>544</v>
      </c>
      <c r="M87" s="7" t="s">
        <v>541</v>
      </c>
      <c r="N87" s="16"/>
      <c r="O87" s="7"/>
      <c r="P87" s="22"/>
      <c r="Q87" s="8" t="n">
        <v>449.52</v>
      </c>
      <c r="R87" s="8" t="n">
        <v>-449.52</v>
      </c>
      <c r="S87" s="7" t="s">
        <v>744</v>
      </c>
      <c r="T87" s="7"/>
      <c r="U87" s="7"/>
      <c r="V87" s="20"/>
      <c r="W87" s="7"/>
      <c r="X87" s="7"/>
      <c r="Y87" s="7"/>
      <c r="Z87" s="7"/>
      <c r="AA87" s="23" t="n">
        <f aca="false">YEAR(C87)</f>
        <v>2023</v>
      </c>
    </row>
    <row r="88" customFormat="false" ht="15" hidden="false" customHeight="false" outlineLevel="0" collapsed="false">
      <c r="A88" s="7" t="s">
        <v>923</v>
      </c>
      <c r="B88" s="7" t="s">
        <v>137</v>
      </c>
      <c r="C88" s="20" t="n">
        <v>45072</v>
      </c>
      <c r="D88" s="20" t="n">
        <v>45072</v>
      </c>
      <c r="E88" s="20"/>
      <c r="F88" s="7" t="s">
        <v>759</v>
      </c>
      <c r="G88" s="7" t="s">
        <v>153</v>
      </c>
      <c r="H88" s="7" t="s">
        <v>561</v>
      </c>
      <c r="I88" s="7" t="s">
        <v>363</v>
      </c>
      <c r="J88" s="7" t="s">
        <v>761</v>
      </c>
      <c r="K88" s="7" t="s">
        <v>772</v>
      </c>
      <c r="L88" s="7" t="s">
        <v>562</v>
      </c>
      <c r="M88" s="7" t="s">
        <v>556</v>
      </c>
      <c r="N88" s="16"/>
      <c r="O88" s="7"/>
      <c r="P88" s="22"/>
      <c r="Q88" s="8" t="n">
        <v>13000</v>
      </c>
      <c r="R88" s="8" t="n">
        <v>13000</v>
      </c>
      <c r="S88" s="7" t="s">
        <v>783</v>
      </c>
      <c r="T88" s="7"/>
      <c r="U88" s="7"/>
      <c r="V88" s="20"/>
      <c r="W88" s="7"/>
      <c r="X88" s="7" t="s">
        <v>784</v>
      </c>
      <c r="Y88" s="7"/>
      <c r="Z88" s="7"/>
      <c r="AA88" s="23" t="n">
        <f aca="false">YEAR(C88)</f>
        <v>2023</v>
      </c>
    </row>
    <row r="89" customFormat="false" ht="15" hidden="false" customHeight="false" outlineLevel="0" collapsed="false">
      <c r="A89" s="7" t="s">
        <v>924</v>
      </c>
      <c r="B89" s="7" t="s">
        <v>137</v>
      </c>
      <c r="C89" s="20" t="n">
        <v>45072</v>
      </c>
      <c r="D89" s="20" t="n">
        <v>45092</v>
      </c>
      <c r="E89" s="20"/>
      <c r="F89" s="7" t="s">
        <v>759</v>
      </c>
      <c r="G89" s="7" t="s">
        <v>149</v>
      </c>
      <c r="H89" s="7" t="s">
        <v>273</v>
      </c>
      <c r="I89" s="7" t="s">
        <v>274</v>
      </c>
      <c r="J89" s="7" t="s">
        <v>221</v>
      </c>
      <c r="K89" s="7" t="s">
        <v>270</v>
      </c>
      <c r="L89" s="7" t="s">
        <v>554</v>
      </c>
      <c r="M89" s="7" t="s">
        <v>541</v>
      </c>
      <c r="N89" s="16"/>
      <c r="O89" s="7"/>
      <c r="P89" s="22"/>
      <c r="Q89" s="8" t="n">
        <v>98.9</v>
      </c>
      <c r="R89" s="8" t="n">
        <v>-98.9</v>
      </c>
      <c r="S89" s="7" t="s">
        <v>789</v>
      </c>
      <c r="T89" s="7"/>
      <c r="U89" s="7"/>
      <c r="V89" s="20"/>
      <c r="W89" s="7"/>
      <c r="X89" s="7"/>
      <c r="Y89" s="7"/>
      <c r="Z89" s="7"/>
      <c r="AA89" s="23" t="n">
        <f aca="false">YEAR(C89)</f>
        <v>2023</v>
      </c>
    </row>
    <row r="90" customFormat="false" ht="15" hidden="false" customHeight="false" outlineLevel="0" collapsed="false">
      <c r="A90" s="7" t="s">
        <v>925</v>
      </c>
      <c r="B90" s="7" t="s">
        <v>137</v>
      </c>
      <c r="C90" s="20" t="n">
        <v>45072</v>
      </c>
      <c r="D90" s="20" t="n">
        <v>45099</v>
      </c>
      <c r="E90" s="20"/>
      <c r="F90" s="7" t="s">
        <v>759</v>
      </c>
      <c r="G90" s="7" t="s">
        <v>153</v>
      </c>
      <c r="H90" s="7" t="s">
        <v>242</v>
      </c>
      <c r="I90" s="7" t="s">
        <v>243</v>
      </c>
      <c r="J90" s="7" t="s">
        <v>229</v>
      </c>
      <c r="K90" s="7" t="s">
        <v>241</v>
      </c>
      <c r="L90" s="7" t="s">
        <v>571</v>
      </c>
      <c r="M90" s="7"/>
      <c r="N90" s="16"/>
      <c r="O90" s="7"/>
      <c r="P90" s="22"/>
      <c r="Q90" s="8" t="n">
        <v>287.8</v>
      </c>
      <c r="R90" s="8" t="n">
        <v>-287.8</v>
      </c>
      <c r="S90" s="7" t="s">
        <v>765</v>
      </c>
      <c r="T90" s="7"/>
      <c r="U90" s="7"/>
      <c r="V90" s="20"/>
      <c r="W90" s="7"/>
      <c r="X90" s="7"/>
      <c r="Y90" s="7"/>
      <c r="Z90" s="7"/>
      <c r="AA90" s="23" t="n">
        <f aca="false">YEAR(C90)</f>
        <v>2023</v>
      </c>
    </row>
    <row r="91" customFormat="false" ht="15" hidden="false" customHeight="false" outlineLevel="0" collapsed="false">
      <c r="A91" s="7" t="s">
        <v>926</v>
      </c>
      <c r="B91" s="7" t="s">
        <v>137</v>
      </c>
      <c r="C91" s="20" t="n">
        <v>45075</v>
      </c>
      <c r="D91" s="20" t="n">
        <v>45105</v>
      </c>
      <c r="E91" s="20"/>
      <c r="F91" s="7" t="s">
        <v>759</v>
      </c>
      <c r="G91" s="7" t="s">
        <v>141</v>
      </c>
      <c r="H91" s="7" t="s">
        <v>264</v>
      </c>
      <c r="I91" s="7" t="s">
        <v>263</v>
      </c>
      <c r="J91" s="7" t="s">
        <v>221</v>
      </c>
      <c r="K91" s="7" t="s">
        <v>263</v>
      </c>
      <c r="L91" s="7" t="s">
        <v>927</v>
      </c>
      <c r="M91" s="7" t="s">
        <v>563</v>
      </c>
      <c r="N91" s="16"/>
      <c r="O91" s="7"/>
      <c r="P91" s="22"/>
      <c r="Q91" s="8" t="n">
        <v>3262.5</v>
      </c>
      <c r="R91" s="8" t="n">
        <v>-3262.5</v>
      </c>
      <c r="S91" s="7" t="s">
        <v>751</v>
      </c>
      <c r="T91" s="7"/>
      <c r="U91" s="7" t="s">
        <v>928</v>
      </c>
      <c r="V91" s="20" t="n">
        <v>45105</v>
      </c>
      <c r="W91" s="7"/>
      <c r="X91" s="7"/>
      <c r="Y91" s="7" t="s">
        <v>704</v>
      </c>
      <c r="Z91" s="7"/>
      <c r="AA91" s="23" t="n">
        <f aca="false">YEAR(C91)</f>
        <v>2023</v>
      </c>
    </row>
    <row r="92" customFormat="false" ht="15" hidden="false" customHeight="false" outlineLevel="0" collapsed="false">
      <c r="A92" s="7" t="s">
        <v>929</v>
      </c>
      <c r="B92" s="7" t="s">
        <v>137</v>
      </c>
      <c r="C92" s="20" t="n">
        <v>45077</v>
      </c>
      <c r="D92" s="20" t="n">
        <v>45077</v>
      </c>
      <c r="E92" s="20"/>
      <c r="F92" s="7" t="s">
        <v>759</v>
      </c>
      <c r="G92" s="7" t="s">
        <v>153</v>
      </c>
      <c r="H92" s="7" t="s">
        <v>246</v>
      </c>
      <c r="I92" s="7" t="s">
        <v>247</v>
      </c>
      <c r="J92" s="7" t="s">
        <v>236</v>
      </c>
      <c r="K92" s="7" t="s">
        <v>189</v>
      </c>
      <c r="L92" s="7" t="s">
        <v>930</v>
      </c>
      <c r="M92" s="7" t="s">
        <v>556</v>
      </c>
      <c r="N92" s="16"/>
      <c r="O92" s="7"/>
      <c r="P92" s="22"/>
      <c r="Q92" s="8" t="n">
        <v>871.27</v>
      </c>
      <c r="R92" s="8" t="n">
        <v>-871.27</v>
      </c>
      <c r="S92" s="7" t="s">
        <v>775</v>
      </c>
      <c r="T92" s="7"/>
      <c r="U92" s="7"/>
      <c r="V92" s="20"/>
      <c r="W92" s="7"/>
      <c r="X92" s="7" t="s">
        <v>784</v>
      </c>
      <c r="Y92" s="7"/>
      <c r="Z92" s="7"/>
      <c r="AA92" s="23" t="n">
        <f aca="false">YEAR(C92)</f>
        <v>2023</v>
      </c>
    </row>
    <row r="93" customFormat="false" ht="15" hidden="false" customHeight="false" outlineLevel="0" collapsed="false">
      <c r="A93" s="7" t="s">
        <v>931</v>
      </c>
      <c r="B93" s="7" t="s">
        <v>137</v>
      </c>
      <c r="C93" s="20" t="n">
        <v>45078</v>
      </c>
      <c r="D93" s="20" t="n">
        <v>45078</v>
      </c>
      <c r="E93" s="20"/>
      <c r="F93" s="7" t="s">
        <v>759</v>
      </c>
      <c r="G93" s="7" t="s">
        <v>153</v>
      </c>
      <c r="H93" s="7" t="s">
        <v>561</v>
      </c>
      <c r="I93" s="7" t="s">
        <v>363</v>
      </c>
      <c r="J93" s="7" t="s">
        <v>761</v>
      </c>
      <c r="K93" s="7" t="s">
        <v>772</v>
      </c>
      <c r="L93" s="7" t="s">
        <v>562</v>
      </c>
      <c r="M93" s="7" t="s">
        <v>556</v>
      </c>
      <c r="N93" s="16"/>
      <c r="O93" s="7"/>
      <c r="P93" s="22"/>
      <c r="Q93" s="8" t="n">
        <v>16000</v>
      </c>
      <c r="R93" s="8" t="n">
        <v>16000</v>
      </c>
      <c r="S93" s="7" t="s">
        <v>783</v>
      </c>
      <c r="T93" s="7"/>
      <c r="U93" s="7"/>
      <c r="V93" s="20"/>
      <c r="W93" s="7"/>
      <c r="X93" s="7" t="s">
        <v>784</v>
      </c>
      <c r="Y93" s="7"/>
      <c r="Z93" s="7"/>
      <c r="AA93" s="23" t="n">
        <f aca="false">YEAR(C93)</f>
        <v>2023</v>
      </c>
    </row>
    <row r="94" customFormat="false" ht="15" hidden="false" customHeight="false" outlineLevel="0" collapsed="false">
      <c r="A94" s="7" t="s">
        <v>932</v>
      </c>
      <c r="B94" s="7" t="s">
        <v>137</v>
      </c>
      <c r="C94" s="20" t="n">
        <v>45078</v>
      </c>
      <c r="D94" s="20" t="n">
        <v>45078</v>
      </c>
      <c r="E94" s="20"/>
      <c r="F94" s="7" t="s">
        <v>759</v>
      </c>
      <c r="G94" s="7" t="s">
        <v>153</v>
      </c>
      <c r="H94" s="7" t="s">
        <v>545</v>
      </c>
      <c r="I94" s="7" t="s">
        <v>760</v>
      </c>
      <c r="J94" s="7" t="s">
        <v>761</v>
      </c>
      <c r="K94" s="7" t="s">
        <v>762</v>
      </c>
      <c r="L94" s="7" t="s">
        <v>546</v>
      </c>
      <c r="M94" s="7"/>
      <c r="N94" s="16"/>
      <c r="O94" s="7"/>
      <c r="P94" s="22"/>
      <c r="Q94" s="8" t="n">
        <v>4000</v>
      </c>
      <c r="R94" s="8" t="n">
        <v>-4000</v>
      </c>
      <c r="S94" s="7" t="s">
        <v>763</v>
      </c>
      <c r="T94" s="7"/>
      <c r="U94" s="7"/>
      <c r="V94" s="20"/>
      <c r="W94" s="7"/>
      <c r="X94" s="7"/>
      <c r="Y94" s="7"/>
      <c r="Z94" s="7"/>
      <c r="AA94" s="23" t="n">
        <f aca="false">YEAR(C94)</f>
        <v>2023</v>
      </c>
    </row>
    <row r="95" customFormat="false" ht="15" hidden="false" customHeight="false" outlineLevel="0" collapsed="false">
      <c r="A95" s="7" t="s">
        <v>933</v>
      </c>
      <c r="B95" s="7" t="s">
        <v>137</v>
      </c>
      <c r="C95" s="20" t="n">
        <v>45080</v>
      </c>
      <c r="D95" s="20" t="n">
        <v>45110</v>
      </c>
      <c r="E95" s="20"/>
      <c r="F95" s="7" t="s">
        <v>759</v>
      </c>
      <c r="G95" s="7" t="s">
        <v>141</v>
      </c>
      <c r="H95" s="7" t="s">
        <v>264</v>
      </c>
      <c r="I95" s="7" t="s">
        <v>263</v>
      </c>
      <c r="J95" s="7" t="s">
        <v>221</v>
      </c>
      <c r="K95" s="7" t="s">
        <v>263</v>
      </c>
      <c r="L95" s="7" t="s">
        <v>927</v>
      </c>
      <c r="M95" s="7" t="s">
        <v>563</v>
      </c>
      <c r="N95" s="16"/>
      <c r="O95" s="7"/>
      <c r="P95" s="22"/>
      <c r="Q95" s="8" t="n">
        <v>1800</v>
      </c>
      <c r="R95" s="8" t="n">
        <v>-1800</v>
      </c>
      <c r="S95" s="7" t="s">
        <v>751</v>
      </c>
      <c r="T95" s="7"/>
      <c r="U95" s="7" t="s">
        <v>934</v>
      </c>
      <c r="V95" s="20" t="n">
        <v>45110</v>
      </c>
      <c r="W95" s="7"/>
      <c r="X95" s="7"/>
      <c r="Y95" s="7" t="s">
        <v>702</v>
      </c>
      <c r="Z95" s="7"/>
      <c r="AA95" s="23" t="n">
        <f aca="false">YEAR(C95)</f>
        <v>2023</v>
      </c>
    </row>
    <row r="96" customFormat="false" ht="15" hidden="false" customHeight="false" outlineLevel="0" collapsed="false">
      <c r="A96" s="7" t="s">
        <v>935</v>
      </c>
      <c r="B96" s="7" t="s">
        <v>137</v>
      </c>
      <c r="C96" s="20" t="n">
        <v>45083</v>
      </c>
      <c r="D96" s="20" t="n">
        <v>45113</v>
      </c>
      <c r="E96" s="20"/>
      <c r="F96" s="7" t="s">
        <v>759</v>
      </c>
      <c r="G96" s="7" t="s">
        <v>149</v>
      </c>
      <c r="H96" s="7" t="s">
        <v>261</v>
      </c>
      <c r="I96" s="7" t="s">
        <v>262</v>
      </c>
      <c r="J96" s="7" t="s">
        <v>221</v>
      </c>
      <c r="K96" s="7" t="s">
        <v>260</v>
      </c>
      <c r="L96" s="7" t="s">
        <v>936</v>
      </c>
      <c r="M96" s="7" t="s">
        <v>538</v>
      </c>
      <c r="N96" s="16"/>
      <c r="O96" s="7"/>
      <c r="P96" s="22"/>
      <c r="Q96" s="8" t="n">
        <v>5576</v>
      </c>
      <c r="R96" s="8" t="n">
        <v>-5576</v>
      </c>
      <c r="S96" s="7" t="s">
        <v>751</v>
      </c>
      <c r="T96" s="7"/>
      <c r="U96" s="7" t="s">
        <v>937</v>
      </c>
      <c r="V96" s="20" t="n">
        <v>45113</v>
      </c>
      <c r="W96" s="7" t="s">
        <v>938</v>
      </c>
      <c r="X96" s="7"/>
      <c r="Y96" s="7"/>
      <c r="Z96" s="7"/>
      <c r="AA96" s="23" t="n">
        <f aca="false">YEAR(C96)</f>
        <v>2023</v>
      </c>
    </row>
    <row r="97" customFormat="false" ht="15" hidden="false" customHeight="false" outlineLevel="0" collapsed="false">
      <c r="A97" s="7" t="s">
        <v>939</v>
      </c>
      <c r="B97" s="7" t="s">
        <v>137</v>
      </c>
      <c r="C97" s="20" t="n">
        <v>45085</v>
      </c>
      <c r="D97" s="20" t="n">
        <v>45129</v>
      </c>
      <c r="E97" s="20"/>
      <c r="F97" s="7" t="s">
        <v>759</v>
      </c>
      <c r="G97" s="7" t="s">
        <v>153</v>
      </c>
      <c r="H97" s="7" t="s">
        <v>244</v>
      </c>
      <c r="I97" s="7" t="s">
        <v>245</v>
      </c>
      <c r="J97" s="7" t="s">
        <v>229</v>
      </c>
      <c r="K97" s="7" t="s">
        <v>233</v>
      </c>
      <c r="L97" s="7" t="s">
        <v>570</v>
      </c>
      <c r="M97" s="7"/>
      <c r="N97" s="16"/>
      <c r="O97" s="7"/>
      <c r="P97" s="22"/>
      <c r="Q97" s="8" t="n">
        <v>165</v>
      </c>
      <c r="R97" s="8" t="n">
        <v>-165</v>
      </c>
      <c r="S97" s="7" t="s">
        <v>765</v>
      </c>
      <c r="T97" s="7"/>
      <c r="U97" s="7"/>
      <c r="V97" s="20"/>
      <c r="W97" s="7"/>
      <c r="X97" s="7"/>
      <c r="Y97" s="7"/>
      <c r="Z97" s="7"/>
      <c r="AA97" s="23" t="n">
        <f aca="false">YEAR(C97)</f>
        <v>2023</v>
      </c>
    </row>
    <row r="98" customFormat="false" ht="15" hidden="false" customHeight="false" outlineLevel="0" collapsed="false">
      <c r="A98" s="7" t="s">
        <v>940</v>
      </c>
      <c r="B98" s="7" t="s">
        <v>137</v>
      </c>
      <c r="C98" s="20" t="n">
        <v>45086</v>
      </c>
      <c r="D98" s="20" t="n">
        <v>45086</v>
      </c>
      <c r="E98" s="20"/>
      <c r="F98" s="7" t="s">
        <v>759</v>
      </c>
      <c r="G98" s="7" t="s">
        <v>149</v>
      </c>
      <c r="H98" s="7" t="s">
        <v>271</v>
      </c>
      <c r="I98" s="7" t="s">
        <v>272</v>
      </c>
      <c r="J98" s="7" t="s">
        <v>221</v>
      </c>
      <c r="K98" s="7" t="s">
        <v>270</v>
      </c>
      <c r="L98" s="7" t="s">
        <v>941</v>
      </c>
      <c r="M98" s="7" t="s">
        <v>541</v>
      </c>
      <c r="N98" s="16"/>
      <c r="O98" s="7"/>
      <c r="P98" s="22"/>
      <c r="Q98" s="8" t="n">
        <v>711.65</v>
      </c>
      <c r="R98" s="8" t="n">
        <v>-711.65</v>
      </c>
      <c r="S98" s="7" t="s">
        <v>744</v>
      </c>
      <c r="T98" s="7"/>
      <c r="U98" s="7"/>
      <c r="V98" s="20"/>
      <c r="W98" s="7"/>
      <c r="X98" s="7"/>
      <c r="Y98" s="7"/>
      <c r="Z98" s="7"/>
      <c r="AA98" s="23" t="n">
        <f aca="false">YEAR(C98)</f>
        <v>2023</v>
      </c>
    </row>
    <row r="99" customFormat="false" ht="15" hidden="false" customHeight="false" outlineLevel="0" collapsed="false">
      <c r="A99" s="7" t="s">
        <v>942</v>
      </c>
      <c r="B99" s="7" t="s">
        <v>137</v>
      </c>
      <c r="C99" s="20" t="n">
        <v>45086</v>
      </c>
      <c r="D99" s="20" t="n">
        <v>45086</v>
      </c>
      <c r="E99" s="20"/>
      <c r="F99" s="7" t="s">
        <v>759</v>
      </c>
      <c r="G99" s="7" t="s">
        <v>153</v>
      </c>
      <c r="H99" s="7" t="s">
        <v>271</v>
      </c>
      <c r="I99" s="7" t="s">
        <v>272</v>
      </c>
      <c r="J99" s="7" t="s">
        <v>221</v>
      </c>
      <c r="K99" s="7" t="s">
        <v>270</v>
      </c>
      <c r="L99" s="7" t="s">
        <v>544</v>
      </c>
      <c r="M99" s="7" t="s">
        <v>541</v>
      </c>
      <c r="N99" s="16"/>
      <c r="O99" s="7"/>
      <c r="P99" s="22"/>
      <c r="Q99" s="8" t="n">
        <v>474.43</v>
      </c>
      <c r="R99" s="8" t="n">
        <v>-474.43</v>
      </c>
      <c r="S99" s="7" t="s">
        <v>744</v>
      </c>
      <c r="T99" s="7"/>
      <c r="U99" s="7"/>
      <c r="V99" s="20"/>
      <c r="W99" s="7"/>
      <c r="X99" s="7"/>
      <c r="Y99" s="7"/>
      <c r="Z99" s="7"/>
      <c r="AA99" s="23" t="n">
        <f aca="false">YEAR(C99)</f>
        <v>2023</v>
      </c>
    </row>
    <row r="100" customFormat="false" ht="15" hidden="false" customHeight="false" outlineLevel="0" collapsed="false">
      <c r="A100" s="7" t="s">
        <v>943</v>
      </c>
      <c r="B100" s="7" t="s">
        <v>137</v>
      </c>
      <c r="C100" s="20" t="n">
        <v>45086</v>
      </c>
      <c r="D100" s="20" t="n">
        <v>45122</v>
      </c>
      <c r="E100" s="20"/>
      <c r="F100" s="7" t="s">
        <v>759</v>
      </c>
      <c r="G100" s="7" t="s">
        <v>149</v>
      </c>
      <c r="H100" s="7" t="s">
        <v>273</v>
      </c>
      <c r="I100" s="7" t="s">
        <v>274</v>
      </c>
      <c r="J100" s="7" t="s">
        <v>221</v>
      </c>
      <c r="K100" s="7" t="s">
        <v>270</v>
      </c>
      <c r="L100" s="7" t="s">
        <v>554</v>
      </c>
      <c r="M100" s="7" t="s">
        <v>541</v>
      </c>
      <c r="N100" s="16"/>
      <c r="O100" s="7"/>
      <c r="P100" s="22"/>
      <c r="Q100" s="8" t="n">
        <v>104.38</v>
      </c>
      <c r="R100" s="8" t="n">
        <v>-104.38</v>
      </c>
      <c r="S100" s="7" t="s">
        <v>789</v>
      </c>
      <c r="T100" s="7"/>
      <c r="U100" s="7"/>
      <c r="V100" s="20"/>
      <c r="W100" s="7"/>
      <c r="X100" s="7"/>
      <c r="Y100" s="7"/>
      <c r="Z100" s="7"/>
      <c r="AA100" s="23" t="n">
        <f aca="false">YEAR(C100)</f>
        <v>2023</v>
      </c>
    </row>
    <row r="101" customFormat="false" ht="15" hidden="false" customHeight="false" outlineLevel="0" collapsed="false">
      <c r="A101" s="7" t="s">
        <v>944</v>
      </c>
      <c r="B101" s="7" t="s">
        <v>137</v>
      </c>
      <c r="C101" s="20" t="n">
        <v>45087</v>
      </c>
      <c r="D101" s="20" t="n">
        <v>45087</v>
      </c>
      <c r="E101" s="20"/>
      <c r="F101" s="7" t="s">
        <v>759</v>
      </c>
      <c r="G101" s="7" t="s">
        <v>153</v>
      </c>
      <c r="H101" s="7" t="s">
        <v>237</v>
      </c>
      <c r="I101" s="7" t="s">
        <v>238</v>
      </c>
      <c r="J101" s="7" t="s">
        <v>236</v>
      </c>
      <c r="K101" s="7" t="s">
        <v>189</v>
      </c>
      <c r="L101" s="7" t="s">
        <v>945</v>
      </c>
      <c r="M101" s="7" t="s">
        <v>768</v>
      </c>
      <c r="N101" s="16"/>
      <c r="O101" s="7"/>
      <c r="P101" s="22"/>
      <c r="Q101" s="8" t="n">
        <v>95.6</v>
      </c>
      <c r="R101" s="8" t="n">
        <v>-95.6</v>
      </c>
      <c r="S101" s="7" t="s">
        <v>744</v>
      </c>
      <c r="T101" s="7"/>
      <c r="U101" s="7"/>
      <c r="V101" s="20"/>
      <c r="W101" s="7"/>
      <c r="X101" s="7" t="s">
        <v>769</v>
      </c>
      <c r="Y101" s="7"/>
      <c r="Z101" s="7"/>
      <c r="AA101" s="23" t="n">
        <f aca="false">YEAR(C101)</f>
        <v>2023</v>
      </c>
    </row>
    <row r="102" customFormat="false" ht="15" hidden="false" customHeight="false" outlineLevel="0" collapsed="false">
      <c r="A102" s="7" t="s">
        <v>946</v>
      </c>
      <c r="B102" s="7" t="s">
        <v>137</v>
      </c>
      <c r="C102" s="20" t="n">
        <v>45087</v>
      </c>
      <c r="D102" s="20" t="n">
        <v>45087</v>
      </c>
      <c r="E102" s="20"/>
      <c r="F102" s="7" t="s">
        <v>759</v>
      </c>
      <c r="G102" s="7" t="s">
        <v>153</v>
      </c>
      <c r="H102" s="7" t="s">
        <v>559</v>
      </c>
      <c r="I102" s="7" t="s">
        <v>771</v>
      </c>
      <c r="J102" s="7" t="s">
        <v>761</v>
      </c>
      <c r="K102" s="7" t="s">
        <v>772</v>
      </c>
      <c r="L102" s="7" t="s">
        <v>947</v>
      </c>
      <c r="M102" s="7" t="s">
        <v>768</v>
      </c>
      <c r="N102" s="16"/>
      <c r="O102" s="7"/>
      <c r="P102" s="22"/>
      <c r="Q102" s="8" t="n">
        <v>749.49</v>
      </c>
      <c r="R102" s="8" t="n">
        <v>-749.49</v>
      </c>
      <c r="S102" s="7" t="s">
        <v>744</v>
      </c>
      <c r="T102" s="7"/>
      <c r="U102" s="7"/>
      <c r="V102" s="20"/>
      <c r="W102" s="7"/>
      <c r="X102" s="7" t="s">
        <v>769</v>
      </c>
      <c r="Y102" s="7"/>
      <c r="Z102" s="7"/>
      <c r="AA102" s="23" t="n">
        <f aca="false">YEAR(C102)</f>
        <v>2023</v>
      </c>
    </row>
    <row r="103" customFormat="false" ht="15" hidden="false" customHeight="false" outlineLevel="0" collapsed="false">
      <c r="A103" s="7" t="s">
        <v>948</v>
      </c>
      <c r="B103" s="7" t="s">
        <v>137</v>
      </c>
      <c r="C103" s="20" t="n">
        <v>45088</v>
      </c>
      <c r="D103" s="20" t="n">
        <v>45129</v>
      </c>
      <c r="E103" s="20"/>
      <c r="F103" s="7" t="s">
        <v>759</v>
      </c>
      <c r="G103" s="7" t="s">
        <v>149</v>
      </c>
      <c r="H103" s="7" t="s">
        <v>284</v>
      </c>
      <c r="I103" s="7" t="s">
        <v>285</v>
      </c>
      <c r="J103" s="7" t="s">
        <v>221</v>
      </c>
      <c r="K103" s="7" t="s">
        <v>283</v>
      </c>
      <c r="L103" s="7" t="s">
        <v>949</v>
      </c>
      <c r="M103" s="7"/>
      <c r="N103" s="16"/>
      <c r="O103" s="7"/>
      <c r="P103" s="22"/>
      <c r="Q103" s="8" t="n">
        <v>1850</v>
      </c>
      <c r="R103" s="8" t="n">
        <v>-1850</v>
      </c>
      <c r="S103" s="7" t="s">
        <v>765</v>
      </c>
      <c r="T103" s="7"/>
      <c r="U103" s="7"/>
      <c r="V103" s="20"/>
      <c r="W103" s="7"/>
      <c r="X103" s="7"/>
      <c r="Y103" s="7"/>
      <c r="Z103" s="7"/>
      <c r="AA103" s="23" t="n">
        <f aca="false">YEAR(C103)</f>
        <v>2023</v>
      </c>
    </row>
    <row r="104" customFormat="false" ht="15" hidden="false" customHeight="false" outlineLevel="0" collapsed="false">
      <c r="A104" s="7" t="s">
        <v>950</v>
      </c>
      <c r="B104" s="7" t="s">
        <v>137</v>
      </c>
      <c r="C104" s="20" t="n">
        <v>45089</v>
      </c>
      <c r="D104" s="20" t="n">
        <v>45089</v>
      </c>
      <c r="E104" s="20"/>
      <c r="F104" s="7" t="s">
        <v>759</v>
      </c>
      <c r="G104" s="7" t="s">
        <v>153</v>
      </c>
      <c r="H104" s="7" t="s">
        <v>240</v>
      </c>
      <c r="I104" s="7" t="s">
        <v>239</v>
      </c>
      <c r="J104" s="7" t="s">
        <v>229</v>
      </c>
      <c r="K104" s="7" t="s">
        <v>239</v>
      </c>
      <c r="L104" s="7" t="s">
        <v>548</v>
      </c>
      <c r="M104" s="7" t="s">
        <v>547</v>
      </c>
      <c r="N104" s="16"/>
      <c r="O104" s="7"/>
      <c r="P104" s="22"/>
      <c r="Q104" s="8" t="n">
        <v>270.42</v>
      </c>
      <c r="R104" s="8" t="n">
        <v>-270.42</v>
      </c>
      <c r="S104" s="7" t="s">
        <v>775</v>
      </c>
      <c r="T104" s="7"/>
      <c r="U104" s="7"/>
      <c r="V104" s="20"/>
      <c r="W104" s="7"/>
      <c r="X104" s="7"/>
      <c r="Y104" s="7"/>
      <c r="Z104" s="7"/>
      <c r="AA104" s="23" t="n">
        <f aca="false">YEAR(C104)</f>
        <v>2023</v>
      </c>
    </row>
    <row r="105" customFormat="false" ht="15" hidden="false" customHeight="false" outlineLevel="0" collapsed="false">
      <c r="A105" s="7" t="s">
        <v>951</v>
      </c>
      <c r="B105" s="7" t="s">
        <v>137</v>
      </c>
      <c r="C105" s="20" t="n">
        <v>45092</v>
      </c>
      <c r="D105" s="20" t="n">
        <v>45092</v>
      </c>
      <c r="E105" s="20"/>
      <c r="F105" s="7" t="s">
        <v>759</v>
      </c>
      <c r="G105" s="7" t="s">
        <v>153</v>
      </c>
      <c r="H105" s="7" t="s">
        <v>786</v>
      </c>
      <c r="I105" s="7" t="s">
        <v>787</v>
      </c>
      <c r="J105" s="7" t="s">
        <v>761</v>
      </c>
      <c r="K105" s="7" t="s">
        <v>762</v>
      </c>
      <c r="L105" s="7" t="s">
        <v>788</v>
      </c>
      <c r="M105" s="7"/>
      <c r="N105" s="16"/>
      <c r="O105" s="7"/>
      <c r="P105" s="22"/>
      <c r="Q105" s="8" t="n">
        <v>3000</v>
      </c>
      <c r="R105" s="8" t="n">
        <v>-3000</v>
      </c>
      <c r="S105" s="7" t="s">
        <v>789</v>
      </c>
      <c r="T105" s="7"/>
      <c r="U105" s="7"/>
      <c r="V105" s="20"/>
      <c r="W105" s="7"/>
      <c r="X105" s="7"/>
      <c r="Y105" s="7"/>
      <c r="Z105" s="7"/>
      <c r="AA105" s="23" t="n">
        <f aca="false">YEAR(C105)</f>
        <v>2023</v>
      </c>
    </row>
    <row r="106" customFormat="false" ht="15" hidden="false" customHeight="false" outlineLevel="0" collapsed="false">
      <c r="A106" s="7" t="s">
        <v>952</v>
      </c>
      <c r="B106" s="7" t="s">
        <v>137</v>
      </c>
      <c r="C106" s="20" t="n">
        <v>45095</v>
      </c>
      <c r="D106" s="20" t="n">
        <v>45110</v>
      </c>
      <c r="E106" s="20"/>
      <c r="F106" s="7" t="s">
        <v>759</v>
      </c>
      <c r="G106" s="7" t="s">
        <v>141</v>
      </c>
      <c r="H106" s="7" t="s">
        <v>276</v>
      </c>
      <c r="I106" s="7" t="s">
        <v>277</v>
      </c>
      <c r="J106" s="7" t="s">
        <v>221</v>
      </c>
      <c r="K106" s="7" t="s">
        <v>275</v>
      </c>
      <c r="L106" s="7" t="s">
        <v>953</v>
      </c>
      <c r="M106" s="7" t="s">
        <v>547</v>
      </c>
      <c r="N106" s="16"/>
      <c r="O106" s="7"/>
      <c r="P106" s="22"/>
      <c r="Q106" s="8" t="n">
        <v>4406.25</v>
      </c>
      <c r="R106" s="8" t="n">
        <v>-4406.25</v>
      </c>
      <c r="S106" s="7" t="s">
        <v>751</v>
      </c>
      <c r="T106" s="7"/>
      <c r="U106" s="7" t="s">
        <v>954</v>
      </c>
      <c r="V106" s="20" t="n">
        <v>45110</v>
      </c>
      <c r="W106" s="7"/>
      <c r="X106" s="7"/>
      <c r="Y106" s="7" t="s">
        <v>704</v>
      </c>
      <c r="Z106" s="7"/>
      <c r="AA106" s="23" t="n">
        <f aca="false">YEAR(C106)</f>
        <v>2023</v>
      </c>
    </row>
    <row r="107" customFormat="false" ht="15" hidden="false" customHeight="false" outlineLevel="0" collapsed="false">
      <c r="A107" s="7" t="s">
        <v>955</v>
      </c>
      <c r="B107" s="7" t="s">
        <v>137</v>
      </c>
      <c r="C107" s="20" t="n">
        <v>45098</v>
      </c>
      <c r="D107" s="20" t="n">
        <v>45098</v>
      </c>
      <c r="E107" s="20"/>
      <c r="F107" s="7" t="s">
        <v>759</v>
      </c>
      <c r="G107" s="7" t="s">
        <v>153</v>
      </c>
      <c r="H107" s="7" t="s">
        <v>561</v>
      </c>
      <c r="I107" s="7" t="s">
        <v>363</v>
      </c>
      <c r="J107" s="7" t="s">
        <v>761</v>
      </c>
      <c r="K107" s="7" t="s">
        <v>772</v>
      </c>
      <c r="L107" s="7" t="s">
        <v>562</v>
      </c>
      <c r="M107" s="7" t="s">
        <v>556</v>
      </c>
      <c r="N107" s="16"/>
      <c r="O107" s="7"/>
      <c r="P107" s="22"/>
      <c r="Q107" s="8" t="n">
        <v>16000</v>
      </c>
      <c r="R107" s="8" t="n">
        <v>16000</v>
      </c>
      <c r="S107" s="7" t="s">
        <v>783</v>
      </c>
      <c r="T107" s="7"/>
      <c r="U107" s="7"/>
      <c r="V107" s="20"/>
      <c r="W107" s="7"/>
      <c r="X107" s="7" t="s">
        <v>784</v>
      </c>
      <c r="Y107" s="7"/>
      <c r="Z107" s="7"/>
      <c r="AA107" s="23" t="n">
        <f aca="false">YEAR(C107)</f>
        <v>2023</v>
      </c>
    </row>
    <row r="108" customFormat="false" ht="15" hidden="false" customHeight="false" outlineLevel="0" collapsed="false">
      <c r="A108" s="7" t="s">
        <v>956</v>
      </c>
      <c r="B108" s="7" t="s">
        <v>137</v>
      </c>
      <c r="C108" s="20" t="n">
        <v>45100</v>
      </c>
      <c r="D108" s="20" t="n">
        <v>45100</v>
      </c>
      <c r="E108" s="20"/>
      <c r="F108" s="7" t="s">
        <v>759</v>
      </c>
      <c r="G108" s="7" t="s">
        <v>149</v>
      </c>
      <c r="H108" s="7" t="s">
        <v>271</v>
      </c>
      <c r="I108" s="7" t="s">
        <v>272</v>
      </c>
      <c r="J108" s="7" t="s">
        <v>221</v>
      </c>
      <c r="K108" s="7" t="s">
        <v>270</v>
      </c>
      <c r="L108" s="7" t="s">
        <v>957</v>
      </c>
      <c r="M108" s="7" t="s">
        <v>541</v>
      </c>
      <c r="N108" s="16"/>
      <c r="O108" s="7"/>
      <c r="P108" s="22"/>
      <c r="Q108" s="8" t="n">
        <v>1266.66</v>
      </c>
      <c r="R108" s="8" t="n">
        <v>-1266.66</v>
      </c>
      <c r="S108" s="7" t="s">
        <v>744</v>
      </c>
      <c r="T108" s="7"/>
      <c r="U108" s="7"/>
      <c r="V108" s="20"/>
      <c r="W108" s="7"/>
      <c r="X108" s="7"/>
      <c r="Y108" s="7"/>
      <c r="Z108" s="7"/>
      <c r="AA108" s="23" t="n">
        <f aca="false">YEAR(C108)</f>
        <v>2023</v>
      </c>
    </row>
    <row r="109" customFormat="false" ht="15" hidden="false" customHeight="false" outlineLevel="0" collapsed="false">
      <c r="A109" s="7" t="s">
        <v>958</v>
      </c>
      <c r="B109" s="7" t="s">
        <v>137</v>
      </c>
      <c r="C109" s="20" t="n">
        <v>45100</v>
      </c>
      <c r="D109" s="20" t="n">
        <v>45100</v>
      </c>
      <c r="E109" s="20"/>
      <c r="F109" s="7" t="s">
        <v>759</v>
      </c>
      <c r="G109" s="7" t="s">
        <v>153</v>
      </c>
      <c r="H109" s="7" t="s">
        <v>271</v>
      </c>
      <c r="I109" s="7" t="s">
        <v>272</v>
      </c>
      <c r="J109" s="7" t="s">
        <v>221</v>
      </c>
      <c r="K109" s="7" t="s">
        <v>270</v>
      </c>
      <c r="L109" s="7" t="s">
        <v>544</v>
      </c>
      <c r="M109" s="7" t="s">
        <v>541</v>
      </c>
      <c r="N109" s="16"/>
      <c r="O109" s="7"/>
      <c r="P109" s="22"/>
      <c r="Q109" s="8" t="n">
        <v>844.44</v>
      </c>
      <c r="R109" s="8" t="n">
        <v>-844.44</v>
      </c>
      <c r="S109" s="7" t="s">
        <v>744</v>
      </c>
      <c r="T109" s="7"/>
      <c r="U109" s="7"/>
      <c r="V109" s="20"/>
      <c r="W109" s="7"/>
      <c r="X109" s="7"/>
      <c r="Y109" s="7"/>
      <c r="Z109" s="7"/>
      <c r="AA109" s="23" t="n">
        <f aca="false">YEAR(C109)</f>
        <v>2023</v>
      </c>
    </row>
    <row r="110" customFormat="false" ht="15" hidden="false" customHeight="false" outlineLevel="0" collapsed="false">
      <c r="A110" s="7" t="s">
        <v>959</v>
      </c>
      <c r="B110" s="7" t="s">
        <v>137</v>
      </c>
      <c r="C110" s="20" t="n">
        <v>45100</v>
      </c>
      <c r="D110" s="20" t="n">
        <v>45122</v>
      </c>
      <c r="E110" s="20"/>
      <c r="F110" s="7" t="s">
        <v>759</v>
      </c>
      <c r="G110" s="7" t="s">
        <v>149</v>
      </c>
      <c r="H110" s="7" t="s">
        <v>273</v>
      </c>
      <c r="I110" s="7" t="s">
        <v>274</v>
      </c>
      <c r="J110" s="7" t="s">
        <v>221</v>
      </c>
      <c r="K110" s="7" t="s">
        <v>270</v>
      </c>
      <c r="L110" s="7" t="s">
        <v>554</v>
      </c>
      <c r="M110" s="7" t="s">
        <v>541</v>
      </c>
      <c r="N110" s="16"/>
      <c r="O110" s="7"/>
      <c r="P110" s="22"/>
      <c r="Q110" s="8" t="n">
        <v>185.78</v>
      </c>
      <c r="R110" s="8" t="n">
        <v>-185.78</v>
      </c>
      <c r="S110" s="7" t="s">
        <v>789</v>
      </c>
      <c r="T110" s="7"/>
      <c r="U110" s="7"/>
      <c r="V110" s="20"/>
      <c r="W110" s="7"/>
      <c r="X110" s="7"/>
      <c r="Y110" s="7"/>
      <c r="Z110" s="7"/>
      <c r="AA110" s="23" t="n">
        <f aca="false">YEAR(C110)</f>
        <v>2023</v>
      </c>
    </row>
    <row r="111" customFormat="false" ht="15" hidden="false" customHeight="false" outlineLevel="0" collapsed="false">
      <c r="A111" s="7" t="s">
        <v>960</v>
      </c>
      <c r="B111" s="7" t="s">
        <v>137</v>
      </c>
      <c r="C111" s="20" t="n">
        <v>45101</v>
      </c>
      <c r="D111" s="20" t="n">
        <v>45135</v>
      </c>
      <c r="E111" s="20"/>
      <c r="F111" s="7" t="s">
        <v>759</v>
      </c>
      <c r="G111" s="7" t="s">
        <v>136</v>
      </c>
      <c r="H111" s="7" t="s">
        <v>264</v>
      </c>
      <c r="I111" s="7" t="s">
        <v>263</v>
      </c>
      <c r="J111" s="7" t="s">
        <v>221</v>
      </c>
      <c r="K111" s="7" t="s">
        <v>263</v>
      </c>
      <c r="L111" s="7" t="s">
        <v>961</v>
      </c>
      <c r="M111" s="7" t="s">
        <v>591</v>
      </c>
      <c r="N111" s="16" t="n">
        <v>96</v>
      </c>
      <c r="O111" s="7" t="s">
        <v>801</v>
      </c>
      <c r="P111" s="22" t="n">
        <v>14</v>
      </c>
      <c r="Q111" s="8" t="n">
        <v>1344</v>
      </c>
      <c r="R111" s="8" t="n">
        <v>-1344</v>
      </c>
      <c r="S111" s="7" t="s">
        <v>751</v>
      </c>
      <c r="T111" s="7"/>
      <c r="U111" s="7" t="s">
        <v>962</v>
      </c>
      <c r="V111" s="20" t="n">
        <v>45131</v>
      </c>
      <c r="W111" s="7"/>
      <c r="X111" s="7"/>
      <c r="Y111" s="7" t="s">
        <v>718</v>
      </c>
      <c r="Z111" s="7"/>
      <c r="AA111" s="23" t="n">
        <f aca="false">YEAR(C111)</f>
        <v>2023</v>
      </c>
    </row>
    <row r="112" customFormat="false" ht="15" hidden="false" customHeight="false" outlineLevel="0" collapsed="false">
      <c r="A112" s="7" t="s">
        <v>963</v>
      </c>
      <c r="B112" s="7" t="s">
        <v>137</v>
      </c>
      <c r="C112" s="20" t="n">
        <v>45101</v>
      </c>
      <c r="D112" s="20" t="n">
        <v>45135</v>
      </c>
      <c r="E112" s="20"/>
      <c r="F112" s="7" t="s">
        <v>759</v>
      </c>
      <c r="G112" s="7" t="s">
        <v>136</v>
      </c>
      <c r="H112" s="7" t="s">
        <v>223</v>
      </c>
      <c r="I112" s="7" t="s">
        <v>224</v>
      </c>
      <c r="J112" s="7" t="s">
        <v>221</v>
      </c>
      <c r="K112" s="7" t="s">
        <v>222</v>
      </c>
      <c r="L112" s="7" t="s">
        <v>964</v>
      </c>
      <c r="M112" s="7" t="s">
        <v>589</v>
      </c>
      <c r="N112" s="16" t="n">
        <v>96</v>
      </c>
      <c r="O112" s="7" t="s">
        <v>801</v>
      </c>
      <c r="P112" s="22" t="n">
        <v>9</v>
      </c>
      <c r="Q112" s="8" t="n">
        <v>864</v>
      </c>
      <c r="R112" s="8" t="n">
        <v>-864</v>
      </c>
      <c r="S112" s="7" t="s">
        <v>751</v>
      </c>
      <c r="T112" s="7"/>
      <c r="U112" s="7" t="s">
        <v>965</v>
      </c>
      <c r="V112" s="20" t="n">
        <v>45131</v>
      </c>
      <c r="W112" s="7"/>
      <c r="X112" s="7"/>
      <c r="Y112" s="7" t="s">
        <v>718</v>
      </c>
      <c r="Z112" s="7"/>
      <c r="AA112" s="23" t="n">
        <f aca="false">YEAR(C112)</f>
        <v>2023</v>
      </c>
    </row>
    <row r="113" customFormat="false" ht="15" hidden="false" customHeight="false" outlineLevel="0" collapsed="false">
      <c r="A113" s="7" t="s">
        <v>966</v>
      </c>
      <c r="B113" s="7" t="s">
        <v>137</v>
      </c>
      <c r="C113" s="20" t="n">
        <v>45101</v>
      </c>
      <c r="D113" s="20" t="n">
        <v>45145</v>
      </c>
      <c r="E113" s="20"/>
      <c r="F113" s="7" t="s">
        <v>759</v>
      </c>
      <c r="G113" s="7" t="s">
        <v>149</v>
      </c>
      <c r="H113" s="7" t="s">
        <v>279</v>
      </c>
      <c r="I113" s="7" t="s">
        <v>280</v>
      </c>
      <c r="J113" s="7" t="s">
        <v>248</v>
      </c>
      <c r="K113" s="7" t="s">
        <v>278</v>
      </c>
      <c r="L113" s="7" t="s">
        <v>967</v>
      </c>
      <c r="M113" s="7" t="s">
        <v>606</v>
      </c>
      <c r="N113" s="16" t="n">
        <v>153</v>
      </c>
      <c r="O113" s="7" t="s">
        <v>801</v>
      </c>
      <c r="P113" s="22" t="n">
        <v>38</v>
      </c>
      <c r="Q113" s="8" t="n">
        <v>5814</v>
      </c>
      <c r="R113" s="8" t="n">
        <v>5814</v>
      </c>
      <c r="S113" s="7" t="s">
        <v>33</v>
      </c>
      <c r="T113" s="7" t="s">
        <v>968</v>
      </c>
      <c r="U113" s="7"/>
      <c r="V113" s="20" t="n">
        <v>45131</v>
      </c>
      <c r="W113" s="7"/>
      <c r="X113" s="7"/>
      <c r="Y113" s="7"/>
      <c r="Z113" s="7"/>
      <c r="AA113" s="23" t="n">
        <f aca="false">YEAR(C113)</f>
        <v>2023</v>
      </c>
    </row>
    <row r="114" customFormat="false" ht="15" hidden="false" customHeight="false" outlineLevel="0" collapsed="false">
      <c r="A114" s="7" t="s">
        <v>969</v>
      </c>
      <c r="B114" s="7" t="s">
        <v>137</v>
      </c>
      <c r="C114" s="20" t="n">
        <v>45101</v>
      </c>
      <c r="D114" s="20" t="n">
        <v>45145</v>
      </c>
      <c r="E114" s="20"/>
      <c r="F114" s="7" t="s">
        <v>759</v>
      </c>
      <c r="G114" s="7" t="s">
        <v>149</v>
      </c>
      <c r="H114" s="7" t="s">
        <v>281</v>
      </c>
      <c r="I114" s="7" t="s">
        <v>282</v>
      </c>
      <c r="J114" s="7" t="s">
        <v>248</v>
      </c>
      <c r="K114" s="7" t="s">
        <v>278</v>
      </c>
      <c r="L114" s="7" t="s">
        <v>970</v>
      </c>
      <c r="M114" s="7" t="s">
        <v>606</v>
      </c>
      <c r="N114" s="16" t="n">
        <v>2693</v>
      </c>
      <c r="O114" s="7" t="s">
        <v>798</v>
      </c>
      <c r="P114" s="22" t="n">
        <v>0.17</v>
      </c>
      <c r="Q114" s="8" t="n">
        <v>457.78</v>
      </c>
      <c r="R114" s="8" t="n">
        <v>457.78</v>
      </c>
      <c r="S114" s="7" t="s">
        <v>33</v>
      </c>
      <c r="T114" s="7" t="s">
        <v>968</v>
      </c>
      <c r="U114" s="7"/>
      <c r="V114" s="20" t="n">
        <v>45131</v>
      </c>
      <c r="W114" s="7"/>
      <c r="X114" s="7"/>
      <c r="Y114" s="7"/>
      <c r="Z114" s="7"/>
      <c r="AA114" s="23" t="n">
        <f aca="false">YEAR(C114)</f>
        <v>2023</v>
      </c>
    </row>
    <row r="115" customFormat="false" ht="15" hidden="false" customHeight="false" outlineLevel="0" collapsed="false">
      <c r="A115" s="7" t="s">
        <v>971</v>
      </c>
      <c r="B115" s="7" t="s">
        <v>137</v>
      </c>
      <c r="C115" s="20" t="n">
        <v>45102</v>
      </c>
      <c r="D115" s="20" t="n">
        <v>45145</v>
      </c>
      <c r="E115" s="20"/>
      <c r="F115" s="7" t="s">
        <v>759</v>
      </c>
      <c r="G115" s="7" t="s">
        <v>149</v>
      </c>
      <c r="H115" s="7" t="s">
        <v>279</v>
      </c>
      <c r="I115" s="7" t="s">
        <v>280</v>
      </c>
      <c r="J115" s="7" t="s">
        <v>248</v>
      </c>
      <c r="K115" s="7" t="s">
        <v>278</v>
      </c>
      <c r="L115" s="7" t="s">
        <v>972</v>
      </c>
      <c r="M115" s="7" t="s">
        <v>603</v>
      </c>
      <c r="N115" s="16" t="n">
        <v>152</v>
      </c>
      <c r="O115" s="7" t="s">
        <v>801</v>
      </c>
      <c r="P115" s="22" t="n">
        <v>38</v>
      </c>
      <c r="Q115" s="8" t="n">
        <v>5776</v>
      </c>
      <c r="R115" s="8" t="n">
        <v>5776</v>
      </c>
      <c r="S115" s="7" t="s">
        <v>33</v>
      </c>
      <c r="T115" s="7" t="s">
        <v>973</v>
      </c>
      <c r="U115" s="7"/>
      <c r="V115" s="20" t="n">
        <v>45132</v>
      </c>
      <c r="W115" s="7"/>
      <c r="X115" s="7"/>
      <c r="Y115" s="7"/>
      <c r="Z115" s="7"/>
      <c r="AA115" s="23" t="n">
        <f aca="false">YEAR(C115)</f>
        <v>2023</v>
      </c>
    </row>
    <row r="116" customFormat="false" ht="15" hidden="false" customHeight="false" outlineLevel="0" collapsed="false">
      <c r="A116" s="7" t="s">
        <v>974</v>
      </c>
      <c r="B116" s="7" t="s">
        <v>137</v>
      </c>
      <c r="C116" s="20" t="n">
        <v>45102</v>
      </c>
      <c r="D116" s="20" t="n">
        <v>45145</v>
      </c>
      <c r="E116" s="20"/>
      <c r="F116" s="7" t="s">
        <v>759</v>
      </c>
      <c r="G116" s="7" t="s">
        <v>149</v>
      </c>
      <c r="H116" s="7" t="s">
        <v>281</v>
      </c>
      <c r="I116" s="7" t="s">
        <v>282</v>
      </c>
      <c r="J116" s="7" t="s">
        <v>248</v>
      </c>
      <c r="K116" s="7" t="s">
        <v>278</v>
      </c>
      <c r="L116" s="7" t="s">
        <v>975</v>
      </c>
      <c r="M116" s="7" t="s">
        <v>603</v>
      </c>
      <c r="N116" s="16" t="n">
        <v>2675</v>
      </c>
      <c r="O116" s="7" t="s">
        <v>798</v>
      </c>
      <c r="P116" s="22" t="n">
        <v>0.17</v>
      </c>
      <c r="Q116" s="8" t="n">
        <v>454.78</v>
      </c>
      <c r="R116" s="8" t="n">
        <v>454.78</v>
      </c>
      <c r="S116" s="7" t="s">
        <v>33</v>
      </c>
      <c r="T116" s="7" t="s">
        <v>973</v>
      </c>
      <c r="U116" s="7"/>
      <c r="V116" s="20" t="n">
        <v>45132</v>
      </c>
      <c r="W116" s="7"/>
      <c r="X116" s="7"/>
      <c r="Y116" s="7"/>
      <c r="Z116" s="7"/>
      <c r="AA116" s="23" t="n">
        <f aca="false">YEAR(C116)</f>
        <v>2023</v>
      </c>
    </row>
    <row r="117" customFormat="false" ht="15" hidden="false" customHeight="false" outlineLevel="0" collapsed="false">
      <c r="A117" s="7" t="s">
        <v>976</v>
      </c>
      <c r="B117" s="7" t="s">
        <v>137</v>
      </c>
      <c r="C117" s="20" t="n">
        <v>45103</v>
      </c>
      <c r="D117" s="20" t="n">
        <v>45129</v>
      </c>
      <c r="E117" s="20"/>
      <c r="F117" s="7" t="s">
        <v>759</v>
      </c>
      <c r="G117" s="7" t="s">
        <v>153</v>
      </c>
      <c r="H117" s="7" t="s">
        <v>242</v>
      </c>
      <c r="I117" s="7" t="s">
        <v>243</v>
      </c>
      <c r="J117" s="7" t="s">
        <v>229</v>
      </c>
      <c r="K117" s="7" t="s">
        <v>241</v>
      </c>
      <c r="L117" s="7" t="s">
        <v>571</v>
      </c>
      <c r="M117" s="7"/>
      <c r="N117" s="16"/>
      <c r="O117" s="7"/>
      <c r="P117" s="22"/>
      <c r="Q117" s="8" t="n">
        <v>340.57</v>
      </c>
      <c r="R117" s="8" t="n">
        <v>-340.57</v>
      </c>
      <c r="S117" s="7" t="s">
        <v>765</v>
      </c>
      <c r="T117" s="7"/>
      <c r="U117" s="7"/>
      <c r="V117" s="20"/>
      <c r="W117" s="7"/>
      <c r="X117" s="7"/>
      <c r="Y117" s="7"/>
      <c r="Z117" s="7"/>
      <c r="AA117" s="23" t="n">
        <f aca="false">YEAR(C117)</f>
        <v>2023</v>
      </c>
    </row>
    <row r="118" customFormat="false" ht="15" hidden="false" customHeight="false" outlineLevel="0" collapsed="false">
      <c r="A118" s="7" t="s">
        <v>977</v>
      </c>
      <c r="B118" s="7" t="s">
        <v>137</v>
      </c>
      <c r="C118" s="20" t="n">
        <v>45103</v>
      </c>
      <c r="D118" s="20" t="n">
        <v>45133</v>
      </c>
      <c r="E118" s="20"/>
      <c r="F118" s="7" t="s">
        <v>759</v>
      </c>
      <c r="G118" s="7" t="s">
        <v>146</v>
      </c>
      <c r="H118" s="7" t="s">
        <v>268</v>
      </c>
      <c r="I118" s="7" t="s">
        <v>269</v>
      </c>
      <c r="J118" s="7" t="s">
        <v>221</v>
      </c>
      <c r="K118" s="7" t="s">
        <v>267</v>
      </c>
      <c r="L118" s="7" t="s">
        <v>978</v>
      </c>
      <c r="M118" s="7" t="s">
        <v>563</v>
      </c>
      <c r="N118" s="16"/>
      <c r="O118" s="7"/>
      <c r="P118" s="22"/>
      <c r="Q118" s="8" t="n">
        <v>660.44</v>
      </c>
      <c r="R118" s="8" t="n">
        <v>-660.44</v>
      </c>
      <c r="S118" s="7" t="s">
        <v>751</v>
      </c>
      <c r="T118" s="7"/>
      <c r="U118" s="7" t="s">
        <v>979</v>
      </c>
      <c r="V118" s="20" t="n">
        <v>45133</v>
      </c>
      <c r="W118" s="7"/>
      <c r="X118" s="7"/>
      <c r="Y118" s="7" t="s">
        <v>698</v>
      </c>
      <c r="Z118" s="7"/>
      <c r="AA118" s="23" t="n">
        <f aca="false">YEAR(C118)</f>
        <v>2023</v>
      </c>
    </row>
    <row r="119" customFormat="false" ht="15" hidden="false" customHeight="false" outlineLevel="0" collapsed="false">
      <c r="A119" s="7" t="s">
        <v>980</v>
      </c>
      <c r="B119" s="7" t="s">
        <v>137</v>
      </c>
      <c r="C119" s="20" t="n">
        <v>45103</v>
      </c>
      <c r="D119" s="20" t="n">
        <v>45146</v>
      </c>
      <c r="E119" s="20"/>
      <c r="F119" s="7" t="s">
        <v>759</v>
      </c>
      <c r="G119" s="7" t="s">
        <v>149</v>
      </c>
      <c r="H119" s="7" t="s">
        <v>279</v>
      </c>
      <c r="I119" s="7" t="s">
        <v>280</v>
      </c>
      <c r="J119" s="7" t="s">
        <v>248</v>
      </c>
      <c r="K119" s="7" t="s">
        <v>278</v>
      </c>
      <c r="L119" s="7" t="s">
        <v>981</v>
      </c>
      <c r="M119" s="7" t="s">
        <v>593</v>
      </c>
      <c r="N119" s="16" t="n">
        <v>201</v>
      </c>
      <c r="O119" s="7" t="s">
        <v>801</v>
      </c>
      <c r="P119" s="22" t="n">
        <v>38</v>
      </c>
      <c r="Q119" s="8" t="n">
        <v>7638</v>
      </c>
      <c r="R119" s="8" t="n">
        <v>7638</v>
      </c>
      <c r="S119" s="7" t="s">
        <v>33</v>
      </c>
      <c r="T119" s="7" t="s">
        <v>982</v>
      </c>
      <c r="U119" s="7"/>
      <c r="V119" s="20" t="n">
        <v>45133</v>
      </c>
      <c r="W119" s="7"/>
      <c r="X119" s="7"/>
      <c r="Y119" s="7"/>
      <c r="Z119" s="7"/>
      <c r="AA119" s="23" t="n">
        <f aca="false">YEAR(C119)</f>
        <v>2023</v>
      </c>
    </row>
    <row r="120" customFormat="false" ht="15" hidden="false" customHeight="false" outlineLevel="0" collapsed="false">
      <c r="A120" s="7" t="s">
        <v>983</v>
      </c>
      <c r="B120" s="7" t="s">
        <v>137</v>
      </c>
      <c r="C120" s="20" t="n">
        <v>45103</v>
      </c>
      <c r="D120" s="20" t="n">
        <v>45146</v>
      </c>
      <c r="E120" s="20"/>
      <c r="F120" s="7" t="s">
        <v>759</v>
      </c>
      <c r="G120" s="7" t="s">
        <v>149</v>
      </c>
      <c r="H120" s="7" t="s">
        <v>281</v>
      </c>
      <c r="I120" s="7" t="s">
        <v>282</v>
      </c>
      <c r="J120" s="7" t="s">
        <v>248</v>
      </c>
      <c r="K120" s="7" t="s">
        <v>278</v>
      </c>
      <c r="L120" s="7" t="s">
        <v>984</v>
      </c>
      <c r="M120" s="7" t="s">
        <v>593</v>
      </c>
      <c r="N120" s="16" t="n">
        <v>3538</v>
      </c>
      <c r="O120" s="7" t="s">
        <v>798</v>
      </c>
      <c r="P120" s="22" t="n">
        <v>0.17</v>
      </c>
      <c r="Q120" s="8" t="n">
        <v>601.39</v>
      </c>
      <c r="R120" s="8" t="n">
        <v>601.39</v>
      </c>
      <c r="S120" s="7" t="s">
        <v>33</v>
      </c>
      <c r="T120" s="7" t="s">
        <v>982</v>
      </c>
      <c r="U120" s="7"/>
      <c r="V120" s="20" t="n">
        <v>45133</v>
      </c>
      <c r="W120" s="7"/>
      <c r="X120" s="7"/>
      <c r="Y120" s="7"/>
      <c r="Z120" s="7"/>
      <c r="AA120" s="23" t="n">
        <f aca="false">YEAR(C120)</f>
        <v>2023</v>
      </c>
    </row>
    <row r="121" customFormat="false" ht="15" hidden="false" customHeight="false" outlineLevel="0" collapsed="false">
      <c r="A121" s="7" t="s">
        <v>985</v>
      </c>
      <c r="B121" s="7" t="s">
        <v>137</v>
      </c>
      <c r="C121" s="20" t="n">
        <v>45104</v>
      </c>
      <c r="D121" s="20" t="n">
        <v>45177</v>
      </c>
      <c r="E121" s="20"/>
      <c r="F121" s="7" t="s">
        <v>759</v>
      </c>
      <c r="G121" s="7" t="s">
        <v>149</v>
      </c>
      <c r="H121" s="7" t="s">
        <v>279</v>
      </c>
      <c r="I121" s="7" t="s">
        <v>280</v>
      </c>
      <c r="J121" s="7" t="s">
        <v>248</v>
      </c>
      <c r="K121" s="7" t="s">
        <v>278</v>
      </c>
      <c r="L121" s="7" t="s">
        <v>986</v>
      </c>
      <c r="M121" s="7" t="s">
        <v>600</v>
      </c>
      <c r="N121" s="16" t="n">
        <v>199</v>
      </c>
      <c r="O121" s="7" t="s">
        <v>801</v>
      </c>
      <c r="P121" s="22" t="n">
        <v>38</v>
      </c>
      <c r="Q121" s="8" t="n">
        <v>7562</v>
      </c>
      <c r="R121" s="8" t="n">
        <v>7562</v>
      </c>
      <c r="S121" s="7" t="s">
        <v>33</v>
      </c>
      <c r="T121" s="7" t="s">
        <v>987</v>
      </c>
      <c r="U121" s="7"/>
      <c r="V121" s="20" t="n">
        <v>45134</v>
      </c>
      <c r="W121" s="7"/>
      <c r="X121" s="7"/>
      <c r="Y121" s="7"/>
      <c r="Z121" s="7"/>
      <c r="AA121" s="23" t="n">
        <f aca="false">YEAR(C121)</f>
        <v>2023</v>
      </c>
    </row>
    <row r="122" customFormat="false" ht="15" hidden="false" customHeight="false" outlineLevel="0" collapsed="false">
      <c r="A122" s="7" t="s">
        <v>988</v>
      </c>
      <c r="B122" s="7" t="s">
        <v>137</v>
      </c>
      <c r="C122" s="20" t="n">
        <v>45104</v>
      </c>
      <c r="D122" s="20" t="n">
        <v>45177</v>
      </c>
      <c r="E122" s="20"/>
      <c r="F122" s="7" t="s">
        <v>759</v>
      </c>
      <c r="G122" s="7" t="s">
        <v>149</v>
      </c>
      <c r="H122" s="7" t="s">
        <v>281</v>
      </c>
      <c r="I122" s="7" t="s">
        <v>282</v>
      </c>
      <c r="J122" s="7" t="s">
        <v>248</v>
      </c>
      <c r="K122" s="7" t="s">
        <v>278</v>
      </c>
      <c r="L122" s="7" t="s">
        <v>989</v>
      </c>
      <c r="M122" s="7" t="s">
        <v>600</v>
      </c>
      <c r="N122" s="16" t="n">
        <v>3502</v>
      </c>
      <c r="O122" s="7" t="s">
        <v>798</v>
      </c>
      <c r="P122" s="22" t="n">
        <v>0.17</v>
      </c>
      <c r="Q122" s="8" t="n">
        <v>595.41</v>
      </c>
      <c r="R122" s="8" t="n">
        <v>595.41</v>
      </c>
      <c r="S122" s="7" t="s">
        <v>33</v>
      </c>
      <c r="T122" s="7" t="s">
        <v>987</v>
      </c>
      <c r="U122" s="7"/>
      <c r="V122" s="20" t="n">
        <v>45134</v>
      </c>
      <c r="W122" s="7"/>
      <c r="X122" s="7"/>
      <c r="Y122" s="7"/>
      <c r="Z122" s="7"/>
      <c r="AA122" s="23" t="n">
        <f aca="false">YEAR(C122)</f>
        <v>2023</v>
      </c>
    </row>
    <row r="123" customFormat="false" ht="15" hidden="false" customHeight="false" outlineLevel="0" collapsed="false">
      <c r="A123" s="7" t="s">
        <v>990</v>
      </c>
      <c r="B123" s="7" t="s">
        <v>137</v>
      </c>
      <c r="C123" s="20" t="n">
        <v>45105</v>
      </c>
      <c r="D123" s="20" t="n">
        <v>45114</v>
      </c>
      <c r="E123" s="20"/>
      <c r="F123" s="7" t="s">
        <v>759</v>
      </c>
      <c r="G123" s="7" t="s">
        <v>146</v>
      </c>
      <c r="H123" s="7" t="s">
        <v>250</v>
      </c>
      <c r="I123" s="7" t="s">
        <v>251</v>
      </c>
      <c r="J123" s="7" t="s">
        <v>248</v>
      </c>
      <c r="K123" s="7" t="s">
        <v>249</v>
      </c>
      <c r="L123" s="7" t="s">
        <v>991</v>
      </c>
      <c r="M123" s="7" t="s">
        <v>626</v>
      </c>
      <c r="N123" s="16" t="n">
        <v>1488</v>
      </c>
      <c r="O123" s="7" t="s">
        <v>798</v>
      </c>
      <c r="P123" s="22" t="n">
        <v>7.94</v>
      </c>
      <c r="Q123" s="8" t="n">
        <v>11814.72</v>
      </c>
      <c r="R123" s="8" t="n">
        <v>11814.72</v>
      </c>
      <c r="S123" s="7" t="s">
        <v>33</v>
      </c>
      <c r="T123" s="7" t="s">
        <v>992</v>
      </c>
      <c r="U123" s="7"/>
      <c r="V123" s="20" t="n">
        <v>45105</v>
      </c>
      <c r="W123" s="7"/>
      <c r="X123" s="7"/>
      <c r="Y123" s="7" t="s">
        <v>698</v>
      </c>
      <c r="Z123" s="7"/>
      <c r="AA123" s="23" t="n">
        <f aca="false">YEAR(C123)</f>
        <v>2023</v>
      </c>
    </row>
    <row r="124" customFormat="false" ht="15" hidden="false" customHeight="false" outlineLevel="0" collapsed="false">
      <c r="A124" s="7" t="s">
        <v>993</v>
      </c>
      <c r="B124" s="7" t="s">
        <v>137</v>
      </c>
      <c r="C124" s="20" t="n">
        <v>45105</v>
      </c>
      <c r="D124" s="20" t="n">
        <v>45149</v>
      </c>
      <c r="E124" s="20"/>
      <c r="F124" s="7" t="s">
        <v>759</v>
      </c>
      <c r="G124" s="7" t="s">
        <v>149</v>
      </c>
      <c r="H124" s="7" t="s">
        <v>279</v>
      </c>
      <c r="I124" s="7" t="s">
        <v>280</v>
      </c>
      <c r="J124" s="7" t="s">
        <v>248</v>
      </c>
      <c r="K124" s="7" t="s">
        <v>278</v>
      </c>
      <c r="L124" s="7" t="s">
        <v>994</v>
      </c>
      <c r="M124" s="7" t="s">
        <v>614</v>
      </c>
      <c r="N124" s="16" t="n">
        <v>108</v>
      </c>
      <c r="O124" s="7" t="s">
        <v>801</v>
      </c>
      <c r="P124" s="22" t="n">
        <v>38</v>
      </c>
      <c r="Q124" s="8" t="n">
        <v>4104</v>
      </c>
      <c r="R124" s="8" t="n">
        <v>4104</v>
      </c>
      <c r="S124" s="7" t="s">
        <v>33</v>
      </c>
      <c r="T124" s="7" t="s">
        <v>995</v>
      </c>
      <c r="U124" s="7"/>
      <c r="V124" s="20" t="n">
        <v>45135</v>
      </c>
      <c r="W124" s="7"/>
      <c r="X124" s="7"/>
      <c r="Y124" s="7"/>
      <c r="Z124" s="7"/>
      <c r="AA124" s="23" t="n">
        <f aca="false">YEAR(C124)</f>
        <v>2023</v>
      </c>
    </row>
    <row r="125" customFormat="false" ht="15" hidden="false" customHeight="false" outlineLevel="0" collapsed="false">
      <c r="A125" s="7" t="s">
        <v>996</v>
      </c>
      <c r="B125" s="7" t="s">
        <v>137</v>
      </c>
      <c r="C125" s="20" t="n">
        <v>45105</v>
      </c>
      <c r="D125" s="20" t="n">
        <v>45149</v>
      </c>
      <c r="E125" s="20"/>
      <c r="F125" s="7" t="s">
        <v>759</v>
      </c>
      <c r="G125" s="7" t="s">
        <v>149</v>
      </c>
      <c r="H125" s="7" t="s">
        <v>281</v>
      </c>
      <c r="I125" s="7" t="s">
        <v>282</v>
      </c>
      <c r="J125" s="7" t="s">
        <v>248</v>
      </c>
      <c r="K125" s="7" t="s">
        <v>278</v>
      </c>
      <c r="L125" s="7" t="s">
        <v>997</v>
      </c>
      <c r="M125" s="7" t="s">
        <v>614</v>
      </c>
      <c r="N125" s="16" t="n">
        <v>1901</v>
      </c>
      <c r="O125" s="7" t="s">
        <v>798</v>
      </c>
      <c r="P125" s="22" t="n">
        <v>0.17</v>
      </c>
      <c r="Q125" s="8" t="n">
        <v>323.14</v>
      </c>
      <c r="R125" s="8" t="n">
        <v>323.14</v>
      </c>
      <c r="S125" s="7" t="s">
        <v>33</v>
      </c>
      <c r="T125" s="7" t="s">
        <v>995</v>
      </c>
      <c r="U125" s="7"/>
      <c r="V125" s="20" t="n">
        <v>45135</v>
      </c>
      <c r="W125" s="7"/>
      <c r="X125" s="7"/>
      <c r="Y125" s="7"/>
      <c r="Z125" s="7"/>
      <c r="AA125" s="23" t="n">
        <f aca="false">YEAR(C125)</f>
        <v>2023</v>
      </c>
    </row>
    <row r="126" customFormat="false" ht="15" hidden="false" customHeight="false" outlineLevel="0" collapsed="false">
      <c r="A126" s="7" t="s">
        <v>998</v>
      </c>
      <c r="B126" s="7" t="s">
        <v>137</v>
      </c>
      <c r="C126" s="20" t="n">
        <v>45105</v>
      </c>
      <c r="D126" s="20" t="n">
        <v>45160</v>
      </c>
      <c r="E126" s="20"/>
      <c r="F126" s="7" t="s">
        <v>759</v>
      </c>
      <c r="G126" s="7" t="s">
        <v>149</v>
      </c>
      <c r="H126" s="7" t="s">
        <v>279</v>
      </c>
      <c r="I126" s="7" t="s">
        <v>280</v>
      </c>
      <c r="J126" s="7" t="s">
        <v>248</v>
      </c>
      <c r="K126" s="7" t="s">
        <v>278</v>
      </c>
      <c r="L126" s="7" t="s">
        <v>999</v>
      </c>
      <c r="M126" s="7" t="s">
        <v>583</v>
      </c>
      <c r="N126" s="16" t="n">
        <v>418</v>
      </c>
      <c r="O126" s="7" t="s">
        <v>801</v>
      </c>
      <c r="P126" s="22" t="n">
        <v>38</v>
      </c>
      <c r="Q126" s="8" t="n">
        <v>15884</v>
      </c>
      <c r="R126" s="8" t="n">
        <v>15884</v>
      </c>
      <c r="S126" s="7" t="s">
        <v>33</v>
      </c>
      <c r="T126" s="7" t="s">
        <v>1000</v>
      </c>
      <c r="U126" s="7"/>
      <c r="V126" s="20" t="n">
        <v>45135</v>
      </c>
      <c r="W126" s="7"/>
      <c r="X126" s="7"/>
      <c r="Y126" s="7"/>
      <c r="Z126" s="7"/>
      <c r="AA126" s="23" t="n">
        <f aca="false">YEAR(C126)</f>
        <v>2023</v>
      </c>
    </row>
    <row r="127" customFormat="false" ht="15" hidden="false" customHeight="false" outlineLevel="0" collapsed="false">
      <c r="A127" s="7" t="s">
        <v>1001</v>
      </c>
      <c r="B127" s="7" t="s">
        <v>137</v>
      </c>
      <c r="C127" s="20" t="n">
        <v>45105</v>
      </c>
      <c r="D127" s="20" t="n">
        <v>45160</v>
      </c>
      <c r="E127" s="20"/>
      <c r="F127" s="7" t="s">
        <v>759</v>
      </c>
      <c r="G127" s="7" t="s">
        <v>149</v>
      </c>
      <c r="H127" s="7" t="s">
        <v>281</v>
      </c>
      <c r="I127" s="7" t="s">
        <v>282</v>
      </c>
      <c r="J127" s="7" t="s">
        <v>248</v>
      </c>
      <c r="K127" s="7" t="s">
        <v>278</v>
      </c>
      <c r="L127" s="7" t="s">
        <v>1002</v>
      </c>
      <c r="M127" s="7" t="s">
        <v>583</v>
      </c>
      <c r="N127" s="16" t="n">
        <v>7357</v>
      </c>
      <c r="O127" s="7" t="s">
        <v>798</v>
      </c>
      <c r="P127" s="22" t="n">
        <v>0.17</v>
      </c>
      <c r="Q127" s="8" t="n">
        <v>1250.66</v>
      </c>
      <c r="R127" s="8" t="n">
        <v>1250.66</v>
      </c>
      <c r="S127" s="7" t="s">
        <v>33</v>
      </c>
      <c r="T127" s="7" t="s">
        <v>1000</v>
      </c>
      <c r="U127" s="7"/>
      <c r="V127" s="20" t="n">
        <v>45135</v>
      </c>
      <c r="W127" s="7"/>
      <c r="X127" s="7"/>
      <c r="Y127" s="7"/>
      <c r="Z127" s="7"/>
      <c r="AA127" s="23" t="n">
        <f aca="false">YEAR(C127)</f>
        <v>2023</v>
      </c>
    </row>
    <row r="128" customFormat="false" ht="15" hidden="false" customHeight="false" outlineLevel="0" collapsed="false">
      <c r="A128" s="7" t="s">
        <v>1003</v>
      </c>
      <c r="B128" s="7" t="s">
        <v>137</v>
      </c>
      <c r="C128" s="20" t="n">
        <v>45107</v>
      </c>
      <c r="D128" s="20" t="n">
        <v>45107</v>
      </c>
      <c r="E128" s="20"/>
      <c r="F128" s="7" t="s">
        <v>759</v>
      </c>
      <c r="G128" s="7" t="s">
        <v>153</v>
      </c>
      <c r="H128" s="7" t="s">
        <v>246</v>
      </c>
      <c r="I128" s="7" t="s">
        <v>247</v>
      </c>
      <c r="J128" s="7" t="s">
        <v>236</v>
      </c>
      <c r="K128" s="7" t="s">
        <v>189</v>
      </c>
      <c r="L128" s="7" t="s">
        <v>930</v>
      </c>
      <c r="M128" s="7" t="s">
        <v>556</v>
      </c>
      <c r="N128" s="16"/>
      <c r="O128" s="7"/>
      <c r="P128" s="22"/>
      <c r="Q128" s="8" t="n">
        <v>1120.14</v>
      </c>
      <c r="R128" s="8" t="n">
        <v>-1120.14</v>
      </c>
      <c r="S128" s="7" t="s">
        <v>775</v>
      </c>
      <c r="T128" s="7"/>
      <c r="U128" s="7"/>
      <c r="V128" s="20"/>
      <c r="W128" s="7"/>
      <c r="X128" s="7" t="s">
        <v>784</v>
      </c>
      <c r="Y128" s="7"/>
      <c r="Z128" s="7"/>
      <c r="AA128" s="23" t="n">
        <f aca="false">YEAR(C128)</f>
        <v>2023</v>
      </c>
    </row>
    <row r="129" customFormat="false" ht="15" hidden="false" customHeight="false" outlineLevel="0" collapsed="false">
      <c r="A129" s="7" t="s">
        <v>1004</v>
      </c>
      <c r="B129" s="7" t="s">
        <v>137</v>
      </c>
      <c r="C129" s="20" t="n">
        <v>45108</v>
      </c>
      <c r="D129" s="20" t="n">
        <v>45108</v>
      </c>
      <c r="E129" s="20"/>
      <c r="F129" s="7" t="s">
        <v>759</v>
      </c>
      <c r="G129" s="7" t="s">
        <v>153</v>
      </c>
      <c r="H129" s="7" t="s">
        <v>545</v>
      </c>
      <c r="I129" s="7" t="s">
        <v>760</v>
      </c>
      <c r="J129" s="7" t="s">
        <v>761</v>
      </c>
      <c r="K129" s="7" t="s">
        <v>762</v>
      </c>
      <c r="L129" s="7" t="s">
        <v>546</v>
      </c>
      <c r="M129" s="7"/>
      <c r="N129" s="16"/>
      <c r="O129" s="7"/>
      <c r="P129" s="22"/>
      <c r="Q129" s="8" t="n">
        <v>4000</v>
      </c>
      <c r="R129" s="8" t="n">
        <v>-4000</v>
      </c>
      <c r="S129" s="7" t="s">
        <v>763</v>
      </c>
      <c r="T129" s="7"/>
      <c r="U129" s="7"/>
      <c r="V129" s="20"/>
      <c r="W129" s="7"/>
      <c r="X129" s="7"/>
      <c r="Y129" s="7"/>
      <c r="Z129" s="7"/>
      <c r="AA129" s="23" t="n">
        <f aca="false">YEAR(C129)</f>
        <v>2023</v>
      </c>
    </row>
    <row r="130" customFormat="false" ht="15" hidden="false" customHeight="false" outlineLevel="0" collapsed="false">
      <c r="A130" s="7" t="s">
        <v>1005</v>
      </c>
      <c r="B130" s="7" t="s">
        <v>137</v>
      </c>
      <c r="C130" s="20" t="n">
        <v>45108</v>
      </c>
      <c r="D130" s="20" t="n">
        <v>45138</v>
      </c>
      <c r="E130" s="20"/>
      <c r="F130" s="7" t="s">
        <v>759</v>
      </c>
      <c r="G130" s="7" t="s">
        <v>146</v>
      </c>
      <c r="H130" s="7" t="s">
        <v>261</v>
      </c>
      <c r="I130" s="7" t="s">
        <v>262</v>
      </c>
      <c r="J130" s="7" t="s">
        <v>221</v>
      </c>
      <c r="K130" s="7" t="s">
        <v>260</v>
      </c>
      <c r="L130" s="7" t="s">
        <v>1006</v>
      </c>
      <c r="M130" s="7" t="s">
        <v>538</v>
      </c>
      <c r="N130" s="16"/>
      <c r="O130" s="7"/>
      <c r="P130" s="22"/>
      <c r="Q130" s="8" t="n">
        <v>1280</v>
      </c>
      <c r="R130" s="8" t="n">
        <v>-1280</v>
      </c>
      <c r="S130" s="7" t="s">
        <v>751</v>
      </c>
      <c r="T130" s="7"/>
      <c r="U130" s="7" t="s">
        <v>1007</v>
      </c>
      <c r="V130" s="20" t="n">
        <v>45138</v>
      </c>
      <c r="W130" s="7"/>
      <c r="X130" s="7"/>
      <c r="Y130" s="7" t="s">
        <v>698</v>
      </c>
      <c r="Z130" s="7"/>
      <c r="AA130" s="23" t="n">
        <f aca="false">YEAR(C130)</f>
        <v>2023</v>
      </c>
    </row>
    <row r="131" customFormat="false" ht="15" hidden="false" customHeight="false" outlineLevel="0" collapsed="false">
      <c r="A131" s="7" t="s">
        <v>1008</v>
      </c>
      <c r="B131" s="7" t="s">
        <v>137</v>
      </c>
      <c r="C131" s="20" t="n">
        <v>45108</v>
      </c>
      <c r="D131" s="20" t="n">
        <v>45223</v>
      </c>
      <c r="E131" s="20"/>
      <c r="F131" s="7" t="s">
        <v>759</v>
      </c>
      <c r="G131" s="7" t="s">
        <v>149</v>
      </c>
      <c r="H131" s="7" t="s">
        <v>279</v>
      </c>
      <c r="I131" s="7" t="s">
        <v>280</v>
      </c>
      <c r="J131" s="7" t="s">
        <v>248</v>
      </c>
      <c r="K131" s="7" t="s">
        <v>278</v>
      </c>
      <c r="L131" s="7" t="s">
        <v>1009</v>
      </c>
      <c r="M131" s="7" t="s">
        <v>1010</v>
      </c>
      <c r="N131" s="16" t="n">
        <v>245</v>
      </c>
      <c r="O131" s="7" t="s">
        <v>801</v>
      </c>
      <c r="P131" s="22" t="n">
        <v>38</v>
      </c>
      <c r="Q131" s="8" t="n">
        <v>9310</v>
      </c>
      <c r="R131" s="8" t="n">
        <v>9310</v>
      </c>
      <c r="S131" s="7" t="s">
        <v>33</v>
      </c>
      <c r="T131" s="7" t="s">
        <v>1011</v>
      </c>
      <c r="U131" s="7"/>
      <c r="V131" s="20" t="n">
        <v>45138</v>
      </c>
      <c r="W131" s="7"/>
      <c r="X131" s="7"/>
      <c r="Y131" s="7"/>
      <c r="Z131" s="7"/>
      <c r="AA131" s="23" t="n">
        <f aca="false">YEAR(C131)</f>
        <v>2023</v>
      </c>
    </row>
    <row r="132" customFormat="false" ht="15" hidden="false" customHeight="false" outlineLevel="0" collapsed="false">
      <c r="A132" s="7" t="s">
        <v>1012</v>
      </c>
      <c r="B132" s="7" t="s">
        <v>137</v>
      </c>
      <c r="C132" s="20" t="n">
        <v>45108</v>
      </c>
      <c r="D132" s="20" t="n">
        <v>45223</v>
      </c>
      <c r="E132" s="20"/>
      <c r="F132" s="7" t="s">
        <v>759</v>
      </c>
      <c r="G132" s="7" t="s">
        <v>149</v>
      </c>
      <c r="H132" s="7" t="s">
        <v>281</v>
      </c>
      <c r="I132" s="7" t="s">
        <v>282</v>
      </c>
      <c r="J132" s="7" t="s">
        <v>248</v>
      </c>
      <c r="K132" s="7" t="s">
        <v>278</v>
      </c>
      <c r="L132" s="7" t="s">
        <v>1013</v>
      </c>
      <c r="M132" s="7" t="s">
        <v>1010</v>
      </c>
      <c r="N132" s="16" t="n">
        <v>4312</v>
      </c>
      <c r="O132" s="7" t="s">
        <v>798</v>
      </c>
      <c r="P132" s="22" t="n">
        <v>0.17</v>
      </c>
      <c r="Q132" s="8" t="n">
        <v>733.04</v>
      </c>
      <c r="R132" s="8" t="n">
        <v>733.04</v>
      </c>
      <c r="S132" s="7" t="s">
        <v>33</v>
      </c>
      <c r="T132" s="7" t="s">
        <v>1011</v>
      </c>
      <c r="U132" s="7"/>
      <c r="V132" s="20" t="n">
        <v>45138</v>
      </c>
      <c r="W132" s="7"/>
      <c r="X132" s="7"/>
      <c r="Y132" s="7"/>
      <c r="Z132" s="7"/>
      <c r="AA132" s="23" t="n">
        <f aca="false">YEAR(C132)</f>
        <v>2023</v>
      </c>
    </row>
    <row r="133" customFormat="false" ht="15" hidden="false" customHeight="false" outlineLevel="0" collapsed="false">
      <c r="A133" s="7" t="s">
        <v>1014</v>
      </c>
      <c r="B133" s="7" t="s">
        <v>137</v>
      </c>
      <c r="C133" s="20" t="n">
        <v>45109</v>
      </c>
      <c r="D133" s="20" t="n">
        <v>45169</v>
      </c>
      <c r="E133" s="20"/>
      <c r="F133" s="7" t="s">
        <v>759</v>
      </c>
      <c r="G133" s="7" t="s">
        <v>149</v>
      </c>
      <c r="H133" s="7" t="s">
        <v>279</v>
      </c>
      <c r="I133" s="7" t="s">
        <v>280</v>
      </c>
      <c r="J133" s="7" t="s">
        <v>248</v>
      </c>
      <c r="K133" s="7" t="s">
        <v>278</v>
      </c>
      <c r="L133" s="7" t="s">
        <v>1015</v>
      </c>
      <c r="M133" s="7" t="s">
        <v>1016</v>
      </c>
      <c r="N133" s="16" t="n">
        <v>146</v>
      </c>
      <c r="O133" s="7" t="s">
        <v>801</v>
      </c>
      <c r="P133" s="22" t="n">
        <v>38</v>
      </c>
      <c r="Q133" s="8" t="n">
        <v>5548</v>
      </c>
      <c r="R133" s="8" t="n">
        <v>5548</v>
      </c>
      <c r="S133" s="7" t="s">
        <v>33</v>
      </c>
      <c r="T133" s="7" t="s">
        <v>1017</v>
      </c>
      <c r="U133" s="7"/>
      <c r="V133" s="20" t="n">
        <v>45139</v>
      </c>
      <c r="W133" s="7"/>
      <c r="X133" s="7"/>
      <c r="Y133" s="7"/>
      <c r="Z133" s="7"/>
      <c r="AA133" s="23" t="n">
        <f aca="false">YEAR(C133)</f>
        <v>2023</v>
      </c>
    </row>
    <row r="134" customFormat="false" ht="15" hidden="false" customHeight="false" outlineLevel="0" collapsed="false">
      <c r="A134" s="7" t="s">
        <v>1018</v>
      </c>
      <c r="B134" s="7" t="s">
        <v>137</v>
      </c>
      <c r="C134" s="20" t="n">
        <v>45109</v>
      </c>
      <c r="D134" s="20" t="n">
        <v>45169</v>
      </c>
      <c r="E134" s="20"/>
      <c r="F134" s="7" t="s">
        <v>759</v>
      </c>
      <c r="G134" s="7" t="s">
        <v>149</v>
      </c>
      <c r="H134" s="7" t="s">
        <v>281</v>
      </c>
      <c r="I134" s="7" t="s">
        <v>282</v>
      </c>
      <c r="J134" s="7" t="s">
        <v>248</v>
      </c>
      <c r="K134" s="7" t="s">
        <v>278</v>
      </c>
      <c r="L134" s="7" t="s">
        <v>1019</v>
      </c>
      <c r="M134" s="7" t="s">
        <v>1016</v>
      </c>
      <c r="N134" s="16" t="n">
        <v>2570</v>
      </c>
      <c r="O134" s="7" t="s">
        <v>798</v>
      </c>
      <c r="P134" s="22" t="n">
        <v>0.17</v>
      </c>
      <c r="Q134" s="8" t="n">
        <v>436.83</v>
      </c>
      <c r="R134" s="8" t="n">
        <v>436.83</v>
      </c>
      <c r="S134" s="7" t="s">
        <v>33</v>
      </c>
      <c r="T134" s="7" t="s">
        <v>1017</v>
      </c>
      <c r="U134" s="7"/>
      <c r="V134" s="20" t="n">
        <v>45139</v>
      </c>
      <c r="W134" s="7"/>
      <c r="X134" s="7"/>
      <c r="Y134" s="7"/>
      <c r="Z134" s="7"/>
      <c r="AA134" s="23" t="n">
        <f aca="false">YEAR(C134)</f>
        <v>2023</v>
      </c>
    </row>
    <row r="135" customFormat="false" ht="15" hidden="false" customHeight="false" outlineLevel="0" collapsed="false">
      <c r="A135" s="7" t="s">
        <v>1020</v>
      </c>
      <c r="B135" s="7" t="s">
        <v>137</v>
      </c>
      <c r="C135" s="20" t="n">
        <v>45110</v>
      </c>
      <c r="D135" s="20" t="n">
        <v>45110</v>
      </c>
      <c r="E135" s="20"/>
      <c r="F135" s="7" t="s">
        <v>759</v>
      </c>
      <c r="G135" s="7" t="s">
        <v>153</v>
      </c>
      <c r="H135" s="7" t="s">
        <v>561</v>
      </c>
      <c r="I135" s="7" t="s">
        <v>363</v>
      </c>
      <c r="J135" s="7" t="s">
        <v>761</v>
      </c>
      <c r="K135" s="7" t="s">
        <v>772</v>
      </c>
      <c r="L135" s="7" t="s">
        <v>562</v>
      </c>
      <c r="M135" s="7" t="s">
        <v>556</v>
      </c>
      <c r="N135" s="16"/>
      <c r="O135" s="7"/>
      <c r="P135" s="22"/>
      <c r="Q135" s="8" t="n">
        <v>18000</v>
      </c>
      <c r="R135" s="8" t="n">
        <v>18000</v>
      </c>
      <c r="S135" s="7" t="s">
        <v>783</v>
      </c>
      <c r="T135" s="7"/>
      <c r="U135" s="7"/>
      <c r="V135" s="20"/>
      <c r="W135" s="7"/>
      <c r="X135" s="7" t="s">
        <v>784</v>
      </c>
      <c r="Y135" s="7"/>
      <c r="Z135" s="7"/>
      <c r="AA135" s="23" t="n">
        <f aca="false">YEAR(C135)</f>
        <v>2023</v>
      </c>
    </row>
    <row r="136" customFormat="false" ht="15" hidden="false" customHeight="false" outlineLevel="0" collapsed="false">
      <c r="A136" s="7" t="s">
        <v>1021</v>
      </c>
      <c r="B136" s="7" t="s">
        <v>137</v>
      </c>
      <c r="C136" s="20" t="n">
        <v>45113</v>
      </c>
      <c r="D136" s="20" t="n">
        <v>45145</v>
      </c>
      <c r="E136" s="20"/>
      <c r="F136" s="7" t="s">
        <v>759</v>
      </c>
      <c r="G136" s="7" t="s">
        <v>149</v>
      </c>
      <c r="H136" s="7" t="s">
        <v>268</v>
      </c>
      <c r="I136" s="7" t="s">
        <v>269</v>
      </c>
      <c r="J136" s="7" t="s">
        <v>221</v>
      </c>
      <c r="K136" s="7" t="s">
        <v>267</v>
      </c>
      <c r="L136" s="7" t="s">
        <v>1022</v>
      </c>
      <c r="M136" s="7" t="s">
        <v>563</v>
      </c>
      <c r="N136" s="16"/>
      <c r="O136" s="7"/>
      <c r="P136" s="22"/>
      <c r="Q136" s="8" t="n">
        <v>8745.3</v>
      </c>
      <c r="R136" s="8" t="n">
        <v>-8745.3</v>
      </c>
      <c r="S136" s="7" t="s">
        <v>751</v>
      </c>
      <c r="T136" s="7"/>
      <c r="U136" s="7" t="s">
        <v>1023</v>
      </c>
      <c r="V136" s="20" t="n">
        <v>45143</v>
      </c>
      <c r="W136" s="7"/>
      <c r="X136" s="7"/>
      <c r="Y136" s="7"/>
      <c r="Z136" s="7"/>
      <c r="AA136" s="23" t="n">
        <f aca="false">YEAR(C136)</f>
        <v>2023</v>
      </c>
    </row>
    <row r="137" customFormat="false" ht="15" hidden="false" customHeight="false" outlineLevel="0" collapsed="false">
      <c r="A137" s="7" t="s">
        <v>1024</v>
      </c>
      <c r="B137" s="7" t="s">
        <v>137</v>
      </c>
      <c r="C137" s="20" t="n">
        <v>45113</v>
      </c>
      <c r="D137" s="20" t="n">
        <v>45145</v>
      </c>
      <c r="E137" s="20"/>
      <c r="F137" s="7" t="s">
        <v>759</v>
      </c>
      <c r="G137" s="7" t="s">
        <v>149</v>
      </c>
      <c r="H137" s="7" t="s">
        <v>268</v>
      </c>
      <c r="I137" s="7" t="s">
        <v>269</v>
      </c>
      <c r="J137" s="7" t="s">
        <v>221</v>
      </c>
      <c r="K137" s="7" t="s">
        <v>267</v>
      </c>
      <c r="L137" s="7" t="s">
        <v>1025</v>
      </c>
      <c r="M137" s="7" t="s">
        <v>563</v>
      </c>
      <c r="N137" s="16"/>
      <c r="O137" s="7"/>
      <c r="P137" s="22"/>
      <c r="Q137" s="8" t="n">
        <v>548.95</v>
      </c>
      <c r="R137" s="8" t="n">
        <v>-548.95</v>
      </c>
      <c r="S137" s="7" t="s">
        <v>751</v>
      </c>
      <c r="T137" s="7"/>
      <c r="U137" s="7" t="s">
        <v>1026</v>
      </c>
      <c r="V137" s="20" t="n">
        <v>45143</v>
      </c>
      <c r="W137" s="7"/>
      <c r="X137" s="7"/>
      <c r="Y137" s="7"/>
      <c r="Z137" s="7"/>
      <c r="AA137" s="23" t="n">
        <f aca="false">YEAR(C137)</f>
        <v>2023</v>
      </c>
    </row>
    <row r="138" customFormat="false" ht="15" hidden="false" customHeight="false" outlineLevel="0" collapsed="false">
      <c r="A138" s="7" t="s">
        <v>1027</v>
      </c>
      <c r="B138" s="7" t="s">
        <v>137</v>
      </c>
      <c r="C138" s="20" t="n">
        <v>45114</v>
      </c>
      <c r="D138" s="20" t="n">
        <v>45114</v>
      </c>
      <c r="E138" s="20"/>
      <c r="F138" s="7" t="s">
        <v>759</v>
      </c>
      <c r="G138" s="7" t="s">
        <v>149</v>
      </c>
      <c r="H138" s="7" t="s">
        <v>271</v>
      </c>
      <c r="I138" s="7" t="s">
        <v>272</v>
      </c>
      <c r="J138" s="7" t="s">
        <v>221</v>
      </c>
      <c r="K138" s="7" t="s">
        <v>270</v>
      </c>
      <c r="L138" s="7" t="s">
        <v>957</v>
      </c>
      <c r="M138" s="7" t="s">
        <v>541</v>
      </c>
      <c r="N138" s="16"/>
      <c r="O138" s="7"/>
      <c r="P138" s="22"/>
      <c r="Q138" s="8" t="n">
        <v>1267.25</v>
      </c>
      <c r="R138" s="8" t="n">
        <v>-1267.25</v>
      </c>
      <c r="S138" s="7" t="s">
        <v>744</v>
      </c>
      <c r="T138" s="7"/>
      <c r="U138" s="7"/>
      <c r="V138" s="20"/>
      <c r="W138" s="7"/>
      <c r="X138" s="7"/>
      <c r="Y138" s="7"/>
      <c r="Z138" s="7"/>
      <c r="AA138" s="23" t="n">
        <f aca="false">YEAR(C138)</f>
        <v>2023</v>
      </c>
    </row>
    <row r="139" customFormat="false" ht="15" hidden="false" customHeight="false" outlineLevel="0" collapsed="false">
      <c r="A139" s="7" t="s">
        <v>1028</v>
      </c>
      <c r="B139" s="7" t="s">
        <v>137</v>
      </c>
      <c r="C139" s="20" t="n">
        <v>45114</v>
      </c>
      <c r="D139" s="20" t="n">
        <v>45114</v>
      </c>
      <c r="E139" s="20"/>
      <c r="F139" s="7" t="s">
        <v>759</v>
      </c>
      <c r="G139" s="7" t="s">
        <v>153</v>
      </c>
      <c r="H139" s="7" t="s">
        <v>271</v>
      </c>
      <c r="I139" s="7" t="s">
        <v>272</v>
      </c>
      <c r="J139" s="7" t="s">
        <v>221</v>
      </c>
      <c r="K139" s="7" t="s">
        <v>270</v>
      </c>
      <c r="L139" s="7" t="s">
        <v>544</v>
      </c>
      <c r="M139" s="7" t="s">
        <v>541</v>
      </c>
      <c r="N139" s="16"/>
      <c r="O139" s="7"/>
      <c r="P139" s="22"/>
      <c r="Q139" s="8" t="n">
        <v>844.83</v>
      </c>
      <c r="R139" s="8" t="n">
        <v>-844.83</v>
      </c>
      <c r="S139" s="7" t="s">
        <v>744</v>
      </c>
      <c r="T139" s="7"/>
      <c r="U139" s="7"/>
      <c r="V139" s="20"/>
      <c r="W139" s="7"/>
      <c r="X139" s="7"/>
      <c r="Y139" s="7"/>
      <c r="Z139" s="7"/>
      <c r="AA139" s="23" t="n">
        <f aca="false">YEAR(C139)</f>
        <v>2023</v>
      </c>
    </row>
    <row r="140" customFormat="false" ht="15" hidden="false" customHeight="false" outlineLevel="0" collapsed="false">
      <c r="A140" s="7" t="s">
        <v>1029</v>
      </c>
      <c r="B140" s="7" t="s">
        <v>137</v>
      </c>
      <c r="C140" s="20" t="n">
        <v>45114</v>
      </c>
      <c r="D140" s="20" t="n">
        <v>45153</v>
      </c>
      <c r="E140" s="20"/>
      <c r="F140" s="7" t="s">
        <v>759</v>
      </c>
      <c r="G140" s="7" t="s">
        <v>149</v>
      </c>
      <c r="H140" s="7" t="s">
        <v>273</v>
      </c>
      <c r="I140" s="7" t="s">
        <v>274</v>
      </c>
      <c r="J140" s="7" t="s">
        <v>221</v>
      </c>
      <c r="K140" s="7" t="s">
        <v>270</v>
      </c>
      <c r="L140" s="7" t="s">
        <v>554</v>
      </c>
      <c r="M140" s="7" t="s">
        <v>541</v>
      </c>
      <c r="N140" s="16"/>
      <c r="O140" s="7"/>
      <c r="P140" s="22"/>
      <c r="Q140" s="8" t="n">
        <v>185.86</v>
      </c>
      <c r="R140" s="8" t="n">
        <v>-185.86</v>
      </c>
      <c r="S140" s="7" t="s">
        <v>789</v>
      </c>
      <c r="T140" s="7"/>
      <c r="U140" s="7"/>
      <c r="V140" s="20"/>
      <c r="W140" s="7"/>
      <c r="X140" s="7"/>
      <c r="Y140" s="7"/>
      <c r="Z140" s="7"/>
      <c r="AA140" s="23" t="n">
        <f aca="false">YEAR(C140)</f>
        <v>2023</v>
      </c>
    </row>
    <row r="141" customFormat="false" ht="15" hidden="false" customHeight="false" outlineLevel="0" collapsed="false">
      <c r="A141" s="7" t="s">
        <v>1030</v>
      </c>
      <c r="B141" s="7" t="s">
        <v>137</v>
      </c>
      <c r="C141" s="20" t="n">
        <v>45115</v>
      </c>
      <c r="D141" s="20" t="n">
        <v>45160</v>
      </c>
      <c r="E141" s="20"/>
      <c r="F141" s="7" t="s">
        <v>759</v>
      </c>
      <c r="G141" s="7" t="s">
        <v>153</v>
      </c>
      <c r="H141" s="7" t="s">
        <v>244</v>
      </c>
      <c r="I141" s="7" t="s">
        <v>245</v>
      </c>
      <c r="J141" s="7" t="s">
        <v>229</v>
      </c>
      <c r="K141" s="7" t="s">
        <v>233</v>
      </c>
      <c r="L141" s="7" t="s">
        <v>570</v>
      </c>
      <c r="M141" s="7"/>
      <c r="N141" s="16"/>
      <c r="O141" s="7"/>
      <c r="P141" s="22"/>
      <c r="Q141" s="8" t="n">
        <v>165</v>
      </c>
      <c r="R141" s="8" t="n">
        <v>-165</v>
      </c>
      <c r="S141" s="7" t="s">
        <v>765</v>
      </c>
      <c r="T141" s="7"/>
      <c r="U141" s="7"/>
      <c r="V141" s="20"/>
      <c r="W141" s="7"/>
      <c r="X141" s="7"/>
      <c r="Y141" s="7"/>
      <c r="Z141" s="7"/>
      <c r="AA141" s="23" t="n">
        <f aca="false">YEAR(C141)</f>
        <v>2023</v>
      </c>
    </row>
    <row r="142" customFormat="false" ht="15" hidden="false" customHeight="false" outlineLevel="0" collapsed="false">
      <c r="A142" s="7" t="s">
        <v>1031</v>
      </c>
      <c r="B142" s="7" t="s">
        <v>137</v>
      </c>
      <c r="C142" s="20" t="n">
        <v>45117</v>
      </c>
      <c r="D142" s="20" t="n">
        <v>45117</v>
      </c>
      <c r="E142" s="20"/>
      <c r="F142" s="7" t="s">
        <v>759</v>
      </c>
      <c r="G142" s="7" t="s">
        <v>153</v>
      </c>
      <c r="H142" s="7" t="s">
        <v>237</v>
      </c>
      <c r="I142" s="7" t="s">
        <v>238</v>
      </c>
      <c r="J142" s="7" t="s">
        <v>236</v>
      </c>
      <c r="K142" s="7" t="s">
        <v>189</v>
      </c>
      <c r="L142" s="7" t="s">
        <v>1032</v>
      </c>
      <c r="M142" s="7" t="s">
        <v>768</v>
      </c>
      <c r="N142" s="16"/>
      <c r="O142" s="7"/>
      <c r="P142" s="22"/>
      <c r="Q142" s="8" t="n">
        <v>93.17</v>
      </c>
      <c r="R142" s="8" t="n">
        <v>-93.17</v>
      </c>
      <c r="S142" s="7" t="s">
        <v>744</v>
      </c>
      <c r="T142" s="7"/>
      <c r="U142" s="7"/>
      <c r="V142" s="20"/>
      <c r="W142" s="7"/>
      <c r="X142" s="7" t="s">
        <v>769</v>
      </c>
      <c r="Y142" s="7"/>
      <c r="Z142" s="7"/>
      <c r="AA142" s="23" t="n">
        <f aca="false">YEAR(C142)</f>
        <v>2023</v>
      </c>
    </row>
    <row r="143" customFormat="false" ht="15" hidden="false" customHeight="false" outlineLevel="0" collapsed="false">
      <c r="A143" s="7" t="s">
        <v>1033</v>
      </c>
      <c r="B143" s="7" t="s">
        <v>137</v>
      </c>
      <c r="C143" s="20" t="n">
        <v>45117</v>
      </c>
      <c r="D143" s="20" t="n">
        <v>45117</v>
      </c>
      <c r="E143" s="20"/>
      <c r="F143" s="7" t="s">
        <v>759</v>
      </c>
      <c r="G143" s="7" t="s">
        <v>153</v>
      </c>
      <c r="H143" s="7" t="s">
        <v>559</v>
      </c>
      <c r="I143" s="7" t="s">
        <v>771</v>
      </c>
      <c r="J143" s="7" t="s">
        <v>761</v>
      </c>
      <c r="K143" s="7" t="s">
        <v>772</v>
      </c>
      <c r="L143" s="7" t="s">
        <v>1034</v>
      </c>
      <c r="M143" s="7" t="s">
        <v>768</v>
      </c>
      <c r="N143" s="16"/>
      <c r="O143" s="7"/>
      <c r="P143" s="22"/>
      <c r="Q143" s="8" t="n">
        <v>751.92</v>
      </c>
      <c r="R143" s="8" t="n">
        <v>-751.92</v>
      </c>
      <c r="S143" s="7" t="s">
        <v>744</v>
      </c>
      <c r="T143" s="7"/>
      <c r="U143" s="7"/>
      <c r="V143" s="20"/>
      <c r="W143" s="7"/>
      <c r="X143" s="7" t="s">
        <v>769</v>
      </c>
      <c r="Y143" s="7"/>
      <c r="Z143" s="7"/>
      <c r="AA143" s="23" t="n">
        <f aca="false">YEAR(C143)</f>
        <v>2023</v>
      </c>
    </row>
    <row r="144" customFormat="false" ht="15" hidden="false" customHeight="false" outlineLevel="0" collapsed="false">
      <c r="A144" s="7" t="s">
        <v>1035</v>
      </c>
      <c r="B144" s="7" t="s">
        <v>137</v>
      </c>
      <c r="C144" s="20" t="n">
        <v>45119</v>
      </c>
      <c r="D144" s="20" t="n">
        <v>45119</v>
      </c>
      <c r="E144" s="20"/>
      <c r="F144" s="7" t="s">
        <v>759</v>
      </c>
      <c r="G144" s="7" t="s">
        <v>153</v>
      </c>
      <c r="H144" s="7" t="s">
        <v>240</v>
      </c>
      <c r="I144" s="7" t="s">
        <v>239</v>
      </c>
      <c r="J144" s="7" t="s">
        <v>229</v>
      </c>
      <c r="K144" s="7" t="s">
        <v>239</v>
      </c>
      <c r="L144" s="7" t="s">
        <v>548</v>
      </c>
      <c r="M144" s="7" t="s">
        <v>547</v>
      </c>
      <c r="N144" s="16"/>
      <c r="O144" s="7"/>
      <c r="P144" s="22"/>
      <c r="Q144" s="8" t="n">
        <v>267.75</v>
      </c>
      <c r="R144" s="8" t="n">
        <v>-267.75</v>
      </c>
      <c r="S144" s="7" t="s">
        <v>775</v>
      </c>
      <c r="T144" s="7"/>
      <c r="U144" s="7"/>
      <c r="V144" s="20"/>
      <c r="W144" s="7"/>
      <c r="X144" s="7"/>
      <c r="Y144" s="7"/>
      <c r="Z144" s="7"/>
      <c r="AA144" s="23" t="n">
        <f aca="false">YEAR(C144)</f>
        <v>2023</v>
      </c>
    </row>
    <row r="145" customFormat="false" ht="15" hidden="false" customHeight="false" outlineLevel="0" collapsed="false">
      <c r="A145" s="7" t="s">
        <v>1036</v>
      </c>
      <c r="B145" s="7" t="s">
        <v>137</v>
      </c>
      <c r="C145" s="20" t="n">
        <v>45125</v>
      </c>
      <c r="D145" s="20" t="n">
        <v>45140</v>
      </c>
      <c r="E145" s="20"/>
      <c r="F145" s="7" t="s">
        <v>759</v>
      </c>
      <c r="G145" s="7" t="s">
        <v>141</v>
      </c>
      <c r="H145" s="7" t="s">
        <v>276</v>
      </c>
      <c r="I145" s="7" t="s">
        <v>277</v>
      </c>
      <c r="J145" s="7" t="s">
        <v>221</v>
      </c>
      <c r="K145" s="7" t="s">
        <v>275</v>
      </c>
      <c r="L145" s="7" t="s">
        <v>1037</v>
      </c>
      <c r="M145" s="7" t="s">
        <v>547</v>
      </c>
      <c r="N145" s="16"/>
      <c r="O145" s="7"/>
      <c r="P145" s="22"/>
      <c r="Q145" s="8" t="n">
        <v>7931.25</v>
      </c>
      <c r="R145" s="8" t="n">
        <v>-7931.25</v>
      </c>
      <c r="S145" s="7" t="s">
        <v>751</v>
      </c>
      <c r="T145" s="7"/>
      <c r="U145" s="7" t="s">
        <v>1038</v>
      </c>
      <c r="V145" s="20" t="n">
        <v>45140</v>
      </c>
      <c r="W145" s="7"/>
      <c r="X145" s="7"/>
      <c r="Y145" s="7" t="s">
        <v>704</v>
      </c>
      <c r="Z145" s="7"/>
      <c r="AA145" s="23" t="n">
        <f aca="false">YEAR(C145)</f>
        <v>2023</v>
      </c>
    </row>
    <row r="146" customFormat="false" ht="15" hidden="false" customHeight="false" outlineLevel="0" collapsed="false">
      <c r="A146" s="7" t="s">
        <v>1039</v>
      </c>
      <c r="B146" s="7" t="s">
        <v>137</v>
      </c>
      <c r="C146" s="20" t="n">
        <v>45128</v>
      </c>
      <c r="D146" s="20" t="n">
        <v>45128</v>
      </c>
      <c r="E146" s="20"/>
      <c r="F146" s="7" t="s">
        <v>759</v>
      </c>
      <c r="G146" s="7" t="s">
        <v>149</v>
      </c>
      <c r="H146" s="7" t="s">
        <v>271</v>
      </c>
      <c r="I146" s="7" t="s">
        <v>272</v>
      </c>
      <c r="J146" s="7" t="s">
        <v>221</v>
      </c>
      <c r="K146" s="7" t="s">
        <v>270</v>
      </c>
      <c r="L146" s="7" t="s">
        <v>1040</v>
      </c>
      <c r="M146" s="7" t="s">
        <v>541</v>
      </c>
      <c r="N146" s="16"/>
      <c r="O146" s="7"/>
      <c r="P146" s="22"/>
      <c r="Q146" s="8" t="n">
        <v>596.13</v>
      </c>
      <c r="R146" s="8" t="n">
        <v>-596.13</v>
      </c>
      <c r="S146" s="7" t="s">
        <v>744</v>
      </c>
      <c r="T146" s="7"/>
      <c r="U146" s="7"/>
      <c r="V146" s="20"/>
      <c r="W146" s="7"/>
      <c r="X146" s="7"/>
      <c r="Y146" s="7"/>
      <c r="Z146" s="7"/>
      <c r="AA146" s="23" t="n">
        <f aca="false">YEAR(C146)</f>
        <v>2023</v>
      </c>
    </row>
    <row r="147" customFormat="false" ht="15" hidden="false" customHeight="false" outlineLevel="0" collapsed="false">
      <c r="A147" s="7" t="s">
        <v>1041</v>
      </c>
      <c r="B147" s="7" t="s">
        <v>137</v>
      </c>
      <c r="C147" s="20" t="n">
        <v>45128</v>
      </c>
      <c r="D147" s="20" t="n">
        <v>45128</v>
      </c>
      <c r="E147" s="20"/>
      <c r="F147" s="7" t="s">
        <v>759</v>
      </c>
      <c r="G147" s="7" t="s">
        <v>153</v>
      </c>
      <c r="H147" s="7" t="s">
        <v>271</v>
      </c>
      <c r="I147" s="7" t="s">
        <v>272</v>
      </c>
      <c r="J147" s="7" t="s">
        <v>221</v>
      </c>
      <c r="K147" s="7" t="s">
        <v>270</v>
      </c>
      <c r="L147" s="7" t="s">
        <v>544</v>
      </c>
      <c r="M147" s="7" t="s">
        <v>541</v>
      </c>
      <c r="N147" s="16"/>
      <c r="O147" s="7"/>
      <c r="P147" s="22"/>
      <c r="Q147" s="8" t="n">
        <v>397.42</v>
      </c>
      <c r="R147" s="8" t="n">
        <v>-397.42</v>
      </c>
      <c r="S147" s="7" t="s">
        <v>744</v>
      </c>
      <c r="T147" s="7"/>
      <c r="U147" s="7"/>
      <c r="V147" s="20"/>
      <c r="W147" s="7"/>
      <c r="X147" s="7"/>
      <c r="Y147" s="7"/>
      <c r="Z147" s="7"/>
      <c r="AA147" s="23" t="n">
        <f aca="false">YEAR(C147)</f>
        <v>2023</v>
      </c>
    </row>
    <row r="148" customFormat="false" ht="15" hidden="false" customHeight="false" outlineLevel="0" collapsed="false">
      <c r="A148" s="7" t="s">
        <v>1042</v>
      </c>
      <c r="B148" s="7" t="s">
        <v>137</v>
      </c>
      <c r="C148" s="20" t="n">
        <v>45128</v>
      </c>
      <c r="D148" s="20" t="n">
        <v>45153</v>
      </c>
      <c r="E148" s="20"/>
      <c r="F148" s="7" t="s">
        <v>759</v>
      </c>
      <c r="G148" s="7" t="s">
        <v>149</v>
      </c>
      <c r="H148" s="7" t="s">
        <v>273</v>
      </c>
      <c r="I148" s="7" t="s">
        <v>274</v>
      </c>
      <c r="J148" s="7" t="s">
        <v>221</v>
      </c>
      <c r="K148" s="7" t="s">
        <v>270</v>
      </c>
      <c r="L148" s="7" t="s">
        <v>554</v>
      </c>
      <c r="M148" s="7" t="s">
        <v>541</v>
      </c>
      <c r="N148" s="16"/>
      <c r="O148" s="7"/>
      <c r="P148" s="22"/>
      <c r="Q148" s="8" t="n">
        <v>87.43</v>
      </c>
      <c r="R148" s="8" t="n">
        <v>-87.43</v>
      </c>
      <c r="S148" s="7" t="s">
        <v>789</v>
      </c>
      <c r="T148" s="7"/>
      <c r="U148" s="7"/>
      <c r="V148" s="20"/>
      <c r="W148" s="7"/>
      <c r="X148" s="7"/>
      <c r="Y148" s="7"/>
      <c r="Z148" s="7"/>
      <c r="AA148" s="23" t="n">
        <f aca="false">YEAR(C148)</f>
        <v>2023</v>
      </c>
    </row>
    <row r="149" customFormat="false" ht="15" hidden="false" customHeight="false" outlineLevel="0" collapsed="false">
      <c r="A149" s="7" t="s">
        <v>1043</v>
      </c>
      <c r="B149" s="7" t="s">
        <v>137</v>
      </c>
      <c r="C149" s="20" t="n">
        <v>45129</v>
      </c>
      <c r="D149" s="20" t="n">
        <v>45159</v>
      </c>
      <c r="E149" s="20"/>
      <c r="F149" s="7" t="s">
        <v>759</v>
      </c>
      <c r="G149" s="7" t="s">
        <v>141</v>
      </c>
      <c r="H149" s="7" t="s">
        <v>264</v>
      </c>
      <c r="I149" s="7" t="s">
        <v>263</v>
      </c>
      <c r="J149" s="7" t="s">
        <v>221</v>
      </c>
      <c r="K149" s="7" t="s">
        <v>263</v>
      </c>
      <c r="L149" s="7" t="s">
        <v>1044</v>
      </c>
      <c r="M149" s="7" t="s">
        <v>563</v>
      </c>
      <c r="N149" s="16"/>
      <c r="O149" s="7"/>
      <c r="P149" s="22"/>
      <c r="Q149" s="8" t="n">
        <v>3500</v>
      </c>
      <c r="R149" s="8" t="n">
        <v>-3500</v>
      </c>
      <c r="S149" s="7" t="s">
        <v>751</v>
      </c>
      <c r="T149" s="7"/>
      <c r="U149" s="7" t="s">
        <v>1045</v>
      </c>
      <c r="V149" s="20" t="n">
        <v>45159</v>
      </c>
      <c r="W149" s="7"/>
      <c r="X149" s="7"/>
      <c r="Y149" s="7" t="s">
        <v>704</v>
      </c>
      <c r="Z149" s="7"/>
      <c r="AA149" s="23" t="n">
        <f aca="false">YEAR(C149)</f>
        <v>2023</v>
      </c>
    </row>
    <row r="150" customFormat="false" ht="15" hidden="false" customHeight="false" outlineLevel="0" collapsed="false">
      <c r="A150" s="7" t="s">
        <v>1046</v>
      </c>
      <c r="B150" s="7" t="s">
        <v>137</v>
      </c>
      <c r="C150" s="20" t="n">
        <v>45133</v>
      </c>
      <c r="D150" s="20" t="n">
        <v>45160</v>
      </c>
      <c r="E150" s="20"/>
      <c r="F150" s="7" t="s">
        <v>759</v>
      </c>
      <c r="G150" s="7" t="s">
        <v>153</v>
      </c>
      <c r="H150" s="7" t="s">
        <v>242</v>
      </c>
      <c r="I150" s="7" t="s">
        <v>243</v>
      </c>
      <c r="J150" s="7" t="s">
        <v>229</v>
      </c>
      <c r="K150" s="7" t="s">
        <v>241</v>
      </c>
      <c r="L150" s="7" t="s">
        <v>571</v>
      </c>
      <c r="M150" s="7"/>
      <c r="N150" s="16"/>
      <c r="O150" s="7"/>
      <c r="P150" s="22"/>
      <c r="Q150" s="8" t="n">
        <v>255.28</v>
      </c>
      <c r="R150" s="8" t="n">
        <v>-255.28</v>
      </c>
      <c r="S150" s="7" t="s">
        <v>765</v>
      </c>
      <c r="T150" s="7"/>
      <c r="U150" s="7"/>
      <c r="V150" s="20"/>
      <c r="W150" s="7"/>
      <c r="X150" s="7"/>
      <c r="Y150" s="7"/>
      <c r="Z150" s="7"/>
      <c r="AA150" s="23" t="n">
        <f aca="false">YEAR(C150)</f>
        <v>2023</v>
      </c>
    </row>
    <row r="151" customFormat="false" ht="15" hidden="false" customHeight="false" outlineLevel="0" collapsed="false">
      <c r="A151" s="7" t="s">
        <v>1047</v>
      </c>
      <c r="B151" s="7" t="s">
        <v>137</v>
      </c>
      <c r="C151" s="20" t="n">
        <v>45138</v>
      </c>
      <c r="D151" s="20" t="n">
        <v>45138</v>
      </c>
      <c r="E151" s="20"/>
      <c r="F151" s="7" t="s">
        <v>759</v>
      </c>
      <c r="G151" s="7" t="s">
        <v>153</v>
      </c>
      <c r="H151" s="7" t="s">
        <v>246</v>
      </c>
      <c r="I151" s="7" t="s">
        <v>247</v>
      </c>
      <c r="J151" s="7" t="s">
        <v>236</v>
      </c>
      <c r="K151" s="7" t="s">
        <v>189</v>
      </c>
      <c r="L151" s="7" t="s">
        <v>1048</v>
      </c>
      <c r="M151" s="7" t="s">
        <v>556</v>
      </c>
      <c r="N151" s="16"/>
      <c r="O151" s="7"/>
      <c r="P151" s="22"/>
      <c r="Q151" s="8" t="n">
        <v>1410.68</v>
      </c>
      <c r="R151" s="8" t="n">
        <v>-1410.68</v>
      </c>
      <c r="S151" s="7" t="s">
        <v>775</v>
      </c>
      <c r="T151" s="7"/>
      <c r="U151" s="7"/>
      <c r="V151" s="20"/>
      <c r="W151" s="7"/>
      <c r="X151" s="7" t="s">
        <v>784</v>
      </c>
      <c r="Y151" s="7"/>
      <c r="Z151" s="7"/>
      <c r="AA151" s="23" t="n">
        <f aca="false">YEAR(C151)</f>
        <v>2023</v>
      </c>
    </row>
    <row r="152" customFormat="false" ht="15" hidden="false" customHeight="false" outlineLevel="0" collapsed="false">
      <c r="A152" s="7" t="s">
        <v>1049</v>
      </c>
      <c r="B152" s="7" t="s">
        <v>137</v>
      </c>
      <c r="C152" s="20" t="n">
        <v>45139</v>
      </c>
      <c r="D152" s="20" t="n">
        <v>45139</v>
      </c>
      <c r="E152" s="20"/>
      <c r="F152" s="7" t="s">
        <v>759</v>
      </c>
      <c r="G152" s="7" t="s">
        <v>153</v>
      </c>
      <c r="H152" s="7" t="s">
        <v>545</v>
      </c>
      <c r="I152" s="7" t="s">
        <v>760</v>
      </c>
      <c r="J152" s="7" t="s">
        <v>761</v>
      </c>
      <c r="K152" s="7" t="s">
        <v>762</v>
      </c>
      <c r="L152" s="7" t="s">
        <v>546</v>
      </c>
      <c r="M152" s="7"/>
      <c r="N152" s="16"/>
      <c r="O152" s="7"/>
      <c r="P152" s="22"/>
      <c r="Q152" s="8" t="n">
        <v>4000</v>
      </c>
      <c r="R152" s="8" t="n">
        <v>-4000</v>
      </c>
      <c r="S152" s="7" t="s">
        <v>763</v>
      </c>
      <c r="T152" s="7"/>
      <c r="U152" s="7"/>
      <c r="V152" s="20"/>
      <c r="W152" s="7"/>
      <c r="X152" s="7"/>
      <c r="Y152" s="7"/>
      <c r="Z152" s="7"/>
      <c r="AA152" s="23" t="n">
        <f aca="false">YEAR(C152)</f>
        <v>2023</v>
      </c>
    </row>
    <row r="153" customFormat="false" ht="15" hidden="false" customHeight="false" outlineLevel="0" collapsed="false">
      <c r="A153" s="7" t="s">
        <v>1050</v>
      </c>
      <c r="B153" s="7" t="s">
        <v>137</v>
      </c>
      <c r="C153" s="20" t="n">
        <v>45140</v>
      </c>
      <c r="D153" s="20" t="n">
        <v>45140</v>
      </c>
      <c r="E153" s="20"/>
      <c r="F153" s="7" t="s">
        <v>759</v>
      </c>
      <c r="G153" s="7" t="s">
        <v>153</v>
      </c>
      <c r="H153" s="7" t="s">
        <v>561</v>
      </c>
      <c r="I153" s="7" t="s">
        <v>363</v>
      </c>
      <c r="J153" s="7" t="s">
        <v>761</v>
      </c>
      <c r="K153" s="7" t="s">
        <v>772</v>
      </c>
      <c r="L153" s="7" t="s">
        <v>562</v>
      </c>
      <c r="M153" s="7" t="s">
        <v>556</v>
      </c>
      <c r="N153" s="16"/>
      <c r="O153" s="7"/>
      <c r="P153" s="22"/>
      <c r="Q153" s="8" t="n">
        <v>14000</v>
      </c>
      <c r="R153" s="8" t="n">
        <v>14000</v>
      </c>
      <c r="S153" s="7" t="s">
        <v>783</v>
      </c>
      <c r="T153" s="7"/>
      <c r="U153" s="7"/>
      <c r="V153" s="20"/>
      <c r="W153" s="7"/>
      <c r="X153" s="7" t="s">
        <v>784</v>
      </c>
      <c r="Y153" s="7"/>
      <c r="Z153" s="7"/>
      <c r="AA153" s="23" t="n">
        <f aca="false">YEAR(C153)</f>
        <v>2023</v>
      </c>
    </row>
    <row r="154" customFormat="false" ht="15" hidden="false" customHeight="false" outlineLevel="0" collapsed="false">
      <c r="A154" s="7" t="s">
        <v>1051</v>
      </c>
      <c r="B154" s="7" t="s">
        <v>137</v>
      </c>
      <c r="C154" s="20" t="n">
        <v>45142</v>
      </c>
      <c r="D154" s="20" t="n">
        <v>45142</v>
      </c>
      <c r="E154" s="20"/>
      <c r="F154" s="7" t="s">
        <v>759</v>
      </c>
      <c r="G154" s="7" t="s">
        <v>149</v>
      </c>
      <c r="H154" s="7" t="s">
        <v>271</v>
      </c>
      <c r="I154" s="7" t="s">
        <v>272</v>
      </c>
      <c r="J154" s="7" t="s">
        <v>221</v>
      </c>
      <c r="K154" s="7" t="s">
        <v>270</v>
      </c>
      <c r="L154" s="7" t="s">
        <v>941</v>
      </c>
      <c r="M154" s="7" t="s">
        <v>541</v>
      </c>
      <c r="N154" s="16"/>
      <c r="O154" s="7"/>
      <c r="P154" s="22"/>
      <c r="Q154" s="8" t="n">
        <v>701.71</v>
      </c>
      <c r="R154" s="8" t="n">
        <v>-701.71</v>
      </c>
      <c r="S154" s="7" t="s">
        <v>744</v>
      </c>
      <c r="T154" s="7"/>
      <c r="U154" s="7"/>
      <c r="V154" s="20"/>
      <c r="W154" s="7"/>
      <c r="X154" s="7"/>
      <c r="Y154" s="7"/>
      <c r="Z154" s="7"/>
      <c r="AA154" s="23" t="n">
        <f aca="false">YEAR(C154)</f>
        <v>2023</v>
      </c>
    </row>
    <row r="155" customFormat="false" ht="15" hidden="false" customHeight="false" outlineLevel="0" collapsed="false">
      <c r="A155" s="7" t="s">
        <v>1052</v>
      </c>
      <c r="B155" s="7" t="s">
        <v>137</v>
      </c>
      <c r="C155" s="20" t="n">
        <v>45142</v>
      </c>
      <c r="D155" s="20" t="n">
        <v>45142</v>
      </c>
      <c r="E155" s="20"/>
      <c r="F155" s="7" t="s">
        <v>759</v>
      </c>
      <c r="G155" s="7" t="s">
        <v>153</v>
      </c>
      <c r="H155" s="7" t="s">
        <v>271</v>
      </c>
      <c r="I155" s="7" t="s">
        <v>272</v>
      </c>
      <c r="J155" s="7" t="s">
        <v>221</v>
      </c>
      <c r="K155" s="7" t="s">
        <v>270</v>
      </c>
      <c r="L155" s="7" t="s">
        <v>544</v>
      </c>
      <c r="M155" s="7" t="s">
        <v>541</v>
      </c>
      <c r="N155" s="16"/>
      <c r="O155" s="7"/>
      <c r="P155" s="22"/>
      <c r="Q155" s="8" t="n">
        <v>467.81</v>
      </c>
      <c r="R155" s="8" t="n">
        <v>-467.81</v>
      </c>
      <c r="S155" s="7" t="s">
        <v>744</v>
      </c>
      <c r="T155" s="7"/>
      <c r="U155" s="7"/>
      <c r="V155" s="20"/>
      <c r="W155" s="7"/>
      <c r="X155" s="7"/>
      <c r="Y155" s="7"/>
      <c r="Z155" s="7"/>
      <c r="AA155" s="23" t="n">
        <f aca="false">YEAR(C155)</f>
        <v>2023</v>
      </c>
    </row>
    <row r="156" customFormat="false" ht="15" hidden="false" customHeight="false" outlineLevel="0" collapsed="false">
      <c r="A156" s="7" t="s">
        <v>1053</v>
      </c>
      <c r="B156" s="7" t="s">
        <v>137</v>
      </c>
      <c r="C156" s="20" t="n">
        <v>45142</v>
      </c>
      <c r="D156" s="20" t="n">
        <v>45184</v>
      </c>
      <c r="E156" s="20"/>
      <c r="F156" s="7" t="s">
        <v>759</v>
      </c>
      <c r="G156" s="7" t="s">
        <v>149</v>
      </c>
      <c r="H156" s="7" t="s">
        <v>273</v>
      </c>
      <c r="I156" s="7" t="s">
        <v>274</v>
      </c>
      <c r="J156" s="7" t="s">
        <v>221</v>
      </c>
      <c r="K156" s="7" t="s">
        <v>270</v>
      </c>
      <c r="L156" s="7" t="s">
        <v>554</v>
      </c>
      <c r="M156" s="7" t="s">
        <v>541</v>
      </c>
      <c r="N156" s="16"/>
      <c r="O156" s="7"/>
      <c r="P156" s="22"/>
      <c r="Q156" s="8" t="n">
        <v>102.92</v>
      </c>
      <c r="R156" s="8" t="n">
        <v>-102.92</v>
      </c>
      <c r="S156" s="7" t="s">
        <v>789</v>
      </c>
      <c r="T156" s="7"/>
      <c r="U156" s="7"/>
      <c r="V156" s="20"/>
      <c r="W156" s="7"/>
      <c r="X156" s="7"/>
      <c r="Y156" s="7"/>
      <c r="Z156" s="7"/>
      <c r="AA156" s="23" t="n">
        <f aca="false">YEAR(C156)</f>
        <v>2023</v>
      </c>
    </row>
    <row r="157" customFormat="false" ht="15" hidden="false" customHeight="false" outlineLevel="0" collapsed="false">
      <c r="A157" s="7" t="s">
        <v>1054</v>
      </c>
      <c r="B157" s="7" t="s">
        <v>137</v>
      </c>
      <c r="C157" s="20" t="n">
        <v>45146</v>
      </c>
      <c r="D157" s="20" t="n">
        <v>45191</v>
      </c>
      <c r="E157" s="20"/>
      <c r="F157" s="7" t="s">
        <v>759</v>
      </c>
      <c r="G157" s="7" t="s">
        <v>153</v>
      </c>
      <c r="H157" s="7" t="s">
        <v>244</v>
      </c>
      <c r="I157" s="7" t="s">
        <v>245</v>
      </c>
      <c r="J157" s="7" t="s">
        <v>229</v>
      </c>
      <c r="K157" s="7" t="s">
        <v>233</v>
      </c>
      <c r="L157" s="7" t="s">
        <v>570</v>
      </c>
      <c r="M157" s="7"/>
      <c r="N157" s="16"/>
      <c r="O157" s="7"/>
      <c r="P157" s="22"/>
      <c r="Q157" s="8" t="n">
        <v>165</v>
      </c>
      <c r="R157" s="8" t="n">
        <v>-165</v>
      </c>
      <c r="S157" s="7" t="s">
        <v>765</v>
      </c>
      <c r="T157" s="7"/>
      <c r="U157" s="7"/>
      <c r="V157" s="20"/>
      <c r="W157" s="7"/>
      <c r="X157" s="7"/>
      <c r="Y157" s="7"/>
      <c r="Z157" s="7"/>
      <c r="AA157" s="23" t="n">
        <f aca="false">YEAR(C157)</f>
        <v>2023</v>
      </c>
    </row>
    <row r="158" customFormat="false" ht="15" hidden="false" customHeight="false" outlineLevel="0" collapsed="false">
      <c r="A158" s="7" t="s">
        <v>1055</v>
      </c>
      <c r="B158" s="7" t="s">
        <v>137</v>
      </c>
      <c r="C158" s="20" t="n">
        <v>45148</v>
      </c>
      <c r="D158" s="20" t="n">
        <v>45148</v>
      </c>
      <c r="E158" s="20"/>
      <c r="F158" s="7" t="s">
        <v>759</v>
      </c>
      <c r="G158" s="7" t="s">
        <v>153</v>
      </c>
      <c r="H158" s="7" t="s">
        <v>237</v>
      </c>
      <c r="I158" s="7" t="s">
        <v>238</v>
      </c>
      <c r="J158" s="7" t="s">
        <v>236</v>
      </c>
      <c r="K158" s="7" t="s">
        <v>189</v>
      </c>
      <c r="L158" s="7" t="s">
        <v>1056</v>
      </c>
      <c r="M158" s="7" t="s">
        <v>768</v>
      </c>
      <c r="N158" s="16"/>
      <c r="O158" s="7"/>
      <c r="P158" s="22"/>
      <c r="Q158" s="8" t="n">
        <v>90.72</v>
      </c>
      <c r="R158" s="8" t="n">
        <v>-90.72</v>
      </c>
      <c r="S158" s="7" t="s">
        <v>744</v>
      </c>
      <c r="T158" s="7"/>
      <c r="U158" s="7"/>
      <c r="V158" s="20"/>
      <c r="W158" s="7"/>
      <c r="X158" s="7" t="s">
        <v>769</v>
      </c>
      <c r="Y158" s="7"/>
      <c r="Z158" s="7"/>
      <c r="AA158" s="23" t="n">
        <f aca="false">YEAR(C158)</f>
        <v>2023</v>
      </c>
    </row>
    <row r="159" customFormat="false" ht="15" hidden="false" customHeight="false" outlineLevel="0" collapsed="false">
      <c r="A159" s="7" t="s">
        <v>1057</v>
      </c>
      <c r="B159" s="7" t="s">
        <v>137</v>
      </c>
      <c r="C159" s="20" t="n">
        <v>45148</v>
      </c>
      <c r="D159" s="20" t="n">
        <v>45148</v>
      </c>
      <c r="E159" s="20"/>
      <c r="F159" s="7" t="s">
        <v>759</v>
      </c>
      <c r="G159" s="7" t="s">
        <v>153</v>
      </c>
      <c r="H159" s="7" t="s">
        <v>559</v>
      </c>
      <c r="I159" s="7" t="s">
        <v>771</v>
      </c>
      <c r="J159" s="7" t="s">
        <v>761</v>
      </c>
      <c r="K159" s="7" t="s">
        <v>772</v>
      </c>
      <c r="L159" s="7" t="s">
        <v>1058</v>
      </c>
      <c r="M159" s="7" t="s">
        <v>768</v>
      </c>
      <c r="N159" s="16"/>
      <c r="O159" s="7"/>
      <c r="P159" s="22"/>
      <c r="Q159" s="8" t="n">
        <v>754.37</v>
      </c>
      <c r="R159" s="8" t="n">
        <v>-754.37</v>
      </c>
      <c r="S159" s="7" t="s">
        <v>744</v>
      </c>
      <c r="T159" s="7"/>
      <c r="U159" s="7"/>
      <c r="V159" s="20"/>
      <c r="W159" s="7"/>
      <c r="X159" s="7" t="s">
        <v>769</v>
      </c>
      <c r="Y159" s="7"/>
      <c r="Z159" s="7"/>
      <c r="AA159" s="23" t="n">
        <f aca="false">YEAR(C159)</f>
        <v>2023</v>
      </c>
    </row>
    <row r="160" customFormat="false" ht="15" hidden="false" customHeight="false" outlineLevel="0" collapsed="false">
      <c r="A160" s="7" t="s">
        <v>1059</v>
      </c>
      <c r="B160" s="7" t="s">
        <v>137</v>
      </c>
      <c r="C160" s="20" t="n">
        <v>45150</v>
      </c>
      <c r="D160" s="20" t="n">
        <v>45150</v>
      </c>
      <c r="E160" s="20"/>
      <c r="F160" s="7" t="s">
        <v>759</v>
      </c>
      <c r="G160" s="7" t="s">
        <v>153</v>
      </c>
      <c r="H160" s="7" t="s">
        <v>240</v>
      </c>
      <c r="I160" s="7" t="s">
        <v>239</v>
      </c>
      <c r="J160" s="7" t="s">
        <v>229</v>
      </c>
      <c r="K160" s="7" t="s">
        <v>239</v>
      </c>
      <c r="L160" s="7" t="s">
        <v>548</v>
      </c>
      <c r="M160" s="7" t="s">
        <v>547</v>
      </c>
      <c r="N160" s="16"/>
      <c r="O160" s="7"/>
      <c r="P160" s="22"/>
      <c r="Q160" s="8" t="n">
        <v>236.07</v>
      </c>
      <c r="R160" s="8" t="n">
        <v>-236.07</v>
      </c>
      <c r="S160" s="7" t="s">
        <v>775</v>
      </c>
      <c r="T160" s="7"/>
      <c r="U160" s="7"/>
      <c r="V160" s="20"/>
      <c r="W160" s="7"/>
      <c r="X160" s="7"/>
      <c r="Y160" s="7"/>
      <c r="Z160" s="7"/>
      <c r="AA160" s="23" t="n">
        <f aca="false">YEAR(C160)</f>
        <v>2023</v>
      </c>
    </row>
    <row r="161" customFormat="false" ht="15" hidden="false" customHeight="false" outlineLevel="0" collapsed="false">
      <c r="A161" s="7" t="s">
        <v>1060</v>
      </c>
      <c r="B161" s="7" t="s">
        <v>137</v>
      </c>
      <c r="C161" s="20" t="n">
        <v>45153</v>
      </c>
      <c r="D161" s="20" t="n">
        <v>45153</v>
      </c>
      <c r="E161" s="20"/>
      <c r="F161" s="7" t="s">
        <v>759</v>
      </c>
      <c r="G161" s="7" t="s">
        <v>136</v>
      </c>
      <c r="H161" s="7" t="s">
        <v>258</v>
      </c>
      <c r="I161" s="7" t="s">
        <v>259</v>
      </c>
      <c r="J161" s="7" t="s">
        <v>221</v>
      </c>
      <c r="K161" s="7" t="s">
        <v>257</v>
      </c>
      <c r="L161" s="7" t="s">
        <v>1061</v>
      </c>
      <c r="M161" s="7" t="s">
        <v>840</v>
      </c>
      <c r="N161" s="16" t="n">
        <v>96</v>
      </c>
      <c r="O161" s="7" t="s">
        <v>801</v>
      </c>
      <c r="P161" s="22" t="n">
        <v>14.5</v>
      </c>
      <c r="Q161" s="8" t="n">
        <v>1392</v>
      </c>
      <c r="R161" s="8" t="n">
        <v>-1392</v>
      </c>
      <c r="S161" s="7" t="s">
        <v>33</v>
      </c>
      <c r="T161" s="7"/>
      <c r="U161" s="7"/>
      <c r="V161" s="20"/>
      <c r="W161" s="7"/>
      <c r="X161" s="7"/>
      <c r="Y161" s="7" t="s">
        <v>718</v>
      </c>
      <c r="Z161" s="7"/>
      <c r="AA161" s="23" t="n">
        <f aca="false">YEAR(C161)</f>
        <v>2023</v>
      </c>
    </row>
    <row r="162" customFormat="false" ht="15" hidden="false" customHeight="false" outlineLevel="0" collapsed="false">
      <c r="A162" s="7" t="s">
        <v>1062</v>
      </c>
      <c r="B162" s="7" t="s">
        <v>137</v>
      </c>
      <c r="C162" s="20" t="n">
        <v>45156</v>
      </c>
      <c r="D162" s="20" t="n">
        <v>45156</v>
      </c>
      <c r="E162" s="20"/>
      <c r="F162" s="7" t="s">
        <v>759</v>
      </c>
      <c r="G162" s="7" t="s">
        <v>149</v>
      </c>
      <c r="H162" s="7" t="s">
        <v>271</v>
      </c>
      <c r="I162" s="7" t="s">
        <v>272</v>
      </c>
      <c r="J162" s="7" t="s">
        <v>221</v>
      </c>
      <c r="K162" s="7" t="s">
        <v>270</v>
      </c>
      <c r="L162" s="7" t="s">
        <v>941</v>
      </c>
      <c r="M162" s="7" t="s">
        <v>541</v>
      </c>
      <c r="N162" s="16"/>
      <c r="O162" s="7"/>
      <c r="P162" s="22"/>
      <c r="Q162" s="8" t="n">
        <v>711.72</v>
      </c>
      <c r="R162" s="8" t="n">
        <v>-711.72</v>
      </c>
      <c r="S162" s="7" t="s">
        <v>744</v>
      </c>
      <c r="T162" s="7"/>
      <c r="U162" s="7"/>
      <c r="V162" s="20"/>
      <c r="W162" s="7"/>
      <c r="X162" s="7"/>
      <c r="Y162" s="7"/>
      <c r="Z162" s="7"/>
      <c r="AA162" s="23" t="n">
        <f aca="false">YEAR(C162)</f>
        <v>2023</v>
      </c>
    </row>
    <row r="163" customFormat="false" ht="15" hidden="false" customHeight="false" outlineLevel="0" collapsed="false">
      <c r="A163" s="7" t="s">
        <v>1063</v>
      </c>
      <c r="B163" s="7" t="s">
        <v>137</v>
      </c>
      <c r="C163" s="20" t="n">
        <v>45156</v>
      </c>
      <c r="D163" s="20" t="n">
        <v>45156</v>
      </c>
      <c r="E163" s="20"/>
      <c r="F163" s="7" t="s">
        <v>759</v>
      </c>
      <c r="G163" s="7" t="s">
        <v>153</v>
      </c>
      <c r="H163" s="7" t="s">
        <v>271</v>
      </c>
      <c r="I163" s="7" t="s">
        <v>272</v>
      </c>
      <c r="J163" s="7" t="s">
        <v>221</v>
      </c>
      <c r="K163" s="7" t="s">
        <v>270</v>
      </c>
      <c r="L163" s="7" t="s">
        <v>544</v>
      </c>
      <c r="M163" s="7" t="s">
        <v>541</v>
      </c>
      <c r="N163" s="16"/>
      <c r="O163" s="7"/>
      <c r="P163" s="22"/>
      <c r="Q163" s="8" t="n">
        <v>474.48</v>
      </c>
      <c r="R163" s="8" t="n">
        <v>-474.48</v>
      </c>
      <c r="S163" s="7" t="s">
        <v>744</v>
      </c>
      <c r="T163" s="7"/>
      <c r="U163" s="7"/>
      <c r="V163" s="20"/>
      <c r="W163" s="7"/>
      <c r="X163" s="7"/>
      <c r="Y163" s="7"/>
      <c r="Z163" s="7"/>
      <c r="AA163" s="23" t="n">
        <f aca="false">YEAR(C163)</f>
        <v>2023</v>
      </c>
    </row>
    <row r="164" customFormat="false" ht="15" hidden="false" customHeight="false" outlineLevel="0" collapsed="false">
      <c r="A164" s="7" t="s">
        <v>1064</v>
      </c>
      <c r="B164" s="7" t="s">
        <v>137</v>
      </c>
      <c r="C164" s="20" t="n">
        <v>45156</v>
      </c>
      <c r="D164" s="20" t="n">
        <v>45173</v>
      </c>
      <c r="E164" s="20"/>
      <c r="F164" s="7" t="s">
        <v>759</v>
      </c>
      <c r="G164" s="7" t="s">
        <v>141</v>
      </c>
      <c r="H164" s="7" t="s">
        <v>276</v>
      </c>
      <c r="I164" s="7" t="s">
        <v>277</v>
      </c>
      <c r="J164" s="7" t="s">
        <v>221</v>
      </c>
      <c r="K164" s="7" t="s">
        <v>275</v>
      </c>
      <c r="L164" s="7" t="s">
        <v>1065</v>
      </c>
      <c r="M164" s="7" t="s">
        <v>547</v>
      </c>
      <c r="N164" s="16"/>
      <c r="O164" s="7"/>
      <c r="P164" s="22"/>
      <c r="Q164" s="8" t="n">
        <v>5287.5</v>
      </c>
      <c r="R164" s="8" t="n">
        <v>-5287.5</v>
      </c>
      <c r="S164" s="7" t="s">
        <v>751</v>
      </c>
      <c r="T164" s="7"/>
      <c r="U164" s="7" t="s">
        <v>1066</v>
      </c>
      <c r="V164" s="20" t="n">
        <v>45171</v>
      </c>
      <c r="W164" s="7"/>
      <c r="X164" s="7"/>
      <c r="Y164" s="7" t="s">
        <v>704</v>
      </c>
      <c r="Z164" s="7"/>
      <c r="AA164" s="23" t="n">
        <f aca="false">YEAR(C164)</f>
        <v>2023</v>
      </c>
    </row>
    <row r="165" customFormat="false" ht="15" hidden="false" customHeight="false" outlineLevel="0" collapsed="false">
      <c r="A165" s="7" t="s">
        <v>1067</v>
      </c>
      <c r="B165" s="7" t="s">
        <v>137</v>
      </c>
      <c r="C165" s="20" t="n">
        <v>45156</v>
      </c>
      <c r="D165" s="20" t="n">
        <v>45184</v>
      </c>
      <c r="E165" s="20"/>
      <c r="F165" s="7" t="s">
        <v>759</v>
      </c>
      <c r="G165" s="7" t="s">
        <v>149</v>
      </c>
      <c r="H165" s="7" t="s">
        <v>273</v>
      </c>
      <c r="I165" s="7" t="s">
        <v>274</v>
      </c>
      <c r="J165" s="7" t="s">
        <v>221</v>
      </c>
      <c r="K165" s="7" t="s">
        <v>270</v>
      </c>
      <c r="L165" s="7" t="s">
        <v>554</v>
      </c>
      <c r="M165" s="7" t="s">
        <v>541</v>
      </c>
      <c r="N165" s="16"/>
      <c r="O165" s="7"/>
      <c r="P165" s="22"/>
      <c r="Q165" s="8" t="n">
        <v>104.39</v>
      </c>
      <c r="R165" s="8" t="n">
        <v>-104.39</v>
      </c>
      <c r="S165" s="7" t="s">
        <v>789</v>
      </c>
      <c r="T165" s="7"/>
      <c r="U165" s="7"/>
      <c r="V165" s="20"/>
      <c r="W165" s="7"/>
      <c r="X165" s="7"/>
      <c r="Y165" s="7"/>
      <c r="Z165" s="7"/>
      <c r="AA165" s="23" t="n">
        <f aca="false">YEAR(C165)</f>
        <v>2023</v>
      </c>
    </row>
    <row r="166" customFormat="false" ht="15" hidden="false" customHeight="false" outlineLevel="0" collapsed="false">
      <c r="A166" s="7" t="s">
        <v>1068</v>
      </c>
      <c r="B166" s="7" t="s">
        <v>137</v>
      </c>
      <c r="C166" s="20" t="n">
        <v>45162</v>
      </c>
      <c r="D166" s="20" t="n">
        <v>45197</v>
      </c>
      <c r="E166" s="20"/>
      <c r="F166" s="7" t="s">
        <v>759</v>
      </c>
      <c r="G166" s="7" t="s">
        <v>149</v>
      </c>
      <c r="H166" s="7" t="s">
        <v>261</v>
      </c>
      <c r="I166" s="7" t="s">
        <v>262</v>
      </c>
      <c r="J166" s="7" t="s">
        <v>221</v>
      </c>
      <c r="K166" s="7" t="s">
        <v>260</v>
      </c>
      <c r="L166" s="7" t="s">
        <v>1069</v>
      </c>
      <c r="M166" s="7" t="s">
        <v>538</v>
      </c>
      <c r="N166" s="16"/>
      <c r="O166" s="7"/>
      <c r="P166" s="22"/>
      <c r="Q166" s="8" t="n">
        <v>3740</v>
      </c>
      <c r="R166" s="8" t="n">
        <v>-3740</v>
      </c>
      <c r="S166" s="7" t="s">
        <v>751</v>
      </c>
      <c r="T166" s="7"/>
      <c r="U166" s="7" t="s">
        <v>1070</v>
      </c>
      <c r="V166" s="20" t="n">
        <v>45192</v>
      </c>
      <c r="W166" s="7" t="s">
        <v>938</v>
      </c>
      <c r="X166" s="7"/>
      <c r="Y166" s="7"/>
      <c r="Z166" s="7"/>
      <c r="AA166" s="23" t="n">
        <f aca="false">YEAR(C166)</f>
        <v>2023</v>
      </c>
    </row>
    <row r="167" customFormat="false" ht="15" hidden="false" customHeight="false" outlineLevel="0" collapsed="false">
      <c r="A167" s="7" t="s">
        <v>1071</v>
      </c>
      <c r="B167" s="7" t="s">
        <v>137</v>
      </c>
      <c r="C167" s="20" t="n">
        <v>45162</v>
      </c>
      <c r="D167" s="20" t="n">
        <v>45197</v>
      </c>
      <c r="E167" s="20"/>
      <c r="F167" s="7" t="s">
        <v>759</v>
      </c>
      <c r="G167" s="7" t="s">
        <v>141</v>
      </c>
      <c r="H167" s="7" t="s">
        <v>261</v>
      </c>
      <c r="I167" s="7" t="s">
        <v>262</v>
      </c>
      <c r="J167" s="7" t="s">
        <v>221</v>
      </c>
      <c r="K167" s="7" t="s">
        <v>260</v>
      </c>
      <c r="L167" s="7" t="s">
        <v>1072</v>
      </c>
      <c r="M167" s="7" t="s">
        <v>538</v>
      </c>
      <c r="N167" s="16"/>
      <c r="O167" s="7"/>
      <c r="P167" s="22"/>
      <c r="Q167" s="8" t="n">
        <v>510</v>
      </c>
      <c r="R167" s="8" t="n">
        <v>-510</v>
      </c>
      <c r="S167" s="7" t="s">
        <v>751</v>
      </c>
      <c r="T167" s="7"/>
      <c r="U167" s="7" t="s">
        <v>1073</v>
      </c>
      <c r="V167" s="20" t="n">
        <v>45192</v>
      </c>
      <c r="W167" s="7" t="s">
        <v>938</v>
      </c>
      <c r="X167" s="7"/>
      <c r="Y167" s="7"/>
      <c r="Z167" s="7"/>
      <c r="AA167" s="23" t="n">
        <f aca="false">YEAR(C167)</f>
        <v>2023</v>
      </c>
    </row>
    <row r="168" customFormat="false" ht="15" hidden="false" customHeight="false" outlineLevel="0" collapsed="false">
      <c r="A168" s="7" t="s">
        <v>1074</v>
      </c>
      <c r="B168" s="7" t="s">
        <v>137</v>
      </c>
      <c r="C168" s="20" t="n">
        <v>45164</v>
      </c>
      <c r="D168" s="20" t="n">
        <v>45191</v>
      </c>
      <c r="E168" s="20"/>
      <c r="F168" s="7" t="s">
        <v>759</v>
      </c>
      <c r="G168" s="7" t="s">
        <v>153</v>
      </c>
      <c r="H168" s="7" t="s">
        <v>242</v>
      </c>
      <c r="I168" s="7" t="s">
        <v>243</v>
      </c>
      <c r="J168" s="7" t="s">
        <v>229</v>
      </c>
      <c r="K168" s="7" t="s">
        <v>241</v>
      </c>
      <c r="L168" s="7" t="s">
        <v>571</v>
      </c>
      <c r="M168" s="7"/>
      <c r="N168" s="16"/>
      <c r="O168" s="7"/>
      <c r="P168" s="22"/>
      <c r="Q168" s="8" t="n">
        <v>216.25</v>
      </c>
      <c r="R168" s="8" t="n">
        <v>-216.25</v>
      </c>
      <c r="S168" s="7" t="s">
        <v>765</v>
      </c>
      <c r="T168" s="7"/>
      <c r="U168" s="7"/>
      <c r="V168" s="20"/>
      <c r="W168" s="7"/>
      <c r="X168" s="7"/>
      <c r="Y168" s="7"/>
      <c r="Z168" s="7"/>
      <c r="AA168" s="23" t="n">
        <f aca="false">YEAR(C168)</f>
        <v>2023</v>
      </c>
    </row>
    <row r="169" customFormat="false" ht="15" hidden="false" customHeight="false" outlineLevel="0" collapsed="false">
      <c r="A169" s="7" t="s">
        <v>1075</v>
      </c>
      <c r="B169" s="7" t="s">
        <v>137</v>
      </c>
      <c r="C169" s="20" t="n">
        <v>45169</v>
      </c>
      <c r="D169" s="20" t="n">
        <v>45169</v>
      </c>
      <c r="E169" s="20"/>
      <c r="F169" s="7" t="s">
        <v>759</v>
      </c>
      <c r="G169" s="7" t="s">
        <v>153</v>
      </c>
      <c r="H169" s="7" t="s">
        <v>246</v>
      </c>
      <c r="I169" s="7" t="s">
        <v>247</v>
      </c>
      <c r="J169" s="7" t="s">
        <v>236</v>
      </c>
      <c r="K169" s="7" t="s">
        <v>189</v>
      </c>
      <c r="L169" s="7" t="s">
        <v>1048</v>
      </c>
      <c r="M169" s="7" t="s">
        <v>556</v>
      </c>
      <c r="N169" s="16"/>
      <c r="O169" s="7"/>
      <c r="P169" s="22"/>
      <c r="Q169" s="8" t="n">
        <v>1529.37</v>
      </c>
      <c r="R169" s="8" t="n">
        <v>-1529.37</v>
      </c>
      <c r="S169" s="7" t="s">
        <v>775</v>
      </c>
      <c r="T169" s="7"/>
      <c r="U169" s="7"/>
      <c r="V169" s="20"/>
      <c r="W169" s="7"/>
      <c r="X169" s="7" t="s">
        <v>784</v>
      </c>
      <c r="Y169" s="7"/>
      <c r="Z169" s="7"/>
      <c r="AA169" s="23" t="n">
        <f aca="false">YEAR(C169)</f>
        <v>2023</v>
      </c>
    </row>
    <row r="170" customFormat="false" ht="15" hidden="false" customHeight="false" outlineLevel="0" collapsed="false">
      <c r="A170" s="7" t="s">
        <v>1076</v>
      </c>
      <c r="B170" s="7" t="s">
        <v>137</v>
      </c>
      <c r="C170" s="20" t="n">
        <v>45169</v>
      </c>
      <c r="D170" s="20" t="n">
        <v>45169</v>
      </c>
      <c r="E170" s="20"/>
      <c r="F170" s="7" t="s">
        <v>759</v>
      </c>
      <c r="G170" s="7" t="s">
        <v>153</v>
      </c>
      <c r="H170" s="7" t="s">
        <v>574</v>
      </c>
      <c r="I170" s="7" t="s">
        <v>364</v>
      </c>
      <c r="J170" s="7" t="s">
        <v>761</v>
      </c>
      <c r="K170" s="7" t="s">
        <v>772</v>
      </c>
      <c r="L170" s="7" t="s">
        <v>575</v>
      </c>
      <c r="M170" s="7" t="s">
        <v>556</v>
      </c>
      <c r="N170" s="16"/>
      <c r="O170" s="7"/>
      <c r="P170" s="22"/>
      <c r="Q170" s="8" t="n">
        <v>20000</v>
      </c>
      <c r="R170" s="8" t="n">
        <v>-20000</v>
      </c>
      <c r="S170" s="7" t="s">
        <v>783</v>
      </c>
      <c r="T170" s="7"/>
      <c r="U170" s="7"/>
      <c r="V170" s="20"/>
      <c r="W170" s="7"/>
      <c r="X170" s="7" t="s">
        <v>784</v>
      </c>
      <c r="Y170" s="7"/>
      <c r="Z170" s="7"/>
      <c r="AA170" s="23" t="n">
        <f aca="false">YEAR(C170)</f>
        <v>2023</v>
      </c>
    </row>
    <row r="171" customFormat="false" ht="15" hidden="false" customHeight="false" outlineLevel="0" collapsed="false">
      <c r="A171" s="7" t="s">
        <v>1077</v>
      </c>
      <c r="B171" s="7" t="s">
        <v>137</v>
      </c>
      <c r="C171" s="20" t="n">
        <v>45170</v>
      </c>
      <c r="D171" s="20" t="n">
        <v>45170</v>
      </c>
      <c r="E171" s="20"/>
      <c r="F171" s="7" t="s">
        <v>759</v>
      </c>
      <c r="G171" s="7" t="s">
        <v>149</v>
      </c>
      <c r="H171" s="7" t="s">
        <v>271</v>
      </c>
      <c r="I171" s="7" t="s">
        <v>272</v>
      </c>
      <c r="J171" s="7" t="s">
        <v>221</v>
      </c>
      <c r="K171" s="7" t="s">
        <v>270</v>
      </c>
      <c r="L171" s="7" t="s">
        <v>586</v>
      </c>
      <c r="M171" s="7" t="s">
        <v>541</v>
      </c>
      <c r="N171" s="16"/>
      <c r="O171" s="7"/>
      <c r="P171" s="22"/>
      <c r="Q171" s="8" t="n">
        <v>717.59</v>
      </c>
      <c r="R171" s="8" t="n">
        <v>-717.59</v>
      </c>
      <c r="S171" s="7" t="s">
        <v>744</v>
      </c>
      <c r="T171" s="7"/>
      <c r="U171" s="7"/>
      <c r="V171" s="20"/>
      <c r="W171" s="7"/>
      <c r="X171" s="7"/>
      <c r="Y171" s="7"/>
      <c r="Z171" s="7"/>
      <c r="AA171" s="23" t="n">
        <f aca="false">YEAR(C171)</f>
        <v>2023</v>
      </c>
    </row>
    <row r="172" customFormat="false" ht="15" hidden="false" customHeight="false" outlineLevel="0" collapsed="false">
      <c r="A172" s="7" t="s">
        <v>1078</v>
      </c>
      <c r="B172" s="7" t="s">
        <v>137</v>
      </c>
      <c r="C172" s="20" t="n">
        <v>45170</v>
      </c>
      <c r="D172" s="20" t="n">
        <v>45170</v>
      </c>
      <c r="E172" s="20"/>
      <c r="F172" s="7" t="s">
        <v>759</v>
      </c>
      <c r="G172" s="7" t="s">
        <v>153</v>
      </c>
      <c r="H172" s="7" t="s">
        <v>271</v>
      </c>
      <c r="I172" s="7" t="s">
        <v>272</v>
      </c>
      <c r="J172" s="7" t="s">
        <v>221</v>
      </c>
      <c r="K172" s="7" t="s">
        <v>270</v>
      </c>
      <c r="L172" s="7" t="s">
        <v>544</v>
      </c>
      <c r="M172" s="7" t="s">
        <v>541</v>
      </c>
      <c r="N172" s="16"/>
      <c r="O172" s="7"/>
      <c r="P172" s="22"/>
      <c r="Q172" s="8" t="n">
        <v>478.4</v>
      </c>
      <c r="R172" s="8" t="n">
        <v>-478.4</v>
      </c>
      <c r="S172" s="7" t="s">
        <v>744</v>
      </c>
      <c r="T172" s="7"/>
      <c r="U172" s="7"/>
      <c r="V172" s="20"/>
      <c r="W172" s="7"/>
      <c r="X172" s="7"/>
      <c r="Y172" s="7"/>
      <c r="Z172" s="7"/>
      <c r="AA172" s="23" t="n">
        <f aca="false">YEAR(C172)</f>
        <v>2023</v>
      </c>
    </row>
    <row r="173" customFormat="false" ht="15" hidden="false" customHeight="false" outlineLevel="0" collapsed="false">
      <c r="A173" s="7" t="s">
        <v>1079</v>
      </c>
      <c r="B173" s="7" t="s">
        <v>137</v>
      </c>
      <c r="C173" s="20" t="n">
        <v>45170</v>
      </c>
      <c r="D173" s="20" t="n">
        <v>45170</v>
      </c>
      <c r="E173" s="20"/>
      <c r="F173" s="7" t="s">
        <v>759</v>
      </c>
      <c r="G173" s="7" t="s">
        <v>153</v>
      </c>
      <c r="H173" s="7" t="s">
        <v>545</v>
      </c>
      <c r="I173" s="7" t="s">
        <v>760</v>
      </c>
      <c r="J173" s="7" t="s">
        <v>761</v>
      </c>
      <c r="K173" s="7" t="s">
        <v>762</v>
      </c>
      <c r="L173" s="7" t="s">
        <v>546</v>
      </c>
      <c r="M173" s="7"/>
      <c r="N173" s="16"/>
      <c r="O173" s="7"/>
      <c r="P173" s="22"/>
      <c r="Q173" s="8" t="n">
        <v>4000</v>
      </c>
      <c r="R173" s="8" t="n">
        <v>-4000</v>
      </c>
      <c r="S173" s="7" t="s">
        <v>763</v>
      </c>
      <c r="T173" s="7"/>
      <c r="U173" s="7"/>
      <c r="V173" s="20"/>
      <c r="W173" s="7"/>
      <c r="X173" s="7"/>
      <c r="Y173" s="7"/>
      <c r="Z173" s="7"/>
      <c r="AA173" s="23" t="n">
        <f aca="false">YEAR(C173)</f>
        <v>2023</v>
      </c>
    </row>
    <row r="174" customFormat="false" ht="15" hidden="false" customHeight="false" outlineLevel="0" collapsed="false">
      <c r="A174" s="7" t="s">
        <v>1080</v>
      </c>
      <c r="B174" s="7" t="s">
        <v>137</v>
      </c>
      <c r="C174" s="20" t="n">
        <v>45170</v>
      </c>
      <c r="D174" s="20" t="n">
        <v>45214</v>
      </c>
      <c r="E174" s="20"/>
      <c r="F174" s="7" t="s">
        <v>759</v>
      </c>
      <c r="G174" s="7" t="s">
        <v>149</v>
      </c>
      <c r="H174" s="7" t="s">
        <v>273</v>
      </c>
      <c r="I174" s="7" t="s">
        <v>274</v>
      </c>
      <c r="J174" s="7" t="s">
        <v>221</v>
      </c>
      <c r="K174" s="7" t="s">
        <v>270</v>
      </c>
      <c r="L174" s="7" t="s">
        <v>554</v>
      </c>
      <c r="M174" s="7" t="s">
        <v>541</v>
      </c>
      <c r="N174" s="16"/>
      <c r="O174" s="7"/>
      <c r="P174" s="22"/>
      <c r="Q174" s="8" t="n">
        <v>105.25</v>
      </c>
      <c r="R174" s="8" t="n">
        <v>-105.25</v>
      </c>
      <c r="S174" s="7" t="s">
        <v>789</v>
      </c>
      <c r="T174" s="7"/>
      <c r="U174" s="7"/>
      <c r="V174" s="20"/>
      <c r="W174" s="7"/>
      <c r="X174" s="7"/>
      <c r="Y174" s="7"/>
      <c r="Z174" s="7"/>
      <c r="AA174" s="23" t="n">
        <f aca="false">YEAR(C174)</f>
        <v>2023</v>
      </c>
    </row>
    <row r="175" customFormat="false" ht="15" hidden="false" customHeight="false" outlineLevel="0" collapsed="false">
      <c r="A175" s="7" t="s">
        <v>1081</v>
      </c>
      <c r="B175" s="7" t="s">
        <v>137</v>
      </c>
      <c r="C175" s="20" t="n">
        <v>45171</v>
      </c>
      <c r="D175" s="20" t="n">
        <v>45201</v>
      </c>
      <c r="E175" s="20"/>
      <c r="F175" s="7" t="s">
        <v>759</v>
      </c>
      <c r="G175" s="7" t="s">
        <v>149</v>
      </c>
      <c r="H175" s="7" t="s">
        <v>261</v>
      </c>
      <c r="I175" s="7" t="s">
        <v>262</v>
      </c>
      <c r="J175" s="7" t="s">
        <v>221</v>
      </c>
      <c r="K175" s="7" t="s">
        <v>260</v>
      </c>
      <c r="L175" s="7" t="s">
        <v>539</v>
      </c>
      <c r="M175" s="7" t="s">
        <v>538</v>
      </c>
      <c r="N175" s="16"/>
      <c r="O175" s="7"/>
      <c r="P175" s="22"/>
      <c r="Q175" s="8" t="n">
        <v>5244</v>
      </c>
      <c r="R175" s="8" t="n">
        <v>-5244</v>
      </c>
      <c r="S175" s="7" t="s">
        <v>751</v>
      </c>
      <c r="T175" s="7"/>
      <c r="U175" s="7" t="s">
        <v>1082</v>
      </c>
      <c r="V175" s="20" t="n">
        <v>45201</v>
      </c>
      <c r="W175" s="7" t="s">
        <v>938</v>
      </c>
      <c r="X175" s="7"/>
      <c r="Y175" s="7"/>
      <c r="Z175" s="7"/>
      <c r="AA175" s="23" t="n">
        <f aca="false">YEAR(C175)</f>
        <v>2023</v>
      </c>
    </row>
    <row r="176" customFormat="false" ht="15" hidden="false" customHeight="false" outlineLevel="0" collapsed="false">
      <c r="A176" s="7" t="s">
        <v>1083</v>
      </c>
      <c r="B176" s="7" t="s">
        <v>137</v>
      </c>
      <c r="C176" s="20" t="n">
        <v>45176</v>
      </c>
      <c r="D176" s="20" t="n">
        <v>45221</v>
      </c>
      <c r="E176" s="20"/>
      <c r="F176" s="7" t="s">
        <v>759</v>
      </c>
      <c r="G176" s="7" t="s">
        <v>149</v>
      </c>
      <c r="H176" s="7" t="s">
        <v>284</v>
      </c>
      <c r="I176" s="7" t="s">
        <v>285</v>
      </c>
      <c r="J176" s="7" t="s">
        <v>221</v>
      </c>
      <c r="K176" s="7" t="s">
        <v>283</v>
      </c>
      <c r="L176" s="7" t="s">
        <v>569</v>
      </c>
      <c r="M176" s="7"/>
      <c r="N176" s="16"/>
      <c r="O176" s="7"/>
      <c r="P176" s="22"/>
      <c r="Q176" s="8" t="n">
        <v>1850</v>
      </c>
      <c r="R176" s="8" t="n">
        <v>-1850</v>
      </c>
      <c r="S176" s="7" t="s">
        <v>765</v>
      </c>
      <c r="T176" s="7"/>
      <c r="U176" s="7"/>
      <c r="V176" s="20"/>
      <c r="W176" s="7"/>
      <c r="X176" s="7"/>
      <c r="Y176" s="7"/>
      <c r="Z176" s="7"/>
      <c r="AA176" s="23" t="n">
        <f aca="false">YEAR(C176)</f>
        <v>2023</v>
      </c>
    </row>
    <row r="177" customFormat="false" ht="15" hidden="false" customHeight="false" outlineLevel="0" collapsed="false">
      <c r="A177" s="7" t="s">
        <v>1084</v>
      </c>
      <c r="B177" s="7" t="s">
        <v>137</v>
      </c>
      <c r="C177" s="20" t="n">
        <v>45177</v>
      </c>
      <c r="D177" s="20" t="n">
        <v>45177</v>
      </c>
      <c r="E177" s="20"/>
      <c r="F177" s="7" t="s">
        <v>759</v>
      </c>
      <c r="G177" s="7" t="s">
        <v>146</v>
      </c>
      <c r="H177" s="7" t="s">
        <v>287</v>
      </c>
      <c r="I177" s="7" t="s">
        <v>288</v>
      </c>
      <c r="J177" s="7" t="s">
        <v>248</v>
      </c>
      <c r="K177" s="7" t="s">
        <v>286</v>
      </c>
      <c r="L177" s="7" t="s">
        <v>1085</v>
      </c>
      <c r="M177" s="7" t="s">
        <v>551</v>
      </c>
      <c r="N177" s="16"/>
      <c r="O177" s="7"/>
      <c r="P177" s="22"/>
      <c r="Q177" s="8" t="n">
        <v>4871.6</v>
      </c>
      <c r="R177" s="8" t="n">
        <v>4871.6</v>
      </c>
      <c r="S177" s="7" t="s">
        <v>33</v>
      </c>
      <c r="T177" s="7"/>
      <c r="U177" s="7"/>
      <c r="V177" s="20"/>
      <c r="W177" s="7"/>
      <c r="X177" s="7"/>
      <c r="Y177" s="7"/>
      <c r="Z177" s="7"/>
      <c r="AA177" s="23" t="n">
        <f aca="false">YEAR(C177)</f>
        <v>2023</v>
      </c>
    </row>
    <row r="178" customFormat="false" ht="15" hidden="false" customHeight="false" outlineLevel="0" collapsed="false">
      <c r="A178" s="7" t="s">
        <v>1086</v>
      </c>
      <c r="B178" s="7" t="s">
        <v>137</v>
      </c>
      <c r="C178" s="20" t="n">
        <v>45177</v>
      </c>
      <c r="D178" s="20" t="n">
        <v>45221</v>
      </c>
      <c r="E178" s="20"/>
      <c r="F178" s="7" t="s">
        <v>759</v>
      </c>
      <c r="G178" s="7" t="s">
        <v>153</v>
      </c>
      <c r="H178" s="7" t="s">
        <v>244</v>
      </c>
      <c r="I178" s="7" t="s">
        <v>245</v>
      </c>
      <c r="J178" s="7" t="s">
        <v>229</v>
      </c>
      <c r="K178" s="7" t="s">
        <v>233</v>
      </c>
      <c r="L178" s="7" t="s">
        <v>570</v>
      </c>
      <c r="M178" s="7"/>
      <c r="N178" s="16"/>
      <c r="O178" s="7"/>
      <c r="P178" s="22"/>
      <c r="Q178" s="8" t="n">
        <v>165</v>
      </c>
      <c r="R178" s="8" t="n">
        <v>-165</v>
      </c>
      <c r="S178" s="7" t="s">
        <v>765</v>
      </c>
      <c r="T178" s="7"/>
      <c r="U178" s="7"/>
      <c r="V178" s="20"/>
      <c r="W178" s="7"/>
      <c r="X178" s="7"/>
      <c r="Y178" s="7"/>
      <c r="Z178" s="7"/>
      <c r="AA178" s="23" t="n">
        <f aca="false">YEAR(C178)</f>
        <v>2023</v>
      </c>
    </row>
    <row r="179" customFormat="false" ht="15" hidden="false" customHeight="false" outlineLevel="0" collapsed="false">
      <c r="A179" s="7" t="s">
        <v>1087</v>
      </c>
      <c r="B179" s="7" t="s">
        <v>137</v>
      </c>
      <c r="C179" s="20" t="n">
        <v>45179</v>
      </c>
      <c r="D179" s="20" t="n">
        <v>45179</v>
      </c>
      <c r="E179" s="20"/>
      <c r="F179" s="7" t="s">
        <v>759</v>
      </c>
      <c r="G179" s="7" t="s">
        <v>153</v>
      </c>
      <c r="H179" s="7" t="s">
        <v>237</v>
      </c>
      <c r="I179" s="7" t="s">
        <v>238</v>
      </c>
      <c r="J179" s="7" t="s">
        <v>236</v>
      </c>
      <c r="K179" s="7" t="s">
        <v>189</v>
      </c>
      <c r="L179" s="7" t="s">
        <v>1088</v>
      </c>
      <c r="M179" s="7" t="s">
        <v>768</v>
      </c>
      <c r="N179" s="16"/>
      <c r="O179" s="7"/>
      <c r="P179" s="22"/>
      <c r="Q179" s="8" t="n">
        <v>88.27</v>
      </c>
      <c r="R179" s="8" t="n">
        <v>-88.27</v>
      </c>
      <c r="S179" s="7" t="s">
        <v>744</v>
      </c>
      <c r="T179" s="7"/>
      <c r="U179" s="7"/>
      <c r="V179" s="20"/>
      <c r="W179" s="7"/>
      <c r="X179" s="7" t="s">
        <v>769</v>
      </c>
      <c r="Y179" s="7"/>
      <c r="Z179" s="7"/>
      <c r="AA179" s="23" t="n">
        <f aca="false">YEAR(C179)</f>
        <v>2023</v>
      </c>
    </row>
    <row r="180" customFormat="false" ht="15" hidden="false" customHeight="false" outlineLevel="0" collapsed="false">
      <c r="A180" s="7" t="s">
        <v>1089</v>
      </c>
      <c r="B180" s="7" t="s">
        <v>137</v>
      </c>
      <c r="C180" s="20" t="n">
        <v>45179</v>
      </c>
      <c r="D180" s="20" t="n">
        <v>45179</v>
      </c>
      <c r="E180" s="20"/>
      <c r="F180" s="7" t="s">
        <v>759</v>
      </c>
      <c r="G180" s="7" t="s">
        <v>153</v>
      </c>
      <c r="H180" s="7" t="s">
        <v>559</v>
      </c>
      <c r="I180" s="7" t="s">
        <v>771</v>
      </c>
      <c r="J180" s="7" t="s">
        <v>761</v>
      </c>
      <c r="K180" s="7" t="s">
        <v>772</v>
      </c>
      <c r="L180" s="7" t="s">
        <v>1090</v>
      </c>
      <c r="M180" s="7" t="s">
        <v>768</v>
      </c>
      <c r="N180" s="16"/>
      <c r="O180" s="7"/>
      <c r="P180" s="22"/>
      <c r="Q180" s="8" t="n">
        <v>756.82</v>
      </c>
      <c r="R180" s="8" t="n">
        <v>-756.82</v>
      </c>
      <c r="S180" s="7" t="s">
        <v>744</v>
      </c>
      <c r="T180" s="7"/>
      <c r="U180" s="7"/>
      <c r="V180" s="20"/>
      <c r="W180" s="7"/>
      <c r="X180" s="7" t="s">
        <v>769</v>
      </c>
      <c r="Y180" s="7"/>
      <c r="Z180" s="7"/>
      <c r="AA180" s="23" t="n">
        <f aca="false">YEAR(C180)</f>
        <v>2023</v>
      </c>
    </row>
    <row r="181" customFormat="false" ht="15" hidden="false" customHeight="false" outlineLevel="0" collapsed="false">
      <c r="A181" s="7" t="s">
        <v>1091</v>
      </c>
      <c r="B181" s="7" t="s">
        <v>137</v>
      </c>
      <c r="C181" s="20" t="n">
        <v>45181</v>
      </c>
      <c r="D181" s="20" t="n">
        <v>45181</v>
      </c>
      <c r="E181" s="20"/>
      <c r="F181" s="7" t="s">
        <v>759</v>
      </c>
      <c r="G181" s="7" t="s">
        <v>153</v>
      </c>
      <c r="H181" s="7" t="s">
        <v>240</v>
      </c>
      <c r="I181" s="7" t="s">
        <v>239</v>
      </c>
      <c r="J181" s="7" t="s">
        <v>229</v>
      </c>
      <c r="K181" s="7" t="s">
        <v>239</v>
      </c>
      <c r="L181" s="7" t="s">
        <v>548</v>
      </c>
      <c r="M181" s="7" t="s">
        <v>547</v>
      </c>
      <c r="N181" s="16"/>
      <c r="O181" s="7"/>
      <c r="P181" s="22"/>
      <c r="Q181" s="8" t="n">
        <v>230.58</v>
      </c>
      <c r="R181" s="8" t="n">
        <v>-230.58</v>
      </c>
      <c r="S181" s="7" t="s">
        <v>775</v>
      </c>
      <c r="T181" s="7"/>
      <c r="U181" s="7"/>
      <c r="V181" s="20"/>
      <c r="W181" s="7"/>
      <c r="X181" s="7"/>
      <c r="Y181" s="7"/>
      <c r="Z181" s="7"/>
      <c r="AA181" s="23" t="n">
        <f aca="false">YEAR(C181)</f>
        <v>2023</v>
      </c>
    </row>
    <row r="182" customFormat="false" ht="15" hidden="false" customHeight="false" outlineLevel="0" collapsed="false">
      <c r="A182" s="7" t="s">
        <v>1092</v>
      </c>
      <c r="B182" s="7" t="s">
        <v>137</v>
      </c>
      <c r="C182" s="20" t="n">
        <v>45183</v>
      </c>
      <c r="D182" s="20" t="n">
        <v>45215</v>
      </c>
      <c r="E182" s="20"/>
      <c r="F182" s="7" t="s">
        <v>759</v>
      </c>
      <c r="G182" s="7" t="s">
        <v>141</v>
      </c>
      <c r="H182" s="7" t="s">
        <v>268</v>
      </c>
      <c r="I182" s="7" t="s">
        <v>269</v>
      </c>
      <c r="J182" s="7" t="s">
        <v>221</v>
      </c>
      <c r="K182" s="7" t="s">
        <v>267</v>
      </c>
      <c r="L182" s="7" t="s">
        <v>564</v>
      </c>
      <c r="M182" s="7" t="s">
        <v>563</v>
      </c>
      <c r="N182" s="16"/>
      <c r="O182" s="7"/>
      <c r="P182" s="22"/>
      <c r="Q182" s="8" t="n">
        <v>973.28</v>
      </c>
      <c r="R182" s="8" t="n">
        <v>-973.28</v>
      </c>
      <c r="S182" s="7" t="s">
        <v>751</v>
      </c>
      <c r="T182" s="7"/>
      <c r="U182" s="7" t="s">
        <v>1093</v>
      </c>
      <c r="V182" s="20" t="n">
        <v>45213</v>
      </c>
      <c r="W182" s="7"/>
      <c r="X182" s="7"/>
      <c r="Y182" s="7" t="s">
        <v>702</v>
      </c>
      <c r="Z182" s="7"/>
      <c r="AA182" s="23" t="n">
        <f aca="false">YEAR(C182)</f>
        <v>2023</v>
      </c>
    </row>
    <row r="183" customFormat="false" ht="15" hidden="false" customHeight="false" outlineLevel="0" collapsed="false">
      <c r="A183" s="7" t="s">
        <v>1094</v>
      </c>
      <c r="B183" s="7" t="s">
        <v>137</v>
      </c>
      <c r="C183" s="20" t="n">
        <v>45184</v>
      </c>
      <c r="D183" s="20" t="n">
        <v>45184</v>
      </c>
      <c r="E183" s="20"/>
      <c r="F183" s="7" t="s">
        <v>759</v>
      </c>
      <c r="G183" s="7" t="s">
        <v>149</v>
      </c>
      <c r="H183" s="7" t="s">
        <v>271</v>
      </c>
      <c r="I183" s="7" t="s">
        <v>272</v>
      </c>
      <c r="J183" s="7" t="s">
        <v>221</v>
      </c>
      <c r="K183" s="7" t="s">
        <v>270</v>
      </c>
      <c r="L183" s="7" t="s">
        <v>1095</v>
      </c>
      <c r="M183" s="7" t="s">
        <v>541</v>
      </c>
      <c r="N183" s="16"/>
      <c r="O183" s="7"/>
      <c r="P183" s="22"/>
      <c r="Q183" s="8" t="n">
        <v>1357.79</v>
      </c>
      <c r="R183" s="8" t="n">
        <v>-1357.79</v>
      </c>
      <c r="S183" s="7" t="s">
        <v>744</v>
      </c>
      <c r="T183" s="7"/>
      <c r="U183" s="7"/>
      <c r="V183" s="20"/>
      <c r="W183" s="7"/>
      <c r="X183" s="7"/>
      <c r="Y183" s="7"/>
      <c r="Z183" s="7"/>
      <c r="AA183" s="23" t="n">
        <f aca="false">YEAR(C183)</f>
        <v>2023</v>
      </c>
    </row>
    <row r="184" customFormat="false" ht="15" hidden="false" customHeight="false" outlineLevel="0" collapsed="false">
      <c r="A184" s="7" t="s">
        <v>1096</v>
      </c>
      <c r="B184" s="7" t="s">
        <v>137</v>
      </c>
      <c r="C184" s="20" t="n">
        <v>45184</v>
      </c>
      <c r="D184" s="20" t="n">
        <v>45184</v>
      </c>
      <c r="E184" s="20"/>
      <c r="F184" s="7" t="s">
        <v>759</v>
      </c>
      <c r="G184" s="7" t="s">
        <v>153</v>
      </c>
      <c r="H184" s="7" t="s">
        <v>271</v>
      </c>
      <c r="I184" s="7" t="s">
        <v>272</v>
      </c>
      <c r="J184" s="7" t="s">
        <v>221</v>
      </c>
      <c r="K184" s="7" t="s">
        <v>270</v>
      </c>
      <c r="L184" s="7" t="s">
        <v>544</v>
      </c>
      <c r="M184" s="7" t="s">
        <v>541</v>
      </c>
      <c r="N184" s="16"/>
      <c r="O184" s="7"/>
      <c r="P184" s="22"/>
      <c r="Q184" s="8" t="n">
        <v>905.19</v>
      </c>
      <c r="R184" s="8" t="n">
        <v>-905.19</v>
      </c>
      <c r="S184" s="7" t="s">
        <v>744</v>
      </c>
      <c r="T184" s="7"/>
      <c r="U184" s="7"/>
      <c r="V184" s="20"/>
      <c r="W184" s="7"/>
      <c r="X184" s="7"/>
      <c r="Y184" s="7"/>
      <c r="Z184" s="7"/>
      <c r="AA184" s="23" t="n">
        <f aca="false">YEAR(C184)</f>
        <v>2023</v>
      </c>
    </row>
    <row r="185" customFormat="false" ht="15" hidden="false" customHeight="false" outlineLevel="0" collapsed="false">
      <c r="A185" s="7" t="s">
        <v>1097</v>
      </c>
      <c r="B185" s="7" t="s">
        <v>137</v>
      </c>
      <c r="C185" s="20" t="n">
        <v>45184</v>
      </c>
      <c r="D185" s="20" t="n">
        <v>45184</v>
      </c>
      <c r="E185" s="20"/>
      <c r="F185" s="7" t="s">
        <v>759</v>
      </c>
      <c r="G185" s="7" t="s">
        <v>153</v>
      </c>
      <c r="H185" s="7" t="s">
        <v>786</v>
      </c>
      <c r="I185" s="7" t="s">
        <v>787</v>
      </c>
      <c r="J185" s="7" t="s">
        <v>761</v>
      </c>
      <c r="K185" s="7" t="s">
        <v>762</v>
      </c>
      <c r="L185" s="7" t="s">
        <v>788</v>
      </c>
      <c r="M185" s="7"/>
      <c r="N185" s="16"/>
      <c r="O185" s="7"/>
      <c r="P185" s="22"/>
      <c r="Q185" s="8" t="n">
        <v>3000</v>
      </c>
      <c r="R185" s="8" t="n">
        <v>-3000</v>
      </c>
      <c r="S185" s="7" t="s">
        <v>789</v>
      </c>
      <c r="T185" s="7"/>
      <c r="U185" s="7"/>
      <c r="V185" s="20"/>
      <c r="W185" s="7"/>
      <c r="X185" s="7"/>
      <c r="Y185" s="7"/>
      <c r="Z185" s="7"/>
      <c r="AA185" s="23" t="n">
        <f aca="false">YEAR(C185)</f>
        <v>2023</v>
      </c>
    </row>
    <row r="186" customFormat="false" ht="15" hidden="false" customHeight="false" outlineLevel="0" collapsed="false">
      <c r="A186" s="7" t="s">
        <v>1098</v>
      </c>
      <c r="B186" s="7" t="s">
        <v>137</v>
      </c>
      <c r="C186" s="20" t="n">
        <v>45184</v>
      </c>
      <c r="D186" s="20" t="n">
        <v>45214</v>
      </c>
      <c r="E186" s="20"/>
      <c r="F186" s="7" t="s">
        <v>759</v>
      </c>
      <c r="G186" s="7" t="s">
        <v>149</v>
      </c>
      <c r="H186" s="7" t="s">
        <v>273</v>
      </c>
      <c r="I186" s="7" t="s">
        <v>274</v>
      </c>
      <c r="J186" s="7" t="s">
        <v>221</v>
      </c>
      <c r="K186" s="7" t="s">
        <v>270</v>
      </c>
      <c r="L186" s="7" t="s">
        <v>554</v>
      </c>
      <c r="M186" s="7" t="s">
        <v>541</v>
      </c>
      <c r="N186" s="16"/>
      <c r="O186" s="7"/>
      <c r="P186" s="22"/>
      <c r="Q186" s="8" t="n">
        <v>199.14</v>
      </c>
      <c r="R186" s="8" t="n">
        <v>-199.14</v>
      </c>
      <c r="S186" s="7" t="s">
        <v>789</v>
      </c>
      <c r="T186" s="7"/>
      <c r="U186" s="7"/>
      <c r="V186" s="20"/>
      <c r="W186" s="7"/>
      <c r="X186" s="7"/>
      <c r="Y186" s="7"/>
      <c r="Z186" s="7"/>
      <c r="AA186" s="23" t="n">
        <f aca="false">YEAR(C186)</f>
        <v>2023</v>
      </c>
    </row>
    <row r="187" customFormat="false" ht="15" hidden="false" customHeight="false" outlineLevel="0" collapsed="false">
      <c r="A187" s="7" t="s">
        <v>1099</v>
      </c>
      <c r="B187" s="7" t="s">
        <v>137</v>
      </c>
      <c r="C187" s="20" t="n">
        <v>45185</v>
      </c>
      <c r="D187" s="20" t="n">
        <v>45215</v>
      </c>
      <c r="E187" s="20"/>
      <c r="F187" s="7" t="s">
        <v>759</v>
      </c>
      <c r="G187" s="7" t="s">
        <v>149</v>
      </c>
      <c r="H187" s="7" t="s">
        <v>261</v>
      </c>
      <c r="I187" s="7" t="s">
        <v>262</v>
      </c>
      <c r="J187" s="7" t="s">
        <v>221</v>
      </c>
      <c r="K187" s="7" t="s">
        <v>260</v>
      </c>
      <c r="L187" s="7" t="s">
        <v>553</v>
      </c>
      <c r="M187" s="7" t="s">
        <v>538</v>
      </c>
      <c r="N187" s="16"/>
      <c r="O187" s="7"/>
      <c r="P187" s="22"/>
      <c r="Q187" s="8" t="n">
        <v>5031</v>
      </c>
      <c r="R187" s="8" t="n">
        <v>-5031</v>
      </c>
      <c r="S187" s="7" t="s">
        <v>751</v>
      </c>
      <c r="T187" s="7"/>
      <c r="U187" s="7" t="s">
        <v>1100</v>
      </c>
      <c r="V187" s="20" t="n">
        <v>45215</v>
      </c>
      <c r="W187" s="7" t="s">
        <v>938</v>
      </c>
      <c r="X187" s="7"/>
      <c r="Y187" s="7"/>
      <c r="Z187" s="7"/>
      <c r="AA187" s="23" t="n">
        <f aca="false">YEAR(C187)</f>
        <v>2023</v>
      </c>
    </row>
    <row r="188" customFormat="false" ht="15" hidden="false" customHeight="false" outlineLevel="0" collapsed="false">
      <c r="A188" s="7" t="s">
        <v>1101</v>
      </c>
      <c r="B188" s="7" t="s">
        <v>137</v>
      </c>
      <c r="C188" s="20" t="n">
        <v>45187</v>
      </c>
      <c r="D188" s="20" t="n">
        <v>45191</v>
      </c>
      <c r="E188" s="20"/>
      <c r="F188" s="7" t="s">
        <v>759</v>
      </c>
      <c r="G188" s="7" t="s">
        <v>141</v>
      </c>
      <c r="H188" s="7" t="s">
        <v>250</v>
      </c>
      <c r="I188" s="7" t="s">
        <v>251</v>
      </c>
      <c r="J188" s="7" t="s">
        <v>248</v>
      </c>
      <c r="K188" s="7" t="s">
        <v>249</v>
      </c>
      <c r="L188" s="7" t="s">
        <v>1102</v>
      </c>
      <c r="M188" s="7" t="s">
        <v>549</v>
      </c>
      <c r="N188" s="16" t="n">
        <v>5920</v>
      </c>
      <c r="O188" s="7" t="s">
        <v>798</v>
      </c>
      <c r="P188" s="22" t="n">
        <v>4.72</v>
      </c>
      <c r="Q188" s="8" t="n">
        <v>27942.4</v>
      </c>
      <c r="R188" s="8" t="n">
        <v>27942.4</v>
      </c>
      <c r="S188" s="7" t="s">
        <v>33</v>
      </c>
      <c r="T188" s="7" t="s">
        <v>1103</v>
      </c>
      <c r="U188" s="7"/>
      <c r="V188" s="20" t="n">
        <v>45187</v>
      </c>
      <c r="W188" s="7"/>
      <c r="X188" s="7"/>
      <c r="Y188" s="7" t="s">
        <v>702</v>
      </c>
      <c r="Z188" s="7"/>
      <c r="AA188" s="23" t="n">
        <f aca="false">YEAR(C188)</f>
        <v>2023</v>
      </c>
    </row>
    <row r="189" customFormat="false" ht="15" hidden="false" customHeight="false" outlineLevel="0" collapsed="false">
      <c r="A189" s="7" t="s">
        <v>1104</v>
      </c>
      <c r="B189" s="7" t="s">
        <v>137</v>
      </c>
      <c r="C189" s="20" t="n">
        <v>45188</v>
      </c>
      <c r="D189" s="20" t="n">
        <v>45218</v>
      </c>
      <c r="E189" s="20"/>
      <c r="F189" s="7" t="s">
        <v>759</v>
      </c>
      <c r="G189" s="7" t="s">
        <v>141</v>
      </c>
      <c r="H189" s="7" t="s">
        <v>261</v>
      </c>
      <c r="I189" s="7" t="s">
        <v>262</v>
      </c>
      <c r="J189" s="7" t="s">
        <v>221</v>
      </c>
      <c r="K189" s="7" t="s">
        <v>260</v>
      </c>
      <c r="L189" s="7" t="s">
        <v>565</v>
      </c>
      <c r="M189" s="7" t="s">
        <v>538</v>
      </c>
      <c r="N189" s="16"/>
      <c r="O189" s="7"/>
      <c r="P189" s="22"/>
      <c r="Q189" s="8" t="n">
        <v>1920</v>
      </c>
      <c r="R189" s="8" t="n">
        <v>-1920</v>
      </c>
      <c r="S189" s="7" t="s">
        <v>751</v>
      </c>
      <c r="T189" s="7"/>
      <c r="U189" s="7" t="s">
        <v>1105</v>
      </c>
      <c r="V189" s="20" t="n">
        <v>45218</v>
      </c>
      <c r="W189" s="7"/>
      <c r="X189" s="7"/>
      <c r="Y189" s="7" t="s">
        <v>702</v>
      </c>
      <c r="Z189" s="7"/>
      <c r="AA189" s="23" t="n">
        <f aca="false">YEAR(C189)</f>
        <v>2023</v>
      </c>
    </row>
    <row r="190" customFormat="false" ht="15" hidden="false" customHeight="false" outlineLevel="0" collapsed="false">
      <c r="A190" s="7" t="s">
        <v>1106</v>
      </c>
      <c r="B190" s="7" t="s">
        <v>137</v>
      </c>
      <c r="C190" s="20" t="n">
        <v>45190</v>
      </c>
      <c r="D190" s="20" t="n">
        <v>45221</v>
      </c>
      <c r="E190" s="20"/>
      <c r="F190" s="7" t="s">
        <v>759</v>
      </c>
      <c r="G190" s="7" t="s">
        <v>149</v>
      </c>
      <c r="H190" s="7" t="s">
        <v>284</v>
      </c>
      <c r="I190" s="7" t="s">
        <v>285</v>
      </c>
      <c r="J190" s="7" t="s">
        <v>221</v>
      </c>
      <c r="K190" s="7" t="s">
        <v>283</v>
      </c>
      <c r="L190" s="7" t="s">
        <v>568</v>
      </c>
      <c r="M190" s="7"/>
      <c r="N190" s="16"/>
      <c r="O190" s="7"/>
      <c r="P190" s="22"/>
      <c r="Q190" s="8" t="n">
        <v>1850</v>
      </c>
      <c r="R190" s="8" t="n">
        <v>-1850</v>
      </c>
      <c r="S190" s="7" t="s">
        <v>765</v>
      </c>
      <c r="T190" s="7"/>
      <c r="U190" s="7"/>
      <c r="V190" s="20"/>
      <c r="W190" s="7"/>
      <c r="X190" s="7"/>
      <c r="Y190" s="7"/>
      <c r="Z190" s="7"/>
      <c r="AA190" s="23" t="n">
        <f aca="false">YEAR(C190)</f>
        <v>2023</v>
      </c>
    </row>
    <row r="191" customFormat="false" ht="15" hidden="false" customHeight="false" outlineLevel="0" collapsed="false">
      <c r="A191" s="7" t="s">
        <v>1107</v>
      </c>
      <c r="B191" s="7" t="s">
        <v>137</v>
      </c>
      <c r="C191" s="20" t="n">
        <v>45195</v>
      </c>
      <c r="D191" s="20" t="n">
        <v>45221</v>
      </c>
      <c r="E191" s="20"/>
      <c r="F191" s="7" t="s">
        <v>759</v>
      </c>
      <c r="G191" s="7" t="s">
        <v>153</v>
      </c>
      <c r="H191" s="7" t="s">
        <v>242</v>
      </c>
      <c r="I191" s="7" t="s">
        <v>243</v>
      </c>
      <c r="J191" s="7" t="s">
        <v>229</v>
      </c>
      <c r="K191" s="7" t="s">
        <v>241</v>
      </c>
      <c r="L191" s="7" t="s">
        <v>571</v>
      </c>
      <c r="M191" s="7"/>
      <c r="N191" s="16"/>
      <c r="O191" s="7"/>
      <c r="P191" s="22"/>
      <c r="Q191" s="8" t="n">
        <v>333.23</v>
      </c>
      <c r="R191" s="8" t="n">
        <v>-333.23</v>
      </c>
      <c r="S191" s="7" t="s">
        <v>765</v>
      </c>
      <c r="T191" s="7"/>
      <c r="U191" s="7"/>
      <c r="V191" s="20"/>
      <c r="W191" s="7"/>
      <c r="X191" s="7"/>
      <c r="Y191" s="7"/>
      <c r="Z191" s="7"/>
      <c r="AA191" s="23" t="n">
        <f aca="false">YEAR(C191)</f>
        <v>2023</v>
      </c>
    </row>
    <row r="192" customFormat="false" ht="15" hidden="false" customHeight="false" outlineLevel="0" collapsed="false">
      <c r="A192" s="7" t="s">
        <v>1108</v>
      </c>
      <c r="B192" s="7" t="s">
        <v>137</v>
      </c>
      <c r="C192" s="20" t="n">
        <v>45198</v>
      </c>
      <c r="D192" s="20" t="n">
        <v>45198</v>
      </c>
      <c r="E192" s="20"/>
      <c r="F192" s="7" t="s">
        <v>759</v>
      </c>
      <c r="G192" s="7" t="s">
        <v>149</v>
      </c>
      <c r="H192" s="7" t="s">
        <v>271</v>
      </c>
      <c r="I192" s="7" t="s">
        <v>272</v>
      </c>
      <c r="J192" s="7" t="s">
        <v>221</v>
      </c>
      <c r="K192" s="7" t="s">
        <v>270</v>
      </c>
      <c r="L192" s="7" t="s">
        <v>1109</v>
      </c>
      <c r="M192" s="7" t="s">
        <v>541</v>
      </c>
      <c r="N192" s="16"/>
      <c r="O192" s="7"/>
      <c r="P192" s="22"/>
      <c r="Q192" s="8" t="n">
        <v>1258.18</v>
      </c>
      <c r="R192" s="8" t="n">
        <v>-1258.18</v>
      </c>
      <c r="S192" s="7" t="s">
        <v>744</v>
      </c>
      <c r="T192" s="7"/>
      <c r="U192" s="7"/>
      <c r="V192" s="20"/>
      <c r="W192" s="7"/>
      <c r="X192" s="7"/>
      <c r="Y192" s="7"/>
      <c r="Z192" s="7"/>
      <c r="AA192" s="23" t="n">
        <f aca="false">YEAR(C192)</f>
        <v>2023</v>
      </c>
    </row>
    <row r="193" customFormat="false" ht="15" hidden="false" customHeight="false" outlineLevel="0" collapsed="false">
      <c r="A193" s="7" t="s">
        <v>1110</v>
      </c>
      <c r="B193" s="7" t="s">
        <v>137</v>
      </c>
      <c r="C193" s="20" t="n">
        <v>45198</v>
      </c>
      <c r="D193" s="20" t="n">
        <v>45198</v>
      </c>
      <c r="E193" s="20"/>
      <c r="F193" s="7" t="s">
        <v>759</v>
      </c>
      <c r="G193" s="7" t="s">
        <v>153</v>
      </c>
      <c r="H193" s="7" t="s">
        <v>271</v>
      </c>
      <c r="I193" s="7" t="s">
        <v>272</v>
      </c>
      <c r="J193" s="7" t="s">
        <v>221</v>
      </c>
      <c r="K193" s="7" t="s">
        <v>270</v>
      </c>
      <c r="L193" s="7" t="s">
        <v>544</v>
      </c>
      <c r="M193" s="7" t="s">
        <v>541</v>
      </c>
      <c r="N193" s="16"/>
      <c r="O193" s="7"/>
      <c r="P193" s="22"/>
      <c r="Q193" s="8" t="n">
        <v>838.79</v>
      </c>
      <c r="R193" s="8" t="n">
        <v>-838.79</v>
      </c>
      <c r="S193" s="7" t="s">
        <v>744</v>
      </c>
      <c r="T193" s="7"/>
      <c r="U193" s="7"/>
      <c r="V193" s="20"/>
      <c r="W193" s="7"/>
      <c r="X193" s="7"/>
      <c r="Y193" s="7"/>
      <c r="Z193" s="7"/>
      <c r="AA193" s="23" t="n">
        <f aca="false">YEAR(C193)</f>
        <v>2023</v>
      </c>
    </row>
    <row r="194" customFormat="false" ht="15" hidden="false" customHeight="false" outlineLevel="0" collapsed="false">
      <c r="A194" s="7" t="s">
        <v>1111</v>
      </c>
      <c r="B194" s="7" t="s">
        <v>137</v>
      </c>
      <c r="C194" s="20" t="n">
        <v>45198</v>
      </c>
      <c r="D194" s="20" t="n">
        <v>45214</v>
      </c>
      <c r="E194" s="20"/>
      <c r="F194" s="7" t="s">
        <v>759</v>
      </c>
      <c r="G194" s="7" t="s">
        <v>149</v>
      </c>
      <c r="H194" s="7" t="s">
        <v>273</v>
      </c>
      <c r="I194" s="7" t="s">
        <v>274</v>
      </c>
      <c r="J194" s="7" t="s">
        <v>221</v>
      </c>
      <c r="K194" s="7" t="s">
        <v>270</v>
      </c>
      <c r="L194" s="7" t="s">
        <v>554</v>
      </c>
      <c r="M194" s="7" t="s">
        <v>541</v>
      </c>
      <c r="N194" s="16"/>
      <c r="O194" s="7"/>
      <c r="P194" s="22"/>
      <c r="Q194" s="8" t="n">
        <v>184.53</v>
      </c>
      <c r="R194" s="8" t="n">
        <v>-184.53</v>
      </c>
      <c r="S194" s="7" t="s">
        <v>789</v>
      </c>
      <c r="T194" s="7"/>
      <c r="U194" s="7"/>
      <c r="V194" s="20"/>
      <c r="W194" s="7"/>
      <c r="X194" s="7"/>
      <c r="Y194" s="7"/>
      <c r="Z194" s="7"/>
      <c r="AA194" s="23" t="n">
        <f aca="false">YEAR(C194)</f>
        <v>2023</v>
      </c>
    </row>
    <row r="195" customFormat="false" ht="15" hidden="false" customHeight="false" outlineLevel="0" collapsed="false">
      <c r="A195" s="7" t="s">
        <v>1112</v>
      </c>
      <c r="B195" s="7" t="s">
        <v>137</v>
      </c>
      <c r="C195" s="20" t="n">
        <v>45199</v>
      </c>
      <c r="D195" s="20" t="n">
        <v>45199</v>
      </c>
      <c r="E195" s="20"/>
      <c r="F195" s="7" t="s">
        <v>759</v>
      </c>
      <c r="G195" s="7" t="s">
        <v>136</v>
      </c>
      <c r="H195" s="7" t="s">
        <v>223</v>
      </c>
      <c r="I195" s="7" t="s">
        <v>224</v>
      </c>
      <c r="J195" s="7" t="s">
        <v>221</v>
      </c>
      <c r="K195" s="7" t="s">
        <v>222</v>
      </c>
      <c r="L195" s="7" t="s">
        <v>1113</v>
      </c>
      <c r="M195" s="7" t="s">
        <v>1114</v>
      </c>
      <c r="N195" s="16" t="n">
        <v>96</v>
      </c>
      <c r="O195" s="7" t="s">
        <v>801</v>
      </c>
      <c r="P195" s="22" t="n">
        <v>1.25</v>
      </c>
      <c r="Q195" s="8" t="n">
        <v>120</v>
      </c>
      <c r="R195" s="8" t="n">
        <v>-120</v>
      </c>
      <c r="S195" s="7" t="s">
        <v>33</v>
      </c>
      <c r="T195" s="7"/>
      <c r="U195" s="7"/>
      <c r="V195" s="20"/>
      <c r="W195" s="7"/>
      <c r="X195" s="7"/>
      <c r="Y195" s="7" t="s">
        <v>718</v>
      </c>
      <c r="Z195" s="7"/>
      <c r="AA195" s="23" t="n">
        <f aca="false">YEAR(C195)</f>
        <v>2023</v>
      </c>
    </row>
    <row r="196" customFormat="false" ht="15" hidden="false" customHeight="false" outlineLevel="0" collapsed="false">
      <c r="A196" s="7" t="s">
        <v>1115</v>
      </c>
      <c r="B196" s="7" t="s">
        <v>137</v>
      </c>
      <c r="C196" s="20" t="n">
        <v>45199</v>
      </c>
      <c r="D196" s="20" t="n">
        <v>45199</v>
      </c>
      <c r="E196" s="20"/>
      <c r="F196" s="7" t="s">
        <v>759</v>
      </c>
      <c r="G196" s="7" t="s">
        <v>153</v>
      </c>
      <c r="H196" s="7" t="s">
        <v>246</v>
      </c>
      <c r="I196" s="7" t="s">
        <v>247</v>
      </c>
      <c r="J196" s="7" t="s">
        <v>236</v>
      </c>
      <c r="K196" s="7" t="s">
        <v>189</v>
      </c>
      <c r="L196" s="7" t="s">
        <v>1048</v>
      </c>
      <c r="M196" s="7" t="s">
        <v>556</v>
      </c>
      <c r="N196" s="16"/>
      <c r="O196" s="7"/>
      <c r="P196" s="22"/>
      <c r="Q196" s="8" t="n">
        <v>1327.4</v>
      </c>
      <c r="R196" s="8" t="n">
        <v>-1327.4</v>
      </c>
      <c r="S196" s="7" t="s">
        <v>775</v>
      </c>
      <c r="T196" s="7"/>
      <c r="U196" s="7"/>
      <c r="V196" s="20"/>
      <c r="W196" s="7"/>
      <c r="X196" s="7" t="s">
        <v>784</v>
      </c>
      <c r="Y196" s="7"/>
      <c r="Z196" s="7"/>
      <c r="AA196" s="23" t="n">
        <f aca="false">YEAR(C196)</f>
        <v>2023</v>
      </c>
    </row>
    <row r="197" customFormat="false" ht="15" hidden="false" customHeight="false" outlineLevel="0" collapsed="false">
      <c r="A197" s="7" t="s">
        <v>1116</v>
      </c>
      <c r="B197" s="7" t="s">
        <v>137</v>
      </c>
      <c r="C197" s="20" t="n">
        <v>45200</v>
      </c>
      <c r="D197" s="20" t="n">
        <v>45200</v>
      </c>
      <c r="E197" s="20"/>
      <c r="F197" s="7" t="s">
        <v>759</v>
      </c>
      <c r="G197" s="7" t="s">
        <v>153</v>
      </c>
      <c r="H197" s="7" t="s">
        <v>545</v>
      </c>
      <c r="I197" s="7" t="s">
        <v>760</v>
      </c>
      <c r="J197" s="7" t="s">
        <v>761</v>
      </c>
      <c r="K197" s="7" t="s">
        <v>762</v>
      </c>
      <c r="L197" s="7" t="s">
        <v>546</v>
      </c>
      <c r="M197" s="7"/>
      <c r="N197" s="16"/>
      <c r="O197" s="7"/>
      <c r="P197" s="22"/>
      <c r="Q197" s="8" t="n">
        <v>4000</v>
      </c>
      <c r="R197" s="8" t="n">
        <v>-4000</v>
      </c>
      <c r="S197" s="7" t="s">
        <v>763</v>
      </c>
      <c r="T197" s="7"/>
      <c r="U197" s="7"/>
      <c r="V197" s="20"/>
      <c r="W197" s="7"/>
      <c r="X197" s="7"/>
      <c r="Y197" s="7"/>
      <c r="Z197" s="7"/>
      <c r="AA197" s="23" t="n">
        <f aca="false">YEAR(C197)</f>
        <v>2023</v>
      </c>
    </row>
    <row r="198" customFormat="false" ht="15" hidden="false" customHeight="false" outlineLevel="0" collapsed="false">
      <c r="A198" s="7" t="s">
        <v>1117</v>
      </c>
      <c r="B198" s="7" t="s">
        <v>137</v>
      </c>
      <c r="C198" s="20" t="n">
        <v>45201</v>
      </c>
      <c r="D198" s="20" t="n">
        <v>45231</v>
      </c>
      <c r="E198" s="20"/>
      <c r="F198" s="7" t="s">
        <v>759</v>
      </c>
      <c r="G198" s="7" t="s">
        <v>146</v>
      </c>
      <c r="H198" s="7" t="s">
        <v>266</v>
      </c>
      <c r="I198" s="7" t="s">
        <v>265</v>
      </c>
      <c r="J198" s="7" t="s">
        <v>221</v>
      </c>
      <c r="K198" s="7" t="s">
        <v>265</v>
      </c>
      <c r="L198" s="7" t="s">
        <v>580</v>
      </c>
      <c r="M198" s="7" t="s">
        <v>563</v>
      </c>
      <c r="N198" s="16" t="n">
        <v>80</v>
      </c>
      <c r="O198" s="7" t="s">
        <v>801</v>
      </c>
      <c r="P198" s="22"/>
      <c r="Q198" s="8" t="n">
        <v>2296</v>
      </c>
      <c r="R198" s="8" t="n">
        <v>-2296</v>
      </c>
      <c r="S198" s="7" t="s">
        <v>751</v>
      </c>
      <c r="T198" s="7"/>
      <c r="U198" s="7" t="s">
        <v>1118</v>
      </c>
      <c r="V198" s="20" t="n">
        <v>45231</v>
      </c>
      <c r="W198" s="7"/>
      <c r="X198" s="7"/>
      <c r="Y198" s="7" t="s">
        <v>705</v>
      </c>
      <c r="Z198" s="7"/>
      <c r="AA198" s="23" t="n">
        <f aca="false">YEAR(C198)</f>
        <v>2023</v>
      </c>
    </row>
    <row r="199" customFormat="false" ht="15" hidden="false" customHeight="false" outlineLevel="0" collapsed="false">
      <c r="A199" s="7" t="s">
        <v>1119</v>
      </c>
      <c r="B199" s="7" t="s">
        <v>137</v>
      </c>
      <c r="C199" s="20" t="n">
        <v>45201</v>
      </c>
      <c r="D199" s="20" t="n">
        <v>45231</v>
      </c>
      <c r="E199" s="20"/>
      <c r="F199" s="7" t="s">
        <v>759</v>
      </c>
      <c r="G199" s="7" t="s">
        <v>146</v>
      </c>
      <c r="H199" s="7" t="s">
        <v>255</v>
      </c>
      <c r="I199" s="7" t="s">
        <v>256</v>
      </c>
      <c r="J199" s="7" t="s">
        <v>221</v>
      </c>
      <c r="K199" s="7" t="s">
        <v>254</v>
      </c>
      <c r="L199" s="7" t="s">
        <v>581</v>
      </c>
      <c r="M199" s="7" t="s">
        <v>563</v>
      </c>
      <c r="N199" s="16"/>
      <c r="O199" s="7"/>
      <c r="P199" s="22"/>
      <c r="Q199" s="8" t="n">
        <v>1976</v>
      </c>
      <c r="R199" s="8" t="n">
        <v>-1976</v>
      </c>
      <c r="S199" s="7" t="s">
        <v>751</v>
      </c>
      <c r="T199" s="7"/>
      <c r="U199" s="7" t="s">
        <v>1120</v>
      </c>
      <c r="V199" s="20" t="n">
        <v>45231</v>
      </c>
      <c r="W199" s="7"/>
      <c r="X199" s="7"/>
      <c r="Y199" s="7" t="s">
        <v>705</v>
      </c>
      <c r="Z199" s="7"/>
      <c r="AA199" s="23" t="n">
        <f aca="false">YEAR(C199)</f>
        <v>2023</v>
      </c>
    </row>
    <row r="200" customFormat="false" ht="15" hidden="false" customHeight="false" outlineLevel="0" collapsed="false">
      <c r="A200" s="7" t="s">
        <v>1121</v>
      </c>
      <c r="B200" s="7" t="s">
        <v>137</v>
      </c>
      <c r="C200" s="20" t="n">
        <v>45201</v>
      </c>
      <c r="D200" s="20" t="n">
        <v>45231</v>
      </c>
      <c r="E200" s="20"/>
      <c r="F200" s="7" t="s">
        <v>759</v>
      </c>
      <c r="G200" s="7" t="s">
        <v>146</v>
      </c>
      <c r="H200" s="7" t="s">
        <v>268</v>
      </c>
      <c r="I200" s="7" t="s">
        <v>269</v>
      </c>
      <c r="J200" s="7" t="s">
        <v>221</v>
      </c>
      <c r="K200" s="7" t="s">
        <v>267</v>
      </c>
      <c r="L200" s="7" t="s">
        <v>582</v>
      </c>
      <c r="M200" s="7" t="s">
        <v>563</v>
      </c>
      <c r="N200" s="16"/>
      <c r="O200" s="7"/>
      <c r="P200" s="22"/>
      <c r="Q200" s="8" t="n">
        <v>505.6</v>
      </c>
      <c r="R200" s="8" t="n">
        <v>-505.6</v>
      </c>
      <c r="S200" s="7" t="s">
        <v>751</v>
      </c>
      <c r="T200" s="7"/>
      <c r="U200" s="7" t="s">
        <v>1122</v>
      </c>
      <c r="V200" s="20" t="n">
        <v>45231</v>
      </c>
      <c r="W200" s="7"/>
      <c r="X200" s="7"/>
      <c r="Y200" s="7" t="s">
        <v>705</v>
      </c>
      <c r="Z200" s="7"/>
      <c r="AA200" s="23" t="n">
        <f aca="false">YEAR(C200)</f>
        <v>2023</v>
      </c>
    </row>
    <row r="201" customFormat="false" ht="15" hidden="false" customHeight="false" outlineLevel="0" collapsed="false">
      <c r="A201" s="7" t="s">
        <v>1123</v>
      </c>
      <c r="B201" s="7" t="s">
        <v>137</v>
      </c>
      <c r="C201" s="20" t="n">
        <v>45203</v>
      </c>
      <c r="D201" s="20" t="n">
        <v>45233</v>
      </c>
      <c r="E201" s="20"/>
      <c r="F201" s="7" t="s">
        <v>759</v>
      </c>
      <c r="G201" s="7" t="s">
        <v>141</v>
      </c>
      <c r="H201" s="7" t="s">
        <v>261</v>
      </c>
      <c r="I201" s="7" t="s">
        <v>262</v>
      </c>
      <c r="J201" s="7" t="s">
        <v>221</v>
      </c>
      <c r="K201" s="7" t="s">
        <v>260</v>
      </c>
      <c r="L201" s="7" t="s">
        <v>1124</v>
      </c>
      <c r="M201" s="7" t="s">
        <v>563</v>
      </c>
      <c r="N201" s="16"/>
      <c r="O201" s="7"/>
      <c r="P201" s="22"/>
      <c r="Q201" s="8" t="n">
        <v>266.4</v>
      </c>
      <c r="R201" s="8" t="n">
        <v>-266.4</v>
      </c>
      <c r="S201" s="7" t="s">
        <v>751</v>
      </c>
      <c r="T201" s="7"/>
      <c r="U201" s="7" t="s">
        <v>1125</v>
      </c>
      <c r="V201" s="20" t="n">
        <v>45233</v>
      </c>
      <c r="W201" s="7"/>
      <c r="X201" s="7"/>
      <c r="Y201" s="7" t="s">
        <v>702</v>
      </c>
      <c r="Z201" s="7"/>
      <c r="AA201" s="23" t="n">
        <f aca="false">YEAR(C201)</f>
        <v>2023</v>
      </c>
    </row>
    <row r="202" customFormat="false" ht="15" hidden="false" customHeight="false" outlineLevel="0" collapsed="false">
      <c r="A202" s="7" t="s">
        <v>1126</v>
      </c>
      <c r="B202" s="7" t="s">
        <v>137</v>
      </c>
      <c r="C202" s="20" t="n">
        <v>45205</v>
      </c>
      <c r="D202" s="20" t="n">
        <v>45327</v>
      </c>
      <c r="E202" s="20"/>
      <c r="F202" s="7" t="s">
        <v>759</v>
      </c>
      <c r="G202" s="7" t="s">
        <v>149</v>
      </c>
      <c r="H202" s="7" t="s">
        <v>279</v>
      </c>
      <c r="I202" s="7" t="s">
        <v>280</v>
      </c>
      <c r="J202" s="7" t="s">
        <v>248</v>
      </c>
      <c r="K202" s="7" t="s">
        <v>278</v>
      </c>
      <c r="L202" s="7" t="s">
        <v>1127</v>
      </c>
      <c r="M202" s="7" t="s">
        <v>1010</v>
      </c>
      <c r="N202" s="16" t="n">
        <v>177</v>
      </c>
      <c r="O202" s="7" t="s">
        <v>801</v>
      </c>
      <c r="P202" s="22" t="n">
        <v>43</v>
      </c>
      <c r="Q202" s="8" t="n">
        <v>7611</v>
      </c>
      <c r="R202" s="8" t="n">
        <v>7611</v>
      </c>
      <c r="S202" s="7" t="s">
        <v>33</v>
      </c>
      <c r="T202" s="7" t="s">
        <v>1128</v>
      </c>
      <c r="U202" s="7"/>
      <c r="V202" s="20" t="n">
        <v>45235</v>
      </c>
      <c r="W202" s="7"/>
      <c r="X202" s="7"/>
      <c r="Y202" s="7"/>
      <c r="Z202" s="7"/>
      <c r="AA202" s="23" t="n">
        <f aca="false">YEAR(C202)</f>
        <v>2023</v>
      </c>
    </row>
    <row r="203" customFormat="false" ht="15" hidden="false" customHeight="false" outlineLevel="0" collapsed="false">
      <c r="A203" s="7" t="s">
        <v>1129</v>
      </c>
      <c r="B203" s="7" t="s">
        <v>137</v>
      </c>
      <c r="C203" s="20" t="n">
        <v>45205</v>
      </c>
      <c r="D203" s="20" t="n">
        <v>45327</v>
      </c>
      <c r="E203" s="20"/>
      <c r="F203" s="7" t="s">
        <v>759</v>
      </c>
      <c r="G203" s="7" t="s">
        <v>149</v>
      </c>
      <c r="H203" s="7" t="s">
        <v>281</v>
      </c>
      <c r="I203" s="7" t="s">
        <v>282</v>
      </c>
      <c r="J203" s="7" t="s">
        <v>248</v>
      </c>
      <c r="K203" s="7" t="s">
        <v>278</v>
      </c>
      <c r="L203" s="7" t="s">
        <v>1130</v>
      </c>
      <c r="M203" s="7" t="s">
        <v>1010</v>
      </c>
      <c r="N203" s="16" t="n">
        <v>21904</v>
      </c>
      <c r="O203" s="7" t="s">
        <v>798</v>
      </c>
      <c r="P203" s="22" t="n">
        <v>0.17</v>
      </c>
      <c r="Q203" s="8" t="n">
        <v>3723.64</v>
      </c>
      <c r="R203" s="8" t="n">
        <v>3723.64</v>
      </c>
      <c r="S203" s="7" t="s">
        <v>33</v>
      </c>
      <c r="T203" s="7" t="s">
        <v>1128</v>
      </c>
      <c r="U203" s="7"/>
      <c r="V203" s="20" t="n">
        <v>45235</v>
      </c>
      <c r="W203" s="7"/>
      <c r="X203" s="7"/>
      <c r="Y203" s="7"/>
      <c r="Z203" s="7"/>
      <c r="AA203" s="23" t="n">
        <f aca="false">YEAR(C203)</f>
        <v>2023</v>
      </c>
    </row>
    <row r="204" customFormat="false" ht="15" hidden="false" customHeight="false" outlineLevel="0" collapsed="false">
      <c r="A204" s="7" t="s">
        <v>1131</v>
      </c>
      <c r="B204" s="7" t="s">
        <v>137</v>
      </c>
      <c r="C204" s="20" t="n">
        <v>45206</v>
      </c>
      <c r="D204" s="20" t="n">
        <v>45250</v>
      </c>
      <c r="E204" s="20"/>
      <c r="F204" s="7" t="s">
        <v>759</v>
      </c>
      <c r="G204" s="7" t="s">
        <v>149</v>
      </c>
      <c r="H204" s="7" t="s">
        <v>279</v>
      </c>
      <c r="I204" s="7" t="s">
        <v>280</v>
      </c>
      <c r="J204" s="7" t="s">
        <v>248</v>
      </c>
      <c r="K204" s="7" t="s">
        <v>278</v>
      </c>
      <c r="L204" s="7" t="s">
        <v>1132</v>
      </c>
      <c r="M204" s="7" t="s">
        <v>606</v>
      </c>
      <c r="N204" s="16" t="n">
        <v>104</v>
      </c>
      <c r="O204" s="7" t="s">
        <v>801</v>
      </c>
      <c r="P204" s="22" t="n">
        <v>39</v>
      </c>
      <c r="Q204" s="8" t="n">
        <v>4056</v>
      </c>
      <c r="R204" s="8" t="n">
        <v>4056</v>
      </c>
      <c r="S204" s="7" t="s">
        <v>33</v>
      </c>
      <c r="T204" s="7" t="s">
        <v>1133</v>
      </c>
      <c r="U204" s="7"/>
      <c r="V204" s="20" t="n">
        <v>45236</v>
      </c>
      <c r="W204" s="7"/>
      <c r="X204" s="7"/>
      <c r="Y204" s="7"/>
      <c r="Z204" s="7"/>
      <c r="AA204" s="23" t="n">
        <f aca="false">YEAR(C204)</f>
        <v>2023</v>
      </c>
    </row>
    <row r="205" customFormat="false" ht="15" hidden="false" customHeight="false" outlineLevel="0" collapsed="false">
      <c r="A205" s="7" t="s">
        <v>1134</v>
      </c>
      <c r="B205" s="7" t="s">
        <v>137</v>
      </c>
      <c r="C205" s="20" t="n">
        <v>45206</v>
      </c>
      <c r="D205" s="20" t="n">
        <v>45250</v>
      </c>
      <c r="E205" s="20"/>
      <c r="F205" s="7" t="s">
        <v>759</v>
      </c>
      <c r="G205" s="7" t="s">
        <v>149</v>
      </c>
      <c r="H205" s="7" t="s">
        <v>281</v>
      </c>
      <c r="I205" s="7" t="s">
        <v>282</v>
      </c>
      <c r="J205" s="7" t="s">
        <v>248</v>
      </c>
      <c r="K205" s="7" t="s">
        <v>278</v>
      </c>
      <c r="L205" s="7" t="s">
        <v>1135</v>
      </c>
      <c r="M205" s="7" t="s">
        <v>606</v>
      </c>
      <c r="N205" s="16" t="n">
        <v>3588</v>
      </c>
      <c r="O205" s="7" t="s">
        <v>798</v>
      </c>
      <c r="P205" s="22" t="n">
        <v>0.17</v>
      </c>
      <c r="Q205" s="8" t="n">
        <v>609.96</v>
      </c>
      <c r="R205" s="8" t="n">
        <v>609.96</v>
      </c>
      <c r="S205" s="7" t="s">
        <v>33</v>
      </c>
      <c r="T205" s="7" t="s">
        <v>1133</v>
      </c>
      <c r="U205" s="7"/>
      <c r="V205" s="20" t="n">
        <v>45236</v>
      </c>
      <c r="W205" s="7"/>
      <c r="X205" s="7"/>
      <c r="Y205" s="7"/>
      <c r="Z205" s="7"/>
      <c r="AA205" s="23" t="n">
        <f aca="false">YEAR(C205)</f>
        <v>2023</v>
      </c>
    </row>
    <row r="206" customFormat="false" ht="15" hidden="false" customHeight="false" outlineLevel="0" collapsed="false">
      <c r="A206" s="7" t="s">
        <v>1136</v>
      </c>
      <c r="B206" s="7" t="s">
        <v>137</v>
      </c>
      <c r="C206" s="20" t="n">
        <v>45207</v>
      </c>
      <c r="D206" s="20" t="n">
        <v>45252</v>
      </c>
      <c r="E206" s="20"/>
      <c r="F206" s="7" t="s">
        <v>759</v>
      </c>
      <c r="G206" s="7" t="s">
        <v>153</v>
      </c>
      <c r="H206" s="7" t="s">
        <v>244</v>
      </c>
      <c r="I206" s="7" t="s">
        <v>245</v>
      </c>
      <c r="J206" s="7" t="s">
        <v>229</v>
      </c>
      <c r="K206" s="7" t="s">
        <v>233</v>
      </c>
      <c r="L206" s="7" t="s">
        <v>570</v>
      </c>
      <c r="M206" s="7"/>
      <c r="N206" s="16"/>
      <c r="O206" s="7"/>
      <c r="P206" s="22"/>
      <c r="Q206" s="8" t="n">
        <v>165</v>
      </c>
      <c r="R206" s="8" t="n">
        <v>-165</v>
      </c>
      <c r="S206" s="7" t="s">
        <v>765</v>
      </c>
      <c r="T206" s="7"/>
      <c r="U206" s="7"/>
      <c r="V206" s="20"/>
      <c r="W206" s="7"/>
      <c r="X206" s="7"/>
      <c r="Y206" s="7"/>
      <c r="Z206" s="7"/>
      <c r="AA206" s="23" t="n">
        <f aca="false">YEAR(C206)</f>
        <v>2023</v>
      </c>
    </row>
    <row r="207" customFormat="false" ht="15" hidden="false" customHeight="false" outlineLevel="0" collapsed="false">
      <c r="A207" s="7" t="s">
        <v>1137</v>
      </c>
      <c r="B207" s="7" t="s">
        <v>137</v>
      </c>
      <c r="C207" s="20" t="n">
        <v>45208</v>
      </c>
      <c r="D207" s="20" t="n">
        <v>45238</v>
      </c>
      <c r="E207" s="20"/>
      <c r="F207" s="7" t="s">
        <v>759</v>
      </c>
      <c r="G207" s="7" t="s">
        <v>141</v>
      </c>
      <c r="H207" s="7" t="s">
        <v>268</v>
      </c>
      <c r="I207" s="7" t="s">
        <v>269</v>
      </c>
      <c r="J207" s="7" t="s">
        <v>221</v>
      </c>
      <c r="K207" s="7" t="s">
        <v>267</v>
      </c>
      <c r="L207" s="7" t="s">
        <v>564</v>
      </c>
      <c r="M207" s="7" t="s">
        <v>563</v>
      </c>
      <c r="N207" s="16"/>
      <c r="O207" s="7"/>
      <c r="P207" s="22"/>
      <c r="Q207" s="8" t="n">
        <v>1520.75</v>
      </c>
      <c r="R207" s="8" t="n">
        <v>-1520.75</v>
      </c>
      <c r="S207" s="7" t="s">
        <v>751</v>
      </c>
      <c r="T207" s="7"/>
      <c r="U207" s="7" t="s">
        <v>1138</v>
      </c>
      <c r="V207" s="20" t="n">
        <v>45238</v>
      </c>
      <c r="W207" s="7"/>
      <c r="X207" s="7"/>
      <c r="Y207" s="7" t="s">
        <v>704</v>
      </c>
      <c r="Z207" s="7"/>
      <c r="AA207" s="23" t="n">
        <f aca="false">YEAR(C207)</f>
        <v>2023</v>
      </c>
    </row>
    <row r="208" customFormat="false" ht="15" hidden="false" customHeight="false" outlineLevel="0" collapsed="false">
      <c r="A208" s="7" t="s">
        <v>1139</v>
      </c>
      <c r="B208" s="7" t="s">
        <v>137</v>
      </c>
      <c r="C208" s="20" t="n">
        <v>45208</v>
      </c>
      <c r="D208" s="20" t="n">
        <v>45271</v>
      </c>
      <c r="E208" s="20"/>
      <c r="F208" s="7" t="s">
        <v>759</v>
      </c>
      <c r="G208" s="7" t="s">
        <v>149</v>
      </c>
      <c r="H208" s="7" t="s">
        <v>279</v>
      </c>
      <c r="I208" s="7" t="s">
        <v>280</v>
      </c>
      <c r="J208" s="7" t="s">
        <v>248</v>
      </c>
      <c r="K208" s="7" t="s">
        <v>278</v>
      </c>
      <c r="L208" s="7" t="s">
        <v>1140</v>
      </c>
      <c r="M208" s="7" t="s">
        <v>593</v>
      </c>
      <c r="N208" s="16" t="n">
        <v>156</v>
      </c>
      <c r="O208" s="7" t="s">
        <v>801</v>
      </c>
      <c r="P208" s="22" t="n">
        <v>39</v>
      </c>
      <c r="Q208" s="8" t="n">
        <v>6084</v>
      </c>
      <c r="R208" s="8" t="n">
        <v>6084</v>
      </c>
      <c r="S208" s="7" t="s">
        <v>33</v>
      </c>
      <c r="T208" s="7" t="s">
        <v>1141</v>
      </c>
      <c r="U208" s="7"/>
      <c r="V208" s="20" t="n">
        <v>45238</v>
      </c>
      <c r="W208" s="7"/>
      <c r="X208" s="7"/>
      <c r="Y208" s="7"/>
      <c r="Z208" s="7"/>
      <c r="AA208" s="23" t="n">
        <f aca="false">YEAR(C208)</f>
        <v>2023</v>
      </c>
    </row>
    <row r="209" customFormat="false" ht="15" hidden="false" customHeight="false" outlineLevel="0" collapsed="false">
      <c r="A209" s="7" t="s">
        <v>1142</v>
      </c>
      <c r="B209" s="7" t="s">
        <v>137</v>
      </c>
      <c r="C209" s="20" t="n">
        <v>45208</v>
      </c>
      <c r="D209" s="20" t="n">
        <v>45271</v>
      </c>
      <c r="E209" s="20"/>
      <c r="F209" s="7" t="s">
        <v>759</v>
      </c>
      <c r="G209" s="7" t="s">
        <v>149</v>
      </c>
      <c r="H209" s="7" t="s">
        <v>281</v>
      </c>
      <c r="I209" s="7" t="s">
        <v>282</v>
      </c>
      <c r="J209" s="7" t="s">
        <v>248</v>
      </c>
      <c r="K209" s="7" t="s">
        <v>278</v>
      </c>
      <c r="L209" s="7" t="s">
        <v>1143</v>
      </c>
      <c r="M209" s="7" t="s">
        <v>593</v>
      </c>
      <c r="N209" s="16" t="n">
        <v>5382</v>
      </c>
      <c r="O209" s="7" t="s">
        <v>798</v>
      </c>
      <c r="P209" s="22" t="n">
        <v>0.17</v>
      </c>
      <c r="Q209" s="8" t="n">
        <v>914.94</v>
      </c>
      <c r="R209" s="8" t="n">
        <v>914.94</v>
      </c>
      <c r="S209" s="7" t="s">
        <v>33</v>
      </c>
      <c r="T209" s="7" t="s">
        <v>1141</v>
      </c>
      <c r="U209" s="7"/>
      <c r="V209" s="20" t="n">
        <v>45238</v>
      </c>
      <c r="W209" s="7"/>
      <c r="X209" s="7"/>
      <c r="Y209" s="7"/>
      <c r="Z209" s="7"/>
      <c r="AA209" s="23" t="n">
        <f aca="false">YEAR(C209)</f>
        <v>2023</v>
      </c>
    </row>
    <row r="210" customFormat="false" ht="15" hidden="false" customHeight="false" outlineLevel="0" collapsed="false">
      <c r="A210" s="7" t="s">
        <v>1144</v>
      </c>
      <c r="B210" s="7" t="s">
        <v>137</v>
      </c>
      <c r="C210" s="20" t="n">
        <v>45209</v>
      </c>
      <c r="D210" s="20" t="n">
        <v>45209</v>
      </c>
      <c r="E210" s="20"/>
      <c r="F210" s="7" t="s">
        <v>759</v>
      </c>
      <c r="G210" s="7" t="s">
        <v>153</v>
      </c>
      <c r="H210" s="7" t="s">
        <v>237</v>
      </c>
      <c r="I210" s="7" t="s">
        <v>238</v>
      </c>
      <c r="J210" s="7" t="s">
        <v>236</v>
      </c>
      <c r="K210" s="7" t="s">
        <v>189</v>
      </c>
      <c r="L210" s="7" t="s">
        <v>1145</v>
      </c>
      <c r="M210" s="7" t="s">
        <v>768</v>
      </c>
      <c r="N210" s="16"/>
      <c r="O210" s="7"/>
      <c r="P210" s="22"/>
      <c r="Q210" s="8" t="n">
        <v>85.81</v>
      </c>
      <c r="R210" s="8" t="n">
        <v>-85.81</v>
      </c>
      <c r="S210" s="7" t="s">
        <v>744</v>
      </c>
      <c r="T210" s="7"/>
      <c r="U210" s="7"/>
      <c r="V210" s="20"/>
      <c r="W210" s="7"/>
      <c r="X210" s="7" t="s">
        <v>769</v>
      </c>
      <c r="Y210" s="7"/>
      <c r="Z210" s="7"/>
      <c r="AA210" s="23" t="n">
        <f aca="false">YEAR(C210)</f>
        <v>2023</v>
      </c>
    </row>
    <row r="211" customFormat="false" ht="15" hidden="false" customHeight="false" outlineLevel="0" collapsed="false">
      <c r="A211" s="7" t="s">
        <v>1146</v>
      </c>
      <c r="B211" s="7" t="s">
        <v>137</v>
      </c>
      <c r="C211" s="20" t="n">
        <v>45209</v>
      </c>
      <c r="D211" s="20" t="n">
        <v>45209</v>
      </c>
      <c r="E211" s="20"/>
      <c r="F211" s="7" t="s">
        <v>759</v>
      </c>
      <c r="G211" s="7" t="s">
        <v>153</v>
      </c>
      <c r="H211" s="7" t="s">
        <v>559</v>
      </c>
      <c r="I211" s="7" t="s">
        <v>771</v>
      </c>
      <c r="J211" s="7" t="s">
        <v>761</v>
      </c>
      <c r="K211" s="7" t="s">
        <v>772</v>
      </c>
      <c r="L211" s="7" t="s">
        <v>1147</v>
      </c>
      <c r="M211" s="7" t="s">
        <v>768</v>
      </c>
      <c r="N211" s="16"/>
      <c r="O211" s="7"/>
      <c r="P211" s="22"/>
      <c r="Q211" s="8" t="n">
        <v>759.28</v>
      </c>
      <c r="R211" s="8" t="n">
        <v>-759.28</v>
      </c>
      <c r="S211" s="7" t="s">
        <v>744</v>
      </c>
      <c r="T211" s="7"/>
      <c r="U211" s="7"/>
      <c r="V211" s="20"/>
      <c r="W211" s="7"/>
      <c r="X211" s="7" t="s">
        <v>769</v>
      </c>
      <c r="Y211" s="7"/>
      <c r="Z211" s="7"/>
      <c r="AA211" s="23" t="n">
        <f aca="false">YEAR(C211)</f>
        <v>2023</v>
      </c>
    </row>
    <row r="212" customFormat="false" ht="15" hidden="false" customHeight="false" outlineLevel="0" collapsed="false">
      <c r="A212" s="7" t="s">
        <v>1148</v>
      </c>
      <c r="B212" s="7" t="s">
        <v>137</v>
      </c>
      <c r="C212" s="20" t="n">
        <v>45210</v>
      </c>
      <c r="D212" s="20" t="n">
        <v>45247</v>
      </c>
      <c r="E212" s="20"/>
      <c r="F212" s="7" t="s">
        <v>759</v>
      </c>
      <c r="G212" s="7" t="s">
        <v>149</v>
      </c>
      <c r="H212" s="7" t="s">
        <v>279</v>
      </c>
      <c r="I212" s="7" t="s">
        <v>280</v>
      </c>
      <c r="J212" s="7" t="s">
        <v>248</v>
      </c>
      <c r="K212" s="7" t="s">
        <v>278</v>
      </c>
      <c r="L212" s="7" t="s">
        <v>1149</v>
      </c>
      <c r="M212" s="7" t="s">
        <v>603</v>
      </c>
      <c r="N212" s="16" t="n">
        <v>105</v>
      </c>
      <c r="O212" s="7" t="s">
        <v>801</v>
      </c>
      <c r="P212" s="22" t="n">
        <v>43</v>
      </c>
      <c r="Q212" s="8" t="n">
        <v>4515</v>
      </c>
      <c r="R212" s="8" t="n">
        <v>4515</v>
      </c>
      <c r="S212" s="7" t="s">
        <v>33</v>
      </c>
      <c r="T212" s="7" t="s">
        <v>1150</v>
      </c>
      <c r="U212" s="7"/>
      <c r="V212" s="20" t="n">
        <v>45240</v>
      </c>
      <c r="W212" s="7"/>
      <c r="X212" s="7"/>
      <c r="Y212" s="7"/>
      <c r="Z212" s="7"/>
      <c r="AA212" s="23" t="n">
        <f aca="false">YEAR(C212)</f>
        <v>2023</v>
      </c>
    </row>
    <row r="213" customFormat="false" ht="15" hidden="false" customHeight="false" outlineLevel="0" collapsed="false">
      <c r="A213" s="7" t="s">
        <v>1151</v>
      </c>
      <c r="B213" s="7" t="s">
        <v>137</v>
      </c>
      <c r="C213" s="20" t="n">
        <v>45210</v>
      </c>
      <c r="D213" s="20" t="n">
        <v>45247</v>
      </c>
      <c r="E213" s="20"/>
      <c r="F213" s="7" t="s">
        <v>759</v>
      </c>
      <c r="G213" s="7" t="s">
        <v>149</v>
      </c>
      <c r="H213" s="7" t="s">
        <v>281</v>
      </c>
      <c r="I213" s="7" t="s">
        <v>282</v>
      </c>
      <c r="J213" s="7" t="s">
        <v>248</v>
      </c>
      <c r="K213" s="7" t="s">
        <v>278</v>
      </c>
      <c r="L213" s="7" t="s">
        <v>1152</v>
      </c>
      <c r="M213" s="7" t="s">
        <v>603</v>
      </c>
      <c r="N213" s="16" t="n">
        <v>12994</v>
      </c>
      <c r="O213" s="7" t="s">
        <v>798</v>
      </c>
      <c r="P213" s="22" t="n">
        <v>0.17</v>
      </c>
      <c r="Q213" s="8" t="n">
        <v>2208.94</v>
      </c>
      <c r="R213" s="8" t="n">
        <v>2208.94</v>
      </c>
      <c r="S213" s="7" t="s">
        <v>33</v>
      </c>
      <c r="T213" s="7" t="s">
        <v>1150</v>
      </c>
      <c r="U213" s="7"/>
      <c r="V213" s="20" t="n">
        <v>45240</v>
      </c>
      <c r="W213" s="7"/>
      <c r="X213" s="7"/>
      <c r="Y213" s="7"/>
      <c r="Z213" s="7"/>
      <c r="AA213" s="23" t="n">
        <f aca="false">YEAR(C213)</f>
        <v>2023</v>
      </c>
    </row>
    <row r="214" customFormat="false" ht="15" hidden="false" customHeight="false" outlineLevel="0" collapsed="false">
      <c r="A214" s="7" t="s">
        <v>1153</v>
      </c>
      <c r="B214" s="7" t="s">
        <v>137</v>
      </c>
      <c r="C214" s="20" t="n">
        <v>45210</v>
      </c>
      <c r="D214" s="20" t="n">
        <v>45250</v>
      </c>
      <c r="E214" s="20"/>
      <c r="F214" s="7" t="s">
        <v>759</v>
      </c>
      <c r="G214" s="7" t="s">
        <v>149</v>
      </c>
      <c r="H214" s="7" t="s">
        <v>279</v>
      </c>
      <c r="I214" s="7" t="s">
        <v>280</v>
      </c>
      <c r="J214" s="7" t="s">
        <v>248</v>
      </c>
      <c r="K214" s="7" t="s">
        <v>278</v>
      </c>
      <c r="L214" s="7" t="s">
        <v>1154</v>
      </c>
      <c r="M214" s="7" t="s">
        <v>1016</v>
      </c>
      <c r="N214" s="16" t="n">
        <v>100</v>
      </c>
      <c r="O214" s="7" t="s">
        <v>801</v>
      </c>
      <c r="P214" s="22" t="n">
        <v>43</v>
      </c>
      <c r="Q214" s="8" t="n">
        <v>4300</v>
      </c>
      <c r="R214" s="8" t="n">
        <v>4300</v>
      </c>
      <c r="S214" s="7" t="s">
        <v>33</v>
      </c>
      <c r="T214" s="7" t="s">
        <v>1155</v>
      </c>
      <c r="U214" s="7"/>
      <c r="V214" s="20" t="n">
        <v>45240</v>
      </c>
      <c r="W214" s="7"/>
      <c r="X214" s="7"/>
      <c r="Y214" s="7"/>
      <c r="Z214" s="7"/>
      <c r="AA214" s="23" t="n">
        <f aca="false">YEAR(C214)</f>
        <v>2023</v>
      </c>
    </row>
    <row r="215" customFormat="false" ht="15" hidden="false" customHeight="false" outlineLevel="0" collapsed="false">
      <c r="A215" s="7" t="s">
        <v>1156</v>
      </c>
      <c r="B215" s="7" t="s">
        <v>137</v>
      </c>
      <c r="C215" s="20" t="n">
        <v>45210</v>
      </c>
      <c r="D215" s="20" t="n">
        <v>45250</v>
      </c>
      <c r="E215" s="20"/>
      <c r="F215" s="7" t="s">
        <v>759</v>
      </c>
      <c r="G215" s="7" t="s">
        <v>149</v>
      </c>
      <c r="H215" s="7" t="s">
        <v>281</v>
      </c>
      <c r="I215" s="7" t="s">
        <v>282</v>
      </c>
      <c r="J215" s="7" t="s">
        <v>248</v>
      </c>
      <c r="K215" s="7" t="s">
        <v>278</v>
      </c>
      <c r="L215" s="7" t="s">
        <v>1157</v>
      </c>
      <c r="M215" s="7" t="s">
        <v>1016</v>
      </c>
      <c r="N215" s="16" t="n">
        <v>12375</v>
      </c>
      <c r="O215" s="7" t="s">
        <v>798</v>
      </c>
      <c r="P215" s="22" t="n">
        <v>0.17</v>
      </c>
      <c r="Q215" s="8" t="n">
        <v>2103.75</v>
      </c>
      <c r="R215" s="8" t="n">
        <v>2103.75</v>
      </c>
      <c r="S215" s="7" t="s">
        <v>33</v>
      </c>
      <c r="T215" s="7" t="s">
        <v>1155</v>
      </c>
      <c r="U215" s="7"/>
      <c r="V215" s="20" t="n">
        <v>45240</v>
      </c>
      <c r="W215" s="7"/>
      <c r="X215" s="7"/>
      <c r="Y215" s="7"/>
      <c r="Z215" s="7"/>
      <c r="AA215" s="23" t="n">
        <f aca="false">YEAR(C215)</f>
        <v>2023</v>
      </c>
    </row>
    <row r="216" customFormat="false" ht="15" hidden="false" customHeight="false" outlineLevel="0" collapsed="false">
      <c r="A216" s="7" t="s">
        <v>1158</v>
      </c>
      <c r="B216" s="7" t="s">
        <v>137</v>
      </c>
      <c r="C216" s="20" t="n">
        <v>45210</v>
      </c>
      <c r="D216" s="20" t="n">
        <v>45264</v>
      </c>
      <c r="E216" s="20"/>
      <c r="F216" s="7" t="s">
        <v>759</v>
      </c>
      <c r="G216" s="7" t="s">
        <v>149</v>
      </c>
      <c r="H216" s="7" t="s">
        <v>279</v>
      </c>
      <c r="I216" s="7" t="s">
        <v>280</v>
      </c>
      <c r="J216" s="7" t="s">
        <v>248</v>
      </c>
      <c r="K216" s="7" t="s">
        <v>278</v>
      </c>
      <c r="L216" s="7" t="s">
        <v>1159</v>
      </c>
      <c r="M216" s="7" t="s">
        <v>1016</v>
      </c>
      <c r="N216" s="16" t="n">
        <v>109</v>
      </c>
      <c r="O216" s="7" t="s">
        <v>801</v>
      </c>
      <c r="P216" s="22" t="n">
        <v>39</v>
      </c>
      <c r="Q216" s="8" t="n">
        <v>4251</v>
      </c>
      <c r="R216" s="8" t="n">
        <v>4251</v>
      </c>
      <c r="S216" s="7" t="s">
        <v>33</v>
      </c>
      <c r="T216" s="7" t="s">
        <v>1160</v>
      </c>
      <c r="U216" s="7"/>
      <c r="V216" s="20" t="n">
        <v>45240</v>
      </c>
      <c r="W216" s="7"/>
      <c r="X216" s="7"/>
      <c r="Y216" s="7"/>
      <c r="Z216" s="7"/>
      <c r="AA216" s="23" t="n">
        <f aca="false">YEAR(C216)</f>
        <v>2023</v>
      </c>
    </row>
    <row r="217" customFormat="false" ht="15" hidden="false" customHeight="false" outlineLevel="0" collapsed="false">
      <c r="A217" s="7" t="s">
        <v>1161</v>
      </c>
      <c r="B217" s="7" t="s">
        <v>137</v>
      </c>
      <c r="C217" s="20" t="n">
        <v>45210</v>
      </c>
      <c r="D217" s="20" t="n">
        <v>45264</v>
      </c>
      <c r="E217" s="20"/>
      <c r="F217" s="7" t="s">
        <v>759</v>
      </c>
      <c r="G217" s="7" t="s">
        <v>149</v>
      </c>
      <c r="H217" s="7" t="s">
        <v>281</v>
      </c>
      <c r="I217" s="7" t="s">
        <v>282</v>
      </c>
      <c r="J217" s="7" t="s">
        <v>248</v>
      </c>
      <c r="K217" s="7" t="s">
        <v>278</v>
      </c>
      <c r="L217" s="7" t="s">
        <v>1162</v>
      </c>
      <c r="M217" s="7" t="s">
        <v>1016</v>
      </c>
      <c r="N217" s="16" t="n">
        <v>3760</v>
      </c>
      <c r="O217" s="7" t="s">
        <v>798</v>
      </c>
      <c r="P217" s="22" t="n">
        <v>0.17</v>
      </c>
      <c r="Q217" s="8" t="n">
        <v>639.29</v>
      </c>
      <c r="R217" s="8" t="n">
        <v>639.29</v>
      </c>
      <c r="S217" s="7" t="s">
        <v>33</v>
      </c>
      <c r="T217" s="7" t="s">
        <v>1160</v>
      </c>
      <c r="U217" s="7"/>
      <c r="V217" s="20" t="n">
        <v>45240</v>
      </c>
      <c r="W217" s="7"/>
      <c r="X217" s="7"/>
      <c r="Y217" s="7"/>
      <c r="Z217" s="7"/>
      <c r="AA217" s="23" t="n">
        <f aca="false">YEAR(C217)</f>
        <v>2023</v>
      </c>
    </row>
    <row r="218" customFormat="false" ht="15" hidden="false" customHeight="false" outlineLevel="0" collapsed="false">
      <c r="A218" s="7" t="s">
        <v>1163</v>
      </c>
      <c r="B218" s="7" t="s">
        <v>137</v>
      </c>
      <c r="C218" s="20" t="n">
        <v>45211</v>
      </c>
      <c r="D218" s="20" t="n">
        <v>45211</v>
      </c>
      <c r="E218" s="20"/>
      <c r="F218" s="7" t="s">
        <v>759</v>
      </c>
      <c r="G218" s="7" t="s">
        <v>153</v>
      </c>
      <c r="H218" s="7" t="s">
        <v>240</v>
      </c>
      <c r="I218" s="7" t="s">
        <v>239</v>
      </c>
      <c r="J218" s="7" t="s">
        <v>229</v>
      </c>
      <c r="K218" s="7" t="s">
        <v>239</v>
      </c>
      <c r="L218" s="7" t="s">
        <v>548</v>
      </c>
      <c r="M218" s="7" t="s">
        <v>547</v>
      </c>
      <c r="N218" s="16"/>
      <c r="O218" s="7"/>
      <c r="P218" s="22"/>
      <c r="Q218" s="8" t="n">
        <v>254.3</v>
      </c>
      <c r="R218" s="8" t="n">
        <v>-254.3</v>
      </c>
      <c r="S218" s="7" t="s">
        <v>775</v>
      </c>
      <c r="T218" s="7"/>
      <c r="U218" s="7"/>
      <c r="V218" s="20"/>
      <c r="W218" s="7"/>
      <c r="X218" s="7"/>
      <c r="Y218" s="7"/>
      <c r="Z218" s="7"/>
      <c r="AA218" s="23" t="n">
        <f aca="false">YEAR(C218)</f>
        <v>2023</v>
      </c>
    </row>
    <row r="219" customFormat="false" ht="15" hidden="false" customHeight="false" outlineLevel="0" collapsed="false">
      <c r="A219" s="7" t="s">
        <v>1164</v>
      </c>
      <c r="B219" s="7" t="s">
        <v>137</v>
      </c>
      <c r="C219" s="20" t="n">
        <v>45211</v>
      </c>
      <c r="D219" s="20" t="n">
        <v>45215</v>
      </c>
      <c r="E219" s="20"/>
      <c r="F219" s="7" t="s">
        <v>759</v>
      </c>
      <c r="G219" s="7" t="s">
        <v>141</v>
      </c>
      <c r="H219" s="7" t="s">
        <v>250</v>
      </c>
      <c r="I219" s="7" t="s">
        <v>251</v>
      </c>
      <c r="J219" s="7" t="s">
        <v>248</v>
      </c>
      <c r="K219" s="7" t="s">
        <v>249</v>
      </c>
      <c r="L219" s="7" t="s">
        <v>1165</v>
      </c>
      <c r="M219" s="7" t="s">
        <v>549</v>
      </c>
      <c r="N219" s="16" t="n">
        <v>10350</v>
      </c>
      <c r="O219" s="7" t="s">
        <v>798</v>
      </c>
      <c r="P219" s="22" t="n">
        <v>4.63</v>
      </c>
      <c r="Q219" s="8" t="n">
        <v>47920.5</v>
      </c>
      <c r="R219" s="8" t="n">
        <v>47920.5</v>
      </c>
      <c r="S219" s="7" t="s">
        <v>33</v>
      </c>
      <c r="T219" s="7" t="s">
        <v>1166</v>
      </c>
      <c r="U219" s="7"/>
      <c r="V219" s="20" t="n">
        <v>45211</v>
      </c>
      <c r="W219" s="7"/>
      <c r="X219" s="7"/>
      <c r="Y219" s="7" t="s">
        <v>704</v>
      </c>
      <c r="Z219" s="7"/>
      <c r="AA219" s="23" t="n">
        <f aca="false">YEAR(C219)</f>
        <v>2023</v>
      </c>
    </row>
    <row r="220" customFormat="false" ht="15" hidden="false" customHeight="false" outlineLevel="0" collapsed="false">
      <c r="A220" s="7" t="s">
        <v>1167</v>
      </c>
      <c r="B220" s="7" t="s">
        <v>137</v>
      </c>
      <c r="C220" s="20" t="n">
        <v>45211</v>
      </c>
      <c r="D220" s="20" t="n">
        <v>45271</v>
      </c>
      <c r="E220" s="20"/>
      <c r="F220" s="7" t="s">
        <v>759</v>
      </c>
      <c r="G220" s="7" t="s">
        <v>149</v>
      </c>
      <c r="H220" s="7" t="s">
        <v>279</v>
      </c>
      <c r="I220" s="7" t="s">
        <v>280</v>
      </c>
      <c r="J220" s="7" t="s">
        <v>248</v>
      </c>
      <c r="K220" s="7" t="s">
        <v>278</v>
      </c>
      <c r="L220" s="7" t="s">
        <v>1168</v>
      </c>
      <c r="M220" s="7" t="s">
        <v>600</v>
      </c>
      <c r="N220" s="16" t="n">
        <v>185</v>
      </c>
      <c r="O220" s="7" t="s">
        <v>801</v>
      </c>
      <c r="P220" s="22" t="n">
        <v>39</v>
      </c>
      <c r="Q220" s="8" t="n">
        <v>7215</v>
      </c>
      <c r="R220" s="8" t="n">
        <v>7215</v>
      </c>
      <c r="S220" s="7" t="s">
        <v>33</v>
      </c>
      <c r="T220" s="7" t="s">
        <v>1169</v>
      </c>
      <c r="U220" s="7"/>
      <c r="V220" s="20" t="n">
        <v>45241</v>
      </c>
      <c r="W220" s="7"/>
      <c r="X220" s="7"/>
      <c r="Y220" s="7"/>
      <c r="Z220" s="7"/>
      <c r="AA220" s="23" t="n">
        <f aca="false">YEAR(C220)</f>
        <v>2023</v>
      </c>
    </row>
    <row r="221" customFormat="false" ht="15" hidden="false" customHeight="false" outlineLevel="0" collapsed="false">
      <c r="A221" s="7" t="s">
        <v>1170</v>
      </c>
      <c r="B221" s="7" t="s">
        <v>137</v>
      </c>
      <c r="C221" s="20" t="n">
        <v>45211</v>
      </c>
      <c r="D221" s="20" t="n">
        <v>45271</v>
      </c>
      <c r="E221" s="20"/>
      <c r="F221" s="7" t="s">
        <v>759</v>
      </c>
      <c r="G221" s="7" t="s">
        <v>149</v>
      </c>
      <c r="H221" s="7" t="s">
        <v>281</v>
      </c>
      <c r="I221" s="7" t="s">
        <v>282</v>
      </c>
      <c r="J221" s="7" t="s">
        <v>248</v>
      </c>
      <c r="K221" s="7" t="s">
        <v>278</v>
      </c>
      <c r="L221" s="7" t="s">
        <v>1171</v>
      </c>
      <c r="M221" s="7" t="s">
        <v>600</v>
      </c>
      <c r="N221" s="16" t="n">
        <v>6382</v>
      </c>
      <c r="O221" s="7" t="s">
        <v>798</v>
      </c>
      <c r="P221" s="22" t="n">
        <v>0.17</v>
      </c>
      <c r="Q221" s="8" t="n">
        <v>1085.03</v>
      </c>
      <c r="R221" s="8" t="n">
        <v>1085.03</v>
      </c>
      <c r="S221" s="7" t="s">
        <v>33</v>
      </c>
      <c r="T221" s="7" t="s">
        <v>1169</v>
      </c>
      <c r="U221" s="7"/>
      <c r="V221" s="20" t="n">
        <v>45241</v>
      </c>
      <c r="W221" s="7"/>
      <c r="X221" s="7"/>
      <c r="Y221" s="7"/>
      <c r="Z221" s="7"/>
      <c r="AA221" s="23" t="n">
        <f aca="false">YEAR(C221)</f>
        <v>2023</v>
      </c>
    </row>
    <row r="222" customFormat="false" ht="15" hidden="false" customHeight="false" outlineLevel="0" collapsed="false">
      <c r="A222" s="7" t="s">
        <v>1172</v>
      </c>
      <c r="B222" s="7" t="s">
        <v>137</v>
      </c>
      <c r="C222" s="20" t="n">
        <v>45212</v>
      </c>
      <c r="D222" s="20" t="n">
        <v>45212</v>
      </c>
      <c r="E222" s="20"/>
      <c r="F222" s="7" t="s">
        <v>759</v>
      </c>
      <c r="G222" s="7" t="s">
        <v>149</v>
      </c>
      <c r="H222" s="7" t="s">
        <v>271</v>
      </c>
      <c r="I222" s="7" t="s">
        <v>272</v>
      </c>
      <c r="J222" s="7" t="s">
        <v>221</v>
      </c>
      <c r="K222" s="7" t="s">
        <v>270</v>
      </c>
      <c r="L222" s="7" t="s">
        <v>1173</v>
      </c>
      <c r="M222" s="7" t="s">
        <v>541</v>
      </c>
      <c r="N222" s="16"/>
      <c r="O222" s="7"/>
      <c r="P222" s="22"/>
      <c r="Q222" s="8" t="n">
        <v>1240.9</v>
      </c>
      <c r="R222" s="8" t="n">
        <v>-1240.9</v>
      </c>
      <c r="S222" s="7" t="s">
        <v>744</v>
      </c>
      <c r="T222" s="7"/>
      <c r="U222" s="7"/>
      <c r="V222" s="20"/>
      <c r="W222" s="7"/>
      <c r="X222" s="7"/>
      <c r="Y222" s="7"/>
      <c r="Z222" s="7"/>
      <c r="AA222" s="23" t="n">
        <f aca="false">YEAR(C222)</f>
        <v>2023</v>
      </c>
    </row>
    <row r="223" customFormat="false" ht="15" hidden="false" customHeight="false" outlineLevel="0" collapsed="false">
      <c r="A223" s="7" t="s">
        <v>1174</v>
      </c>
      <c r="B223" s="7" t="s">
        <v>137</v>
      </c>
      <c r="C223" s="20" t="n">
        <v>45212</v>
      </c>
      <c r="D223" s="20" t="n">
        <v>45212</v>
      </c>
      <c r="E223" s="20"/>
      <c r="F223" s="7" t="s">
        <v>759</v>
      </c>
      <c r="G223" s="7" t="s">
        <v>153</v>
      </c>
      <c r="H223" s="7" t="s">
        <v>271</v>
      </c>
      <c r="I223" s="7" t="s">
        <v>272</v>
      </c>
      <c r="J223" s="7" t="s">
        <v>221</v>
      </c>
      <c r="K223" s="7" t="s">
        <v>270</v>
      </c>
      <c r="L223" s="7" t="s">
        <v>544</v>
      </c>
      <c r="M223" s="7" t="s">
        <v>541</v>
      </c>
      <c r="N223" s="16"/>
      <c r="O223" s="7"/>
      <c r="P223" s="22"/>
      <c r="Q223" s="8" t="n">
        <v>827.27</v>
      </c>
      <c r="R223" s="8" t="n">
        <v>-827.27</v>
      </c>
      <c r="S223" s="7" t="s">
        <v>744</v>
      </c>
      <c r="T223" s="7"/>
      <c r="U223" s="7"/>
      <c r="V223" s="20"/>
      <c r="W223" s="7"/>
      <c r="X223" s="7"/>
      <c r="Y223" s="7"/>
      <c r="Z223" s="7"/>
      <c r="AA223" s="23" t="n">
        <f aca="false">YEAR(C223)</f>
        <v>2023</v>
      </c>
    </row>
    <row r="224" customFormat="false" ht="15" hidden="false" customHeight="false" outlineLevel="0" collapsed="false">
      <c r="A224" s="7" t="s">
        <v>1175</v>
      </c>
      <c r="B224" s="7" t="s">
        <v>137</v>
      </c>
      <c r="C224" s="20" t="n">
        <v>45212</v>
      </c>
      <c r="D224" s="20" t="n">
        <v>45245</v>
      </c>
      <c r="E224" s="20"/>
      <c r="F224" s="7" t="s">
        <v>759</v>
      </c>
      <c r="G224" s="7" t="s">
        <v>149</v>
      </c>
      <c r="H224" s="7" t="s">
        <v>273</v>
      </c>
      <c r="I224" s="7" t="s">
        <v>274</v>
      </c>
      <c r="J224" s="7" t="s">
        <v>221</v>
      </c>
      <c r="K224" s="7" t="s">
        <v>270</v>
      </c>
      <c r="L224" s="7" t="s">
        <v>554</v>
      </c>
      <c r="M224" s="7" t="s">
        <v>541</v>
      </c>
      <c r="N224" s="16"/>
      <c r="O224" s="7"/>
      <c r="P224" s="22"/>
      <c r="Q224" s="8" t="n">
        <v>182</v>
      </c>
      <c r="R224" s="8" t="n">
        <v>-182</v>
      </c>
      <c r="S224" s="7" t="s">
        <v>789</v>
      </c>
      <c r="T224" s="7"/>
      <c r="U224" s="7"/>
      <c r="V224" s="20"/>
      <c r="W224" s="7"/>
      <c r="X224" s="7"/>
      <c r="Y224" s="7"/>
      <c r="Z224" s="7"/>
      <c r="AA224" s="23" t="n">
        <f aca="false">YEAR(C224)</f>
        <v>2023</v>
      </c>
    </row>
    <row r="225" customFormat="false" ht="15" hidden="false" customHeight="false" outlineLevel="0" collapsed="false">
      <c r="A225" s="7" t="s">
        <v>1176</v>
      </c>
      <c r="B225" s="7" t="s">
        <v>137</v>
      </c>
      <c r="C225" s="20" t="n">
        <v>45212</v>
      </c>
      <c r="D225" s="20" t="n">
        <v>45252</v>
      </c>
      <c r="E225" s="20"/>
      <c r="F225" s="7" t="s">
        <v>759</v>
      </c>
      <c r="G225" s="7" t="s">
        <v>149</v>
      </c>
      <c r="H225" s="7" t="s">
        <v>279</v>
      </c>
      <c r="I225" s="7" t="s">
        <v>280</v>
      </c>
      <c r="J225" s="7" t="s">
        <v>248</v>
      </c>
      <c r="K225" s="7" t="s">
        <v>278</v>
      </c>
      <c r="L225" s="7" t="s">
        <v>1177</v>
      </c>
      <c r="M225" s="7" t="s">
        <v>600</v>
      </c>
      <c r="N225" s="16" t="n">
        <v>147</v>
      </c>
      <c r="O225" s="7" t="s">
        <v>801</v>
      </c>
      <c r="P225" s="22" t="n">
        <v>43</v>
      </c>
      <c r="Q225" s="8" t="n">
        <v>6321</v>
      </c>
      <c r="R225" s="8" t="n">
        <v>6321</v>
      </c>
      <c r="S225" s="7" t="s">
        <v>33</v>
      </c>
      <c r="T225" s="7" t="s">
        <v>1178</v>
      </c>
      <c r="U225" s="7"/>
      <c r="V225" s="20" t="n">
        <v>45242</v>
      </c>
      <c r="W225" s="7"/>
      <c r="X225" s="7"/>
      <c r="Y225" s="7"/>
      <c r="Z225" s="7"/>
      <c r="AA225" s="23" t="n">
        <f aca="false">YEAR(C225)</f>
        <v>2023</v>
      </c>
    </row>
    <row r="226" customFormat="false" ht="15" hidden="false" customHeight="false" outlineLevel="0" collapsed="false">
      <c r="A226" s="7" t="s">
        <v>1179</v>
      </c>
      <c r="B226" s="7" t="s">
        <v>137</v>
      </c>
      <c r="C226" s="20" t="n">
        <v>45212</v>
      </c>
      <c r="D226" s="20" t="n">
        <v>45252</v>
      </c>
      <c r="E226" s="20"/>
      <c r="F226" s="7" t="s">
        <v>759</v>
      </c>
      <c r="G226" s="7" t="s">
        <v>149</v>
      </c>
      <c r="H226" s="7" t="s">
        <v>281</v>
      </c>
      <c r="I226" s="7" t="s">
        <v>282</v>
      </c>
      <c r="J226" s="7" t="s">
        <v>248</v>
      </c>
      <c r="K226" s="7" t="s">
        <v>278</v>
      </c>
      <c r="L226" s="7" t="s">
        <v>1180</v>
      </c>
      <c r="M226" s="7" t="s">
        <v>600</v>
      </c>
      <c r="N226" s="16" t="n">
        <v>18191</v>
      </c>
      <c r="O226" s="7" t="s">
        <v>798</v>
      </c>
      <c r="P226" s="22" t="n">
        <v>0.17</v>
      </c>
      <c r="Q226" s="8" t="n">
        <v>3092.51</v>
      </c>
      <c r="R226" s="8" t="n">
        <v>3092.51</v>
      </c>
      <c r="S226" s="7" t="s">
        <v>33</v>
      </c>
      <c r="T226" s="7" t="s">
        <v>1178</v>
      </c>
      <c r="U226" s="7"/>
      <c r="V226" s="20" t="n">
        <v>45242</v>
      </c>
      <c r="W226" s="7"/>
      <c r="X226" s="7"/>
      <c r="Y226" s="7"/>
      <c r="Z226" s="7"/>
      <c r="AA226" s="23" t="n">
        <f aca="false">YEAR(C226)</f>
        <v>2023</v>
      </c>
    </row>
    <row r="227" customFormat="false" ht="15" hidden="false" customHeight="false" outlineLevel="0" collapsed="false">
      <c r="A227" s="7" t="s">
        <v>1181</v>
      </c>
      <c r="B227" s="7" t="s">
        <v>137</v>
      </c>
      <c r="C227" s="20" t="n">
        <v>45213</v>
      </c>
      <c r="D227" s="20" t="n">
        <v>45243</v>
      </c>
      <c r="E227" s="20"/>
      <c r="F227" s="7" t="s">
        <v>759</v>
      </c>
      <c r="G227" s="7" t="s">
        <v>141</v>
      </c>
      <c r="H227" s="7" t="s">
        <v>261</v>
      </c>
      <c r="I227" s="7" t="s">
        <v>262</v>
      </c>
      <c r="J227" s="7" t="s">
        <v>221</v>
      </c>
      <c r="K227" s="7" t="s">
        <v>260</v>
      </c>
      <c r="L227" s="7" t="s">
        <v>565</v>
      </c>
      <c r="M227" s="7" t="s">
        <v>538</v>
      </c>
      <c r="N227" s="16"/>
      <c r="O227" s="7"/>
      <c r="P227" s="22"/>
      <c r="Q227" s="8" t="n">
        <v>3000</v>
      </c>
      <c r="R227" s="8" t="n">
        <v>-3000</v>
      </c>
      <c r="S227" s="7" t="s">
        <v>751</v>
      </c>
      <c r="T227" s="7"/>
      <c r="U227" s="7" t="s">
        <v>1182</v>
      </c>
      <c r="V227" s="20" t="n">
        <v>45243</v>
      </c>
      <c r="W227" s="7"/>
      <c r="X227" s="7"/>
      <c r="Y227" s="7" t="s">
        <v>704</v>
      </c>
      <c r="Z227" s="7"/>
      <c r="AA227" s="23" t="n">
        <f aca="false">YEAR(C227)</f>
        <v>2023</v>
      </c>
    </row>
    <row r="228" customFormat="false" ht="15" hidden="false" customHeight="false" outlineLevel="0" collapsed="false">
      <c r="A228" s="7" t="s">
        <v>1183</v>
      </c>
      <c r="B228" s="7" t="s">
        <v>137</v>
      </c>
      <c r="C228" s="20" t="n">
        <v>45217</v>
      </c>
      <c r="D228" s="20" t="n">
        <v>45226</v>
      </c>
      <c r="E228" s="20"/>
      <c r="F228" s="7" t="s">
        <v>759</v>
      </c>
      <c r="G228" s="7" t="s">
        <v>146</v>
      </c>
      <c r="H228" s="7" t="s">
        <v>250</v>
      </c>
      <c r="I228" s="7" t="s">
        <v>251</v>
      </c>
      <c r="J228" s="7" t="s">
        <v>248</v>
      </c>
      <c r="K228" s="7" t="s">
        <v>249</v>
      </c>
      <c r="L228" s="7" t="s">
        <v>1184</v>
      </c>
      <c r="M228" s="7" t="s">
        <v>626</v>
      </c>
      <c r="N228" s="16" t="n">
        <v>992</v>
      </c>
      <c r="O228" s="7" t="s">
        <v>798</v>
      </c>
      <c r="P228" s="22" t="n">
        <v>6.65</v>
      </c>
      <c r="Q228" s="8" t="n">
        <v>6596.8</v>
      </c>
      <c r="R228" s="8" t="n">
        <v>6596.8</v>
      </c>
      <c r="S228" s="7" t="s">
        <v>33</v>
      </c>
      <c r="T228" s="7" t="s">
        <v>1185</v>
      </c>
      <c r="U228" s="7"/>
      <c r="V228" s="20" t="n">
        <v>45217</v>
      </c>
      <c r="W228" s="7"/>
      <c r="X228" s="7"/>
      <c r="Y228" s="7" t="s">
        <v>698</v>
      </c>
      <c r="Z228" s="7"/>
      <c r="AA228" s="23" t="n">
        <f aca="false">YEAR(C228)</f>
        <v>2023</v>
      </c>
    </row>
    <row r="229" customFormat="false" ht="15" hidden="false" customHeight="false" outlineLevel="0" collapsed="false">
      <c r="A229" s="7" t="s">
        <v>1186</v>
      </c>
      <c r="B229" s="7" t="s">
        <v>137</v>
      </c>
      <c r="C229" s="20" t="n">
        <v>45217</v>
      </c>
      <c r="D229" s="20" t="n">
        <v>45259</v>
      </c>
      <c r="E229" s="20"/>
      <c r="F229" s="7" t="s">
        <v>759</v>
      </c>
      <c r="G229" s="7" t="s">
        <v>149</v>
      </c>
      <c r="H229" s="7" t="s">
        <v>279</v>
      </c>
      <c r="I229" s="7" t="s">
        <v>280</v>
      </c>
      <c r="J229" s="7" t="s">
        <v>248</v>
      </c>
      <c r="K229" s="7" t="s">
        <v>278</v>
      </c>
      <c r="L229" s="7" t="s">
        <v>1187</v>
      </c>
      <c r="M229" s="7" t="s">
        <v>606</v>
      </c>
      <c r="N229" s="16" t="n">
        <v>104</v>
      </c>
      <c r="O229" s="7" t="s">
        <v>801</v>
      </c>
      <c r="P229" s="22" t="n">
        <v>43</v>
      </c>
      <c r="Q229" s="8" t="n">
        <v>4472</v>
      </c>
      <c r="R229" s="8" t="n">
        <v>4472</v>
      </c>
      <c r="S229" s="7" t="s">
        <v>33</v>
      </c>
      <c r="T229" s="7" t="s">
        <v>1188</v>
      </c>
      <c r="U229" s="7"/>
      <c r="V229" s="20" t="n">
        <v>45247</v>
      </c>
      <c r="W229" s="7"/>
      <c r="X229" s="7"/>
      <c r="Y229" s="7"/>
      <c r="Z229" s="7"/>
      <c r="AA229" s="23" t="n">
        <f aca="false">YEAR(C229)</f>
        <v>2023</v>
      </c>
    </row>
    <row r="230" customFormat="false" ht="15" hidden="false" customHeight="false" outlineLevel="0" collapsed="false">
      <c r="A230" s="7" t="s">
        <v>1189</v>
      </c>
      <c r="B230" s="7" t="s">
        <v>137</v>
      </c>
      <c r="C230" s="20" t="n">
        <v>45217</v>
      </c>
      <c r="D230" s="20" t="n">
        <v>45259</v>
      </c>
      <c r="E230" s="20"/>
      <c r="F230" s="7" t="s">
        <v>759</v>
      </c>
      <c r="G230" s="7" t="s">
        <v>149</v>
      </c>
      <c r="H230" s="7" t="s">
        <v>281</v>
      </c>
      <c r="I230" s="7" t="s">
        <v>282</v>
      </c>
      <c r="J230" s="7" t="s">
        <v>248</v>
      </c>
      <c r="K230" s="7" t="s">
        <v>278</v>
      </c>
      <c r="L230" s="7" t="s">
        <v>1190</v>
      </c>
      <c r="M230" s="7" t="s">
        <v>606</v>
      </c>
      <c r="N230" s="16" t="n">
        <v>12870</v>
      </c>
      <c r="O230" s="7" t="s">
        <v>798</v>
      </c>
      <c r="P230" s="22" t="n">
        <v>0.17</v>
      </c>
      <c r="Q230" s="8" t="n">
        <v>2187.9</v>
      </c>
      <c r="R230" s="8" t="n">
        <v>2187.9</v>
      </c>
      <c r="S230" s="7" t="s">
        <v>33</v>
      </c>
      <c r="T230" s="7" t="s">
        <v>1188</v>
      </c>
      <c r="U230" s="7"/>
      <c r="V230" s="20" t="n">
        <v>45247</v>
      </c>
      <c r="W230" s="7"/>
      <c r="X230" s="7"/>
      <c r="Y230" s="7"/>
      <c r="Z230" s="7"/>
      <c r="AA230" s="23" t="n">
        <f aca="false">YEAR(C230)</f>
        <v>2023</v>
      </c>
    </row>
    <row r="231" customFormat="false" ht="15" hidden="false" customHeight="false" outlineLevel="0" collapsed="false">
      <c r="A231" s="7" t="s">
        <v>1191</v>
      </c>
      <c r="B231" s="7" t="s">
        <v>137</v>
      </c>
      <c r="C231" s="20" t="n">
        <v>45221</v>
      </c>
      <c r="D231" s="20" t="n">
        <v>45265</v>
      </c>
      <c r="E231" s="20"/>
      <c r="F231" s="7" t="s">
        <v>759</v>
      </c>
      <c r="G231" s="7" t="s">
        <v>149</v>
      </c>
      <c r="H231" s="7" t="s">
        <v>279</v>
      </c>
      <c r="I231" s="7" t="s">
        <v>280</v>
      </c>
      <c r="J231" s="7" t="s">
        <v>248</v>
      </c>
      <c r="K231" s="7" t="s">
        <v>278</v>
      </c>
      <c r="L231" s="7" t="s">
        <v>1192</v>
      </c>
      <c r="M231" s="7" t="s">
        <v>603</v>
      </c>
      <c r="N231" s="16" t="n">
        <v>110</v>
      </c>
      <c r="O231" s="7" t="s">
        <v>801</v>
      </c>
      <c r="P231" s="22" t="n">
        <v>39</v>
      </c>
      <c r="Q231" s="8" t="n">
        <v>4290</v>
      </c>
      <c r="R231" s="8" t="n">
        <v>4290</v>
      </c>
      <c r="S231" s="7" t="s">
        <v>33</v>
      </c>
      <c r="T231" s="7" t="s">
        <v>1193</v>
      </c>
      <c r="U231" s="7"/>
      <c r="V231" s="20" t="n">
        <v>45251</v>
      </c>
      <c r="W231" s="7"/>
      <c r="X231" s="7"/>
      <c r="Y231" s="7"/>
      <c r="Z231" s="7"/>
      <c r="AA231" s="23" t="n">
        <f aca="false">YEAR(C231)</f>
        <v>2023</v>
      </c>
    </row>
    <row r="232" customFormat="false" ht="15" hidden="false" customHeight="false" outlineLevel="0" collapsed="false">
      <c r="A232" s="7" t="s">
        <v>1194</v>
      </c>
      <c r="B232" s="7" t="s">
        <v>137</v>
      </c>
      <c r="C232" s="20" t="n">
        <v>45221</v>
      </c>
      <c r="D232" s="20" t="n">
        <v>45265</v>
      </c>
      <c r="E232" s="20"/>
      <c r="F232" s="7" t="s">
        <v>759</v>
      </c>
      <c r="G232" s="7" t="s">
        <v>149</v>
      </c>
      <c r="H232" s="7" t="s">
        <v>281</v>
      </c>
      <c r="I232" s="7" t="s">
        <v>282</v>
      </c>
      <c r="J232" s="7" t="s">
        <v>248</v>
      </c>
      <c r="K232" s="7" t="s">
        <v>278</v>
      </c>
      <c r="L232" s="7" t="s">
        <v>1195</v>
      </c>
      <c r="M232" s="7" t="s">
        <v>603</v>
      </c>
      <c r="N232" s="16" t="n">
        <v>3795</v>
      </c>
      <c r="O232" s="7" t="s">
        <v>798</v>
      </c>
      <c r="P232" s="22" t="n">
        <v>0.17</v>
      </c>
      <c r="Q232" s="8" t="n">
        <v>645.15</v>
      </c>
      <c r="R232" s="8" t="n">
        <v>645.15</v>
      </c>
      <c r="S232" s="7" t="s">
        <v>33</v>
      </c>
      <c r="T232" s="7" t="s">
        <v>1193</v>
      </c>
      <c r="U232" s="7"/>
      <c r="V232" s="20" t="n">
        <v>45251</v>
      </c>
      <c r="W232" s="7"/>
      <c r="X232" s="7"/>
      <c r="Y232" s="7"/>
      <c r="Z232" s="7"/>
      <c r="AA232" s="23" t="n">
        <f aca="false">YEAR(C232)</f>
        <v>2023</v>
      </c>
    </row>
    <row r="233" customFormat="false" ht="15" hidden="false" customHeight="false" outlineLevel="0" collapsed="false">
      <c r="A233" s="7" t="s">
        <v>1196</v>
      </c>
      <c r="B233" s="7" t="s">
        <v>137</v>
      </c>
      <c r="C233" s="20" t="n">
        <v>45222</v>
      </c>
      <c r="D233" s="20" t="n">
        <v>45323</v>
      </c>
      <c r="E233" s="20"/>
      <c r="F233" s="7" t="s">
        <v>759</v>
      </c>
      <c r="G233" s="7" t="s">
        <v>149</v>
      </c>
      <c r="H233" s="7" t="s">
        <v>279</v>
      </c>
      <c r="I233" s="7" t="s">
        <v>280</v>
      </c>
      <c r="J233" s="7" t="s">
        <v>248</v>
      </c>
      <c r="K233" s="7" t="s">
        <v>278</v>
      </c>
      <c r="L233" s="7" t="s">
        <v>1197</v>
      </c>
      <c r="M233" s="7" t="s">
        <v>1010</v>
      </c>
      <c r="N233" s="16" t="n">
        <v>186</v>
      </c>
      <c r="O233" s="7" t="s">
        <v>801</v>
      </c>
      <c r="P233" s="22" t="n">
        <v>39</v>
      </c>
      <c r="Q233" s="8" t="n">
        <v>7254</v>
      </c>
      <c r="R233" s="8" t="n">
        <v>7254</v>
      </c>
      <c r="S233" s="7" t="s">
        <v>33</v>
      </c>
      <c r="T233" s="7" t="s">
        <v>1198</v>
      </c>
      <c r="U233" s="7"/>
      <c r="V233" s="20" t="n">
        <v>45252</v>
      </c>
      <c r="W233" s="7"/>
      <c r="X233" s="7"/>
      <c r="Y233" s="7"/>
      <c r="Z233" s="7"/>
      <c r="AA233" s="23" t="n">
        <f aca="false">YEAR(C233)</f>
        <v>2023</v>
      </c>
    </row>
    <row r="234" customFormat="false" ht="15" hidden="false" customHeight="false" outlineLevel="0" collapsed="false">
      <c r="A234" s="7" t="s">
        <v>1199</v>
      </c>
      <c r="B234" s="7" t="s">
        <v>137</v>
      </c>
      <c r="C234" s="20" t="n">
        <v>45222</v>
      </c>
      <c r="D234" s="20" t="n">
        <v>45323</v>
      </c>
      <c r="E234" s="20"/>
      <c r="F234" s="7" t="s">
        <v>759</v>
      </c>
      <c r="G234" s="7" t="s">
        <v>149</v>
      </c>
      <c r="H234" s="7" t="s">
        <v>281</v>
      </c>
      <c r="I234" s="7" t="s">
        <v>282</v>
      </c>
      <c r="J234" s="7" t="s">
        <v>248</v>
      </c>
      <c r="K234" s="7" t="s">
        <v>278</v>
      </c>
      <c r="L234" s="7" t="s">
        <v>1200</v>
      </c>
      <c r="M234" s="7" t="s">
        <v>1010</v>
      </c>
      <c r="N234" s="16" t="n">
        <v>6417</v>
      </c>
      <c r="O234" s="7" t="s">
        <v>798</v>
      </c>
      <c r="P234" s="22" t="n">
        <v>0.17</v>
      </c>
      <c r="Q234" s="8" t="n">
        <v>1090.89</v>
      </c>
      <c r="R234" s="8" t="n">
        <v>1090.89</v>
      </c>
      <c r="S234" s="7" t="s">
        <v>33</v>
      </c>
      <c r="T234" s="7" t="s">
        <v>1198</v>
      </c>
      <c r="U234" s="7"/>
      <c r="V234" s="20" t="n">
        <v>45252</v>
      </c>
      <c r="W234" s="7"/>
      <c r="X234" s="7"/>
      <c r="Y234" s="7"/>
      <c r="Z234" s="7"/>
      <c r="AA234" s="23" t="n">
        <f aca="false">YEAR(C234)</f>
        <v>2023</v>
      </c>
    </row>
    <row r="235" customFormat="false" ht="15" hidden="false" customHeight="false" outlineLevel="0" collapsed="false">
      <c r="A235" s="7" t="s">
        <v>1201</v>
      </c>
      <c r="B235" s="7" t="s">
        <v>137</v>
      </c>
      <c r="C235" s="20" t="n">
        <v>45224</v>
      </c>
      <c r="D235" s="20" t="n">
        <v>45254</v>
      </c>
      <c r="E235" s="20"/>
      <c r="F235" s="7" t="s">
        <v>759</v>
      </c>
      <c r="G235" s="7" t="s">
        <v>149</v>
      </c>
      <c r="H235" s="7" t="s">
        <v>268</v>
      </c>
      <c r="I235" s="7" t="s">
        <v>269</v>
      </c>
      <c r="J235" s="7" t="s">
        <v>221</v>
      </c>
      <c r="K235" s="7" t="s">
        <v>267</v>
      </c>
      <c r="L235" s="7" t="s">
        <v>1202</v>
      </c>
      <c r="M235" s="7" t="s">
        <v>563</v>
      </c>
      <c r="N235" s="16"/>
      <c r="O235" s="7"/>
      <c r="P235" s="22"/>
      <c r="Q235" s="8" t="n">
        <v>6878.93</v>
      </c>
      <c r="R235" s="8" t="n">
        <v>-6878.93</v>
      </c>
      <c r="S235" s="7" t="s">
        <v>751</v>
      </c>
      <c r="T235" s="7"/>
      <c r="U235" s="7" t="s">
        <v>1203</v>
      </c>
      <c r="V235" s="20" t="n">
        <v>45254</v>
      </c>
      <c r="W235" s="7"/>
      <c r="X235" s="7"/>
      <c r="Y235" s="7"/>
      <c r="Z235" s="7"/>
      <c r="AA235" s="23" t="n">
        <f aca="false">YEAR(C235)</f>
        <v>2023</v>
      </c>
    </row>
    <row r="236" customFormat="false" ht="15" hidden="false" customHeight="false" outlineLevel="0" collapsed="false">
      <c r="A236" s="7" t="s">
        <v>1204</v>
      </c>
      <c r="B236" s="7" t="s">
        <v>137</v>
      </c>
      <c r="C236" s="20" t="n">
        <v>45224</v>
      </c>
      <c r="D236" s="20" t="n">
        <v>45254</v>
      </c>
      <c r="E236" s="20"/>
      <c r="F236" s="7" t="s">
        <v>759</v>
      </c>
      <c r="G236" s="7" t="s">
        <v>149</v>
      </c>
      <c r="H236" s="7" t="s">
        <v>268</v>
      </c>
      <c r="I236" s="7" t="s">
        <v>269</v>
      </c>
      <c r="J236" s="7" t="s">
        <v>221</v>
      </c>
      <c r="K236" s="7" t="s">
        <v>267</v>
      </c>
      <c r="L236" s="7" t="s">
        <v>597</v>
      </c>
      <c r="M236" s="7" t="s">
        <v>563</v>
      </c>
      <c r="N236" s="16"/>
      <c r="O236" s="7"/>
      <c r="P236" s="22"/>
      <c r="Q236" s="8" t="n">
        <v>846.42</v>
      </c>
      <c r="R236" s="8" t="n">
        <v>-846.42</v>
      </c>
      <c r="S236" s="7" t="s">
        <v>751</v>
      </c>
      <c r="T236" s="7"/>
      <c r="U236" s="7" t="s">
        <v>1205</v>
      </c>
      <c r="V236" s="20" t="n">
        <v>45254</v>
      </c>
      <c r="W236" s="7"/>
      <c r="X236" s="7"/>
      <c r="Y236" s="7"/>
      <c r="Z236" s="7"/>
      <c r="AA236" s="23" t="n">
        <f aca="false">YEAR(C236)</f>
        <v>2023</v>
      </c>
    </row>
    <row r="237" customFormat="false" ht="15" hidden="false" customHeight="false" outlineLevel="0" collapsed="false">
      <c r="A237" s="7" t="s">
        <v>1206</v>
      </c>
      <c r="B237" s="7" t="s">
        <v>137</v>
      </c>
      <c r="C237" s="20" t="n">
        <v>45224</v>
      </c>
      <c r="D237" s="20" t="n">
        <v>45265</v>
      </c>
      <c r="E237" s="20"/>
      <c r="F237" s="7" t="s">
        <v>759</v>
      </c>
      <c r="G237" s="7" t="s">
        <v>149</v>
      </c>
      <c r="H237" s="7" t="s">
        <v>279</v>
      </c>
      <c r="I237" s="7" t="s">
        <v>280</v>
      </c>
      <c r="J237" s="7" t="s">
        <v>248</v>
      </c>
      <c r="K237" s="7" t="s">
        <v>278</v>
      </c>
      <c r="L237" s="7" t="s">
        <v>1207</v>
      </c>
      <c r="M237" s="7" t="s">
        <v>614</v>
      </c>
      <c r="N237" s="16" t="n">
        <v>89</v>
      </c>
      <c r="O237" s="7" t="s">
        <v>801</v>
      </c>
      <c r="P237" s="22" t="n">
        <v>39</v>
      </c>
      <c r="Q237" s="8" t="n">
        <v>3471</v>
      </c>
      <c r="R237" s="8" t="n">
        <v>3471</v>
      </c>
      <c r="S237" s="7" t="s">
        <v>33</v>
      </c>
      <c r="T237" s="7" t="s">
        <v>1208</v>
      </c>
      <c r="U237" s="7"/>
      <c r="V237" s="20" t="n">
        <v>45254</v>
      </c>
      <c r="W237" s="7"/>
      <c r="X237" s="7"/>
      <c r="Y237" s="7"/>
      <c r="Z237" s="7"/>
      <c r="AA237" s="23" t="n">
        <f aca="false">YEAR(C237)</f>
        <v>2023</v>
      </c>
    </row>
    <row r="238" customFormat="false" ht="15" hidden="false" customHeight="false" outlineLevel="0" collapsed="false">
      <c r="A238" s="7" t="s">
        <v>1209</v>
      </c>
      <c r="B238" s="7" t="s">
        <v>137</v>
      </c>
      <c r="C238" s="20" t="n">
        <v>45224</v>
      </c>
      <c r="D238" s="20" t="n">
        <v>45265</v>
      </c>
      <c r="E238" s="20"/>
      <c r="F238" s="7" t="s">
        <v>759</v>
      </c>
      <c r="G238" s="7" t="s">
        <v>149</v>
      </c>
      <c r="H238" s="7" t="s">
        <v>279</v>
      </c>
      <c r="I238" s="7" t="s">
        <v>280</v>
      </c>
      <c r="J238" s="7" t="s">
        <v>248</v>
      </c>
      <c r="K238" s="7" t="s">
        <v>278</v>
      </c>
      <c r="L238" s="7" t="s">
        <v>1210</v>
      </c>
      <c r="M238" s="7" t="s">
        <v>614</v>
      </c>
      <c r="N238" s="16" t="n">
        <v>89</v>
      </c>
      <c r="O238" s="7" t="s">
        <v>801</v>
      </c>
      <c r="P238" s="22" t="n">
        <v>43</v>
      </c>
      <c r="Q238" s="8" t="n">
        <v>3827</v>
      </c>
      <c r="R238" s="8" t="n">
        <v>3827</v>
      </c>
      <c r="S238" s="7" t="s">
        <v>33</v>
      </c>
      <c r="T238" s="7" t="s">
        <v>1211</v>
      </c>
      <c r="U238" s="7"/>
      <c r="V238" s="20" t="n">
        <v>45254</v>
      </c>
      <c r="W238" s="7"/>
      <c r="X238" s="7"/>
      <c r="Y238" s="7"/>
      <c r="Z238" s="7"/>
      <c r="AA238" s="23" t="n">
        <f aca="false">YEAR(C238)</f>
        <v>2023</v>
      </c>
    </row>
    <row r="239" customFormat="false" ht="15" hidden="false" customHeight="false" outlineLevel="0" collapsed="false">
      <c r="A239" s="7" t="s">
        <v>1212</v>
      </c>
      <c r="B239" s="7" t="s">
        <v>137</v>
      </c>
      <c r="C239" s="20" t="n">
        <v>45224</v>
      </c>
      <c r="D239" s="20" t="n">
        <v>45265</v>
      </c>
      <c r="E239" s="20"/>
      <c r="F239" s="7" t="s">
        <v>759</v>
      </c>
      <c r="G239" s="7" t="s">
        <v>149</v>
      </c>
      <c r="H239" s="7" t="s">
        <v>281</v>
      </c>
      <c r="I239" s="7" t="s">
        <v>282</v>
      </c>
      <c r="J239" s="7" t="s">
        <v>248</v>
      </c>
      <c r="K239" s="7" t="s">
        <v>278</v>
      </c>
      <c r="L239" s="7" t="s">
        <v>1213</v>
      </c>
      <c r="M239" s="7" t="s">
        <v>614</v>
      </c>
      <c r="N239" s="16" t="n">
        <v>3070</v>
      </c>
      <c r="O239" s="7" t="s">
        <v>798</v>
      </c>
      <c r="P239" s="22" t="n">
        <v>0.17</v>
      </c>
      <c r="Q239" s="8" t="n">
        <v>521.99</v>
      </c>
      <c r="R239" s="8" t="n">
        <v>521.99</v>
      </c>
      <c r="S239" s="7" t="s">
        <v>33</v>
      </c>
      <c r="T239" s="7" t="s">
        <v>1208</v>
      </c>
      <c r="U239" s="7"/>
      <c r="V239" s="20" t="n">
        <v>45254</v>
      </c>
      <c r="W239" s="7"/>
      <c r="X239" s="7"/>
      <c r="Y239" s="7"/>
      <c r="Z239" s="7"/>
      <c r="AA239" s="23" t="n">
        <f aca="false">YEAR(C239)</f>
        <v>2023</v>
      </c>
    </row>
    <row r="240" customFormat="false" ht="15" hidden="false" customHeight="false" outlineLevel="0" collapsed="false">
      <c r="A240" s="7" t="s">
        <v>1214</v>
      </c>
      <c r="B240" s="7" t="s">
        <v>137</v>
      </c>
      <c r="C240" s="20" t="n">
        <v>45224</v>
      </c>
      <c r="D240" s="20" t="n">
        <v>45265</v>
      </c>
      <c r="E240" s="20"/>
      <c r="F240" s="7" t="s">
        <v>759</v>
      </c>
      <c r="G240" s="7" t="s">
        <v>149</v>
      </c>
      <c r="H240" s="7" t="s">
        <v>281</v>
      </c>
      <c r="I240" s="7" t="s">
        <v>282</v>
      </c>
      <c r="J240" s="7" t="s">
        <v>248</v>
      </c>
      <c r="K240" s="7" t="s">
        <v>278</v>
      </c>
      <c r="L240" s="7" t="s">
        <v>1215</v>
      </c>
      <c r="M240" s="7" t="s">
        <v>614</v>
      </c>
      <c r="N240" s="16" t="n">
        <v>11014</v>
      </c>
      <c r="O240" s="7" t="s">
        <v>798</v>
      </c>
      <c r="P240" s="22" t="n">
        <v>0.17</v>
      </c>
      <c r="Q240" s="8" t="n">
        <v>1872.34</v>
      </c>
      <c r="R240" s="8" t="n">
        <v>1872.34</v>
      </c>
      <c r="S240" s="7" t="s">
        <v>33</v>
      </c>
      <c r="T240" s="7" t="s">
        <v>1211</v>
      </c>
      <c r="U240" s="7"/>
      <c r="V240" s="20" t="n">
        <v>45254</v>
      </c>
      <c r="W240" s="7"/>
      <c r="X240" s="7"/>
      <c r="Y240" s="7"/>
      <c r="Z240" s="7"/>
      <c r="AA240" s="23" t="n">
        <f aca="false">YEAR(C240)</f>
        <v>2023</v>
      </c>
    </row>
    <row r="241" customFormat="false" ht="15" hidden="false" customHeight="false" outlineLevel="0" collapsed="false">
      <c r="A241" s="7" t="s">
        <v>1216</v>
      </c>
      <c r="B241" s="7" t="s">
        <v>137</v>
      </c>
      <c r="C241" s="20" t="n">
        <v>45225</v>
      </c>
      <c r="D241" s="20" t="n">
        <v>45252</v>
      </c>
      <c r="E241" s="20"/>
      <c r="F241" s="7" t="s">
        <v>759</v>
      </c>
      <c r="G241" s="7" t="s">
        <v>153</v>
      </c>
      <c r="H241" s="7" t="s">
        <v>242</v>
      </c>
      <c r="I241" s="7" t="s">
        <v>243</v>
      </c>
      <c r="J241" s="7" t="s">
        <v>229</v>
      </c>
      <c r="K241" s="7" t="s">
        <v>241</v>
      </c>
      <c r="L241" s="7" t="s">
        <v>571</v>
      </c>
      <c r="M241" s="7"/>
      <c r="N241" s="16"/>
      <c r="O241" s="7"/>
      <c r="P241" s="22"/>
      <c r="Q241" s="8" t="n">
        <v>392.46</v>
      </c>
      <c r="R241" s="8" t="n">
        <v>-392.46</v>
      </c>
      <c r="S241" s="7" t="s">
        <v>765</v>
      </c>
      <c r="T241" s="7"/>
      <c r="U241" s="7"/>
      <c r="V241" s="20"/>
      <c r="W241" s="7"/>
      <c r="X241" s="7"/>
      <c r="Y241" s="7"/>
      <c r="Z241" s="7"/>
      <c r="AA241" s="23" t="n">
        <f aca="false">YEAR(C241)</f>
        <v>2023</v>
      </c>
    </row>
    <row r="242" customFormat="false" ht="15" hidden="false" customHeight="false" outlineLevel="0" collapsed="false">
      <c r="A242" s="7" t="s">
        <v>1217</v>
      </c>
      <c r="B242" s="7" t="s">
        <v>137</v>
      </c>
      <c r="C242" s="20" t="n">
        <v>45226</v>
      </c>
      <c r="D242" s="20" t="n">
        <v>45226</v>
      </c>
      <c r="E242" s="20"/>
      <c r="F242" s="7" t="s">
        <v>759</v>
      </c>
      <c r="G242" s="7" t="s">
        <v>149</v>
      </c>
      <c r="H242" s="7" t="s">
        <v>271</v>
      </c>
      <c r="I242" s="7" t="s">
        <v>272</v>
      </c>
      <c r="J242" s="7" t="s">
        <v>221</v>
      </c>
      <c r="K242" s="7" t="s">
        <v>270</v>
      </c>
      <c r="L242" s="7" t="s">
        <v>1109</v>
      </c>
      <c r="M242" s="7" t="s">
        <v>541</v>
      </c>
      <c r="N242" s="16"/>
      <c r="O242" s="7"/>
      <c r="P242" s="22"/>
      <c r="Q242" s="8" t="n">
        <v>1256.29</v>
      </c>
      <c r="R242" s="8" t="n">
        <v>-1256.29</v>
      </c>
      <c r="S242" s="7" t="s">
        <v>744</v>
      </c>
      <c r="T242" s="7"/>
      <c r="U242" s="7"/>
      <c r="V242" s="20"/>
      <c r="W242" s="7"/>
      <c r="X242" s="7"/>
      <c r="Y242" s="7"/>
      <c r="Z242" s="7"/>
      <c r="AA242" s="23" t="n">
        <f aca="false">YEAR(C242)</f>
        <v>2023</v>
      </c>
    </row>
    <row r="243" customFormat="false" ht="15" hidden="false" customHeight="false" outlineLevel="0" collapsed="false">
      <c r="A243" s="7" t="s">
        <v>1218</v>
      </c>
      <c r="B243" s="7" t="s">
        <v>137</v>
      </c>
      <c r="C243" s="20" t="n">
        <v>45226</v>
      </c>
      <c r="D243" s="20" t="n">
        <v>45226</v>
      </c>
      <c r="E243" s="20"/>
      <c r="F243" s="7" t="s">
        <v>759</v>
      </c>
      <c r="G243" s="7" t="s">
        <v>153</v>
      </c>
      <c r="H243" s="7" t="s">
        <v>271</v>
      </c>
      <c r="I243" s="7" t="s">
        <v>272</v>
      </c>
      <c r="J243" s="7" t="s">
        <v>221</v>
      </c>
      <c r="K243" s="7" t="s">
        <v>270</v>
      </c>
      <c r="L243" s="7" t="s">
        <v>544</v>
      </c>
      <c r="M243" s="7" t="s">
        <v>541</v>
      </c>
      <c r="N243" s="16"/>
      <c r="O243" s="7"/>
      <c r="P243" s="22"/>
      <c r="Q243" s="8" t="n">
        <v>837.53</v>
      </c>
      <c r="R243" s="8" t="n">
        <v>-837.53</v>
      </c>
      <c r="S243" s="7" t="s">
        <v>744</v>
      </c>
      <c r="T243" s="7"/>
      <c r="U243" s="7"/>
      <c r="V243" s="20"/>
      <c r="W243" s="7"/>
      <c r="X243" s="7"/>
      <c r="Y243" s="7"/>
      <c r="Z243" s="7"/>
      <c r="AA243" s="23" t="n">
        <f aca="false">YEAR(C243)</f>
        <v>2023</v>
      </c>
    </row>
    <row r="244" customFormat="false" ht="15" hidden="false" customHeight="false" outlineLevel="0" collapsed="false">
      <c r="A244" s="7" t="s">
        <v>1219</v>
      </c>
      <c r="B244" s="7" t="s">
        <v>137</v>
      </c>
      <c r="C244" s="20" t="n">
        <v>45226</v>
      </c>
      <c r="D244" s="20" t="n">
        <v>45245</v>
      </c>
      <c r="E244" s="20"/>
      <c r="F244" s="7" t="s">
        <v>759</v>
      </c>
      <c r="G244" s="7" t="s">
        <v>149</v>
      </c>
      <c r="H244" s="7" t="s">
        <v>273</v>
      </c>
      <c r="I244" s="7" t="s">
        <v>274</v>
      </c>
      <c r="J244" s="7" t="s">
        <v>221</v>
      </c>
      <c r="K244" s="7" t="s">
        <v>270</v>
      </c>
      <c r="L244" s="7" t="s">
        <v>554</v>
      </c>
      <c r="M244" s="7" t="s">
        <v>541</v>
      </c>
      <c r="N244" s="16"/>
      <c r="O244" s="7"/>
      <c r="P244" s="22"/>
      <c r="Q244" s="8" t="n">
        <v>184.26</v>
      </c>
      <c r="R244" s="8" t="n">
        <v>-184.26</v>
      </c>
      <c r="S244" s="7" t="s">
        <v>789</v>
      </c>
      <c r="T244" s="7"/>
      <c r="U244" s="7"/>
      <c r="V244" s="20"/>
      <c r="W244" s="7"/>
      <c r="X244" s="7"/>
      <c r="Y244" s="7"/>
      <c r="Z244" s="7"/>
      <c r="AA244" s="23" t="n">
        <f aca="false">YEAR(C244)</f>
        <v>2023</v>
      </c>
    </row>
    <row r="245" customFormat="false" ht="15" hidden="false" customHeight="false" outlineLevel="0" collapsed="false">
      <c r="A245" s="7" t="s">
        <v>1220</v>
      </c>
      <c r="B245" s="7" t="s">
        <v>137</v>
      </c>
      <c r="C245" s="20" t="n">
        <v>45226</v>
      </c>
      <c r="D245" s="20" t="n">
        <v>45287</v>
      </c>
      <c r="E245" s="20"/>
      <c r="F245" s="7" t="s">
        <v>759</v>
      </c>
      <c r="G245" s="7" t="s">
        <v>149</v>
      </c>
      <c r="H245" s="7" t="s">
        <v>279</v>
      </c>
      <c r="I245" s="7" t="s">
        <v>280</v>
      </c>
      <c r="J245" s="7" t="s">
        <v>248</v>
      </c>
      <c r="K245" s="7" t="s">
        <v>278</v>
      </c>
      <c r="L245" s="7" t="s">
        <v>1221</v>
      </c>
      <c r="M245" s="7" t="s">
        <v>583</v>
      </c>
      <c r="N245" s="16" t="n">
        <v>326</v>
      </c>
      <c r="O245" s="7" t="s">
        <v>801</v>
      </c>
      <c r="P245" s="22" t="n">
        <v>39</v>
      </c>
      <c r="Q245" s="8" t="n">
        <v>12714</v>
      </c>
      <c r="R245" s="8" t="n">
        <v>12714</v>
      </c>
      <c r="S245" s="7" t="s">
        <v>33</v>
      </c>
      <c r="T245" s="7" t="s">
        <v>1222</v>
      </c>
      <c r="U245" s="7"/>
      <c r="V245" s="20" t="n">
        <v>45256</v>
      </c>
      <c r="W245" s="7"/>
      <c r="X245" s="7"/>
      <c r="Y245" s="7"/>
      <c r="Z245" s="7"/>
      <c r="AA245" s="23" t="n">
        <f aca="false">YEAR(C245)</f>
        <v>2023</v>
      </c>
    </row>
    <row r="246" customFormat="false" ht="15" hidden="false" customHeight="false" outlineLevel="0" collapsed="false">
      <c r="A246" s="7" t="s">
        <v>1223</v>
      </c>
      <c r="B246" s="7" t="s">
        <v>137</v>
      </c>
      <c r="C246" s="20" t="n">
        <v>45226</v>
      </c>
      <c r="D246" s="20" t="n">
        <v>45287</v>
      </c>
      <c r="E246" s="20"/>
      <c r="F246" s="7" t="s">
        <v>759</v>
      </c>
      <c r="G246" s="7" t="s">
        <v>149</v>
      </c>
      <c r="H246" s="7" t="s">
        <v>281</v>
      </c>
      <c r="I246" s="7" t="s">
        <v>282</v>
      </c>
      <c r="J246" s="7" t="s">
        <v>248</v>
      </c>
      <c r="K246" s="7" t="s">
        <v>278</v>
      </c>
      <c r="L246" s="7" t="s">
        <v>1224</v>
      </c>
      <c r="M246" s="7" t="s">
        <v>583</v>
      </c>
      <c r="N246" s="16" t="n">
        <v>11247</v>
      </c>
      <c r="O246" s="7" t="s">
        <v>798</v>
      </c>
      <c r="P246" s="22" t="n">
        <v>0.17</v>
      </c>
      <c r="Q246" s="8" t="n">
        <v>1911.99</v>
      </c>
      <c r="R246" s="8" t="n">
        <v>1911.99</v>
      </c>
      <c r="S246" s="7" t="s">
        <v>33</v>
      </c>
      <c r="T246" s="7" t="s">
        <v>1222</v>
      </c>
      <c r="U246" s="7"/>
      <c r="V246" s="20" t="n">
        <v>45256</v>
      </c>
      <c r="W246" s="7"/>
      <c r="X246" s="7"/>
      <c r="Y246" s="7"/>
      <c r="Z246" s="7"/>
      <c r="AA246" s="23" t="n">
        <f aca="false">YEAR(C246)</f>
        <v>2023</v>
      </c>
    </row>
    <row r="247" customFormat="false" ht="15" hidden="false" customHeight="false" outlineLevel="0" collapsed="false">
      <c r="A247" s="7" t="s">
        <v>1225</v>
      </c>
      <c r="B247" s="7" t="s">
        <v>137</v>
      </c>
      <c r="C247" s="20" t="n">
        <v>45228</v>
      </c>
      <c r="D247" s="20" t="n">
        <v>45258</v>
      </c>
      <c r="E247" s="20"/>
      <c r="F247" s="7" t="s">
        <v>759</v>
      </c>
      <c r="G247" s="7" t="s">
        <v>141</v>
      </c>
      <c r="H247" s="7" t="s">
        <v>261</v>
      </c>
      <c r="I247" s="7" t="s">
        <v>262</v>
      </c>
      <c r="J247" s="7" t="s">
        <v>221</v>
      </c>
      <c r="K247" s="7" t="s">
        <v>260</v>
      </c>
      <c r="L247" s="7" t="s">
        <v>1226</v>
      </c>
      <c r="M247" s="7" t="s">
        <v>563</v>
      </c>
      <c r="N247" s="16"/>
      <c r="O247" s="7"/>
      <c r="P247" s="22"/>
      <c r="Q247" s="8" t="n">
        <v>1164.38</v>
      </c>
      <c r="R247" s="8" t="n">
        <v>-1164.38</v>
      </c>
      <c r="S247" s="7" t="s">
        <v>751</v>
      </c>
      <c r="T247" s="7"/>
      <c r="U247" s="7" t="s">
        <v>1227</v>
      </c>
      <c r="V247" s="20" t="n">
        <v>45258</v>
      </c>
      <c r="W247" s="7"/>
      <c r="X247" s="7"/>
      <c r="Y247" s="7" t="s">
        <v>704</v>
      </c>
      <c r="Z247" s="7"/>
      <c r="AA247" s="23" t="n">
        <f aca="false">YEAR(C247)</f>
        <v>2023</v>
      </c>
    </row>
    <row r="248" customFormat="false" ht="15" hidden="false" customHeight="false" outlineLevel="0" collapsed="false">
      <c r="A248" s="7" t="s">
        <v>1228</v>
      </c>
      <c r="B248" s="7" t="s">
        <v>137</v>
      </c>
      <c r="C248" s="20" t="n">
        <v>45230</v>
      </c>
      <c r="D248" s="20" t="n">
        <v>45230</v>
      </c>
      <c r="E248" s="20"/>
      <c r="F248" s="7" t="s">
        <v>759</v>
      </c>
      <c r="G248" s="7" t="s">
        <v>153</v>
      </c>
      <c r="H248" s="7" t="s">
        <v>246</v>
      </c>
      <c r="I248" s="7" t="s">
        <v>247</v>
      </c>
      <c r="J248" s="7" t="s">
        <v>236</v>
      </c>
      <c r="K248" s="7" t="s">
        <v>189</v>
      </c>
      <c r="L248" s="7" t="s">
        <v>1048</v>
      </c>
      <c r="M248" s="7" t="s">
        <v>556</v>
      </c>
      <c r="N248" s="16"/>
      <c r="O248" s="7"/>
      <c r="P248" s="22"/>
      <c r="Q248" s="8" t="n">
        <v>1371.64</v>
      </c>
      <c r="R248" s="8" t="n">
        <v>-1371.64</v>
      </c>
      <c r="S248" s="7" t="s">
        <v>775</v>
      </c>
      <c r="T248" s="7"/>
      <c r="U248" s="7"/>
      <c r="V248" s="20"/>
      <c r="W248" s="7"/>
      <c r="X248" s="7" t="s">
        <v>784</v>
      </c>
      <c r="Y248" s="7"/>
      <c r="Z248" s="7"/>
      <c r="AA248" s="23" t="n">
        <f aca="false">YEAR(C248)</f>
        <v>2023</v>
      </c>
    </row>
    <row r="249" customFormat="false" ht="15" hidden="false" customHeight="false" outlineLevel="0" collapsed="false">
      <c r="A249" s="7" t="s">
        <v>1229</v>
      </c>
      <c r="B249" s="7" t="s">
        <v>137</v>
      </c>
      <c r="C249" s="20" t="n">
        <v>45230</v>
      </c>
      <c r="D249" s="20" t="n">
        <v>45230</v>
      </c>
      <c r="E249" s="20"/>
      <c r="F249" s="7" t="s">
        <v>759</v>
      </c>
      <c r="G249" s="7" t="s">
        <v>153</v>
      </c>
      <c r="H249" s="7" t="s">
        <v>574</v>
      </c>
      <c r="I249" s="7" t="s">
        <v>364</v>
      </c>
      <c r="J249" s="7" t="s">
        <v>761</v>
      </c>
      <c r="K249" s="7" t="s">
        <v>772</v>
      </c>
      <c r="L249" s="7" t="s">
        <v>575</v>
      </c>
      <c r="M249" s="7" t="s">
        <v>556</v>
      </c>
      <c r="N249" s="16"/>
      <c r="O249" s="7"/>
      <c r="P249" s="22"/>
      <c r="Q249" s="8" t="n">
        <v>57000</v>
      </c>
      <c r="R249" s="8" t="n">
        <v>-57000</v>
      </c>
      <c r="S249" s="7" t="s">
        <v>783</v>
      </c>
      <c r="T249" s="7"/>
      <c r="U249" s="7"/>
      <c r="V249" s="20"/>
      <c r="W249" s="7"/>
      <c r="X249" s="7" t="s">
        <v>784</v>
      </c>
      <c r="Y249" s="7"/>
      <c r="Z249" s="7"/>
      <c r="AA249" s="23" t="n">
        <f aca="false">YEAR(C249)</f>
        <v>2023</v>
      </c>
    </row>
    <row r="250" customFormat="false" ht="15" hidden="false" customHeight="false" outlineLevel="0" collapsed="false">
      <c r="A250" s="7" t="s">
        <v>1230</v>
      </c>
      <c r="B250" s="7" t="s">
        <v>137</v>
      </c>
      <c r="C250" s="20" t="n">
        <v>45231</v>
      </c>
      <c r="D250" s="20" t="n">
        <v>45231</v>
      </c>
      <c r="E250" s="20"/>
      <c r="F250" s="7" t="s">
        <v>759</v>
      </c>
      <c r="G250" s="7" t="s">
        <v>153</v>
      </c>
      <c r="H250" s="7" t="s">
        <v>545</v>
      </c>
      <c r="I250" s="7" t="s">
        <v>760</v>
      </c>
      <c r="J250" s="7" t="s">
        <v>761</v>
      </c>
      <c r="K250" s="7" t="s">
        <v>762</v>
      </c>
      <c r="L250" s="7" t="s">
        <v>546</v>
      </c>
      <c r="M250" s="7"/>
      <c r="N250" s="16"/>
      <c r="O250" s="7"/>
      <c r="P250" s="22"/>
      <c r="Q250" s="8" t="n">
        <v>4000</v>
      </c>
      <c r="R250" s="8" t="n">
        <v>-4000</v>
      </c>
      <c r="S250" s="7" t="s">
        <v>763</v>
      </c>
      <c r="T250" s="7"/>
      <c r="U250" s="7"/>
      <c r="V250" s="20"/>
      <c r="W250" s="7"/>
      <c r="X250" s="7"/>
      <c r="Y250" s="7"/>
      <c r="Z250" s="7"/>
      <c r="AA250" s="23" t="n">
        <f aca="false">YEAR(C250)</f>
        <v>2023</v>
      </c>
    </row>
    <row r="251" customFormat="false" ht="15" hidden="false" customHeight="false" outlineLevel="0" collapsed="false">
      <c r="A251" s="7" t="s">
        <v>1231</v>
      </c>
      <c r="B251" s="7" t="s">
        <v>137</v>
      </c>
      <c r="C251" s="20" t="n">
        <v>45236</v>
      </c>
      <c r="D251" s="20" t="n">
        <v>45288</v>
      </c>
      <c r="E251" s="20"/>
      <c r="F251" s="7" t="s">
        <v>759</v>
      </c>
      <c r="G251" s="7" t="s">
        <v>149</v>
      </c>
      <c r="H251" s="7" t="s">
        <v>279</v>
      </c>
      <c r="I251" s="7" t="s">
        <v>280</v>
      </c>
      <c r="J251" s="7" t="s">
        <v>248</v>
      </c>
      <c r="K251" s="7" t="s">
        <v>278</v>
      </c>
      <c r="L251" s="7" t="s">
        <v>1232</v>
      </c>
      <c r="M251" s="7" t="s">
        <v>583</v>
      </c>
      <c r="N251" s="16" t="n">
        <v>290</v>
      </c>
      <c r="O251" s="7" t="s">
        <v>801</v>
      </c>
      <c r="P251" s="22" t="n">
        <v>43</v>
      </c>
      <c r="Q251" s="8" t="n">
        <v>12470</v>
      </c>
      <c r="R251" s="8" t="n">
        <v>12470</v>
      </c>
      <c r="S251" s="7" t="s">
        <v>33</v>
      </c>
      <c r="T251" s="7" t="s">
        <v>1233</v>
      </c>
      <c r="U251" s="7"/>
      <c r="V251" s="20" t="n">
        <v>45266</v>
      </c>
      <c r="W251" s="7"/>
      <c r="X251" s="7"/>
      <c r="Y251" s="7"/>
      <c r="Z251" s="7"/>
      <c r="AA251" s="23" t="n">
        <f aca="false">YEAR(C251)</f>
        <v>2023</v>
      </c>
    </row>
    <row r="252" customFormat="false" ht="15" hidden="false" customHeight="false" outlineLevel="0" collapsed="false">
      <c r="A252" s="7" t="s">
        <v>1234</v>
      </c>
      <c r="B252" s="7" t="s">
        <v>137</v>
      </c>
      <c r="C252" s="20" t="n">
        <v>45236</v>
      </c>
      <c r="D252" s="20" t="n">
        <v>45288</v>
      </c>
      <c r="E252" s="20"/>
      <c r="F252" s="7" t="s">
        <v>759</v>
      </c>
      <c r="G252" s="7" t="s">
        <v>149</v>
      </c>
      <c r="H252" s="7" t="s">
        <v>281</v>
      </c>
      <c r="I252" s="7" t="s">
        <v>282</v>
      </c>
      <c r="J252" s="7" t="s">
        <v>248</v>
      </c>
      <c r="K252" s="7" t="s">
        <v>278</v>
      </c>
      <c r="L252" s="7" t="s">
        <v>1235</v>
      </c>
      <c r="M252" s="7" t="s">
        <v>583</v>
      </c>
      <c r="N252" s="16" t="n">
        <v>35888</v>
      </c>
      <c r="O252" s="7" t="s">
        <v>798</v>
      </c>
      <c r="P252" s="22" t="n">
        <v>0.17</v>
      </c>
      <c r="Q252" s="8" t="n">
        <v>6100.88</v>
      </c>
      <c r="R252" s="8" t="n">
        <v>6100.88</v>
      </c>
      <c r="S252" s="7" t="s">
        <v>33</v>
      </c>
      <c r="T252" s="7" t="s">
        <v>1233</v>
      </c>
      <c r="U252" s="7"/>
      <c r="V252" s="20" t="n">
        <v>45266</v>
      </c>
      <c r="W252" s="7"/>
      <c r="X252" s="7"/>
      <c r="Y252" s="7"/>
      <c r="Z252" s="7"/>
      <c r="AA252" s="23" t="n">
        <f aca="false">YEAR(C252)</f>
        <v>2023</v>
      </c>
    </row>
    <row r="253" customFormat="false" ht="15" hidden="false" customHeight="false" outlineLevel="0" collapsed="false">
      <c r="A253" s="7" t="s">
        <v>1236</v>
      </c>
      <c r="B253" s="7" t="s">
        <v>137</v>
      </c>
      <c r="C253" s="20" t="n">
        <v>45238</v>
      </c>
      <c r="D253" s="20" t="n">
        <v>45282</v>
      </c>
      <c r="E253" s="20"/>
      <c r="F253" s="7" t="s">
        <v>759</v>
      </c>
      <c r="G253" s="7" t="s">
        <v>153</v>
      </c>
      <c r="H253" s="7" t="s">
        <v>244</v>
      </c>
      <c r="I253" s="7" t="s">
        <v>245</v>
      </c>
      <c r="J253" s="7" t="s">
        <v>229</v>
      </c>
      <c r="K253" s="7" t="s">
        <v>233</v>
      </c>
      <c r="L253" s="7" t="s">
        <v>570</v>
      </c>
      <c r="M253" s="7"/>
      <c r="N253" s="16"/>
      <c r="O253" s="7"/>
      <c r="P253" s="22"/>
      <c r="Q253" s="8" t="n">
        <v>165</v>
      </c>
      <c r="R253" s="8" t="n">
        <v>-165</v>
      </c>
      <c r="S253" s="7" t="s">
        <v>765</v>
      </c>
      <c r="T253" s="7"/>
      <c r="U253" s="7"/>
      <c r="V253" s="20"/>
      <c r="W253" s="7"/>
      <c r="X253" s="7"/>
      <c r="Y253" s="7"/>
      <c r="Z253" s="7"/>
      <c r="AA253" s="23" t="n">
        <f aca="false">YEAR(C253)</f>
        <v>2023</v>
      </c>
    </row>
    <row r="254" customFormat="false" ht="15" hidden="false" customHeight="false" outlineLevel="0" collapsed="false">
      <c r="A254" s="7" t="s">
        <v>1237</v>
      </c>
      <c r="B254" s="7" t="s">
        <v>137</v>
      </c>
      <c r="C254" s="20" t="n">
        <v>45239</v>
      </c>
      <c r="D254" s="20" t="n">
        <v>45271</v>
      </c>
      <c r="E254" s="20"/>
      <c r="F254" s="7" t="s">
        <v>759</v>
      </c>
      <c r="G254" s="7" t="s">
        <v>149</v>
      </c>
      <c r="H254" s="7" t="s">
        <v>268</v>
      </c>
      <c r="I254" s="7" t="s">
        <v>269</v>
      </c>
      <c r="J254" s="7" t="s">
        <v>221</v>
      </c>
      <c r="K254" s="7" t="s">
        <v>267</v>
      </c>
      <c r="L254" s="7" t="s">
        <v>1238</v>
      </c>
      <c r="M254" s="7" t="s">
        <v>563</v>
      </c>
      <c r="N254" s="16"/>
      <c r="O254" s="7"/>
      <c r="P254" s="22"/>
      <c r="Q254" s="8" t="n">
        <v>6079.05</v>
      </c>
      <c r="R254" s="8" t="n">
        <v>-6079.05</v>
      </c>
      <c r="S254" s="7" t="s">
        <v>751</v>
      </c>
      <c r="T254" s="7"/>
      <c r="U254" s="7" t="s">
        <v>1239</v>
      </c>
      <c r="V254" s="20" t="n">
        <v>45269</v>
      </c>
      <c r="W254" s="7"/>
      <c r="X254" s="7"/>
      <c r="Y254" s="7"/>
      <c r="Z254" s="7"/>
      <c r="AA254" s="23" t="n">
        <f aca="false">YEAR(C254)</f>
        <v>2023</v>
      </c>
    </row>
    <row r="255" customFormat="false" ht="15" hidden="false" customHeight="false" outlineLevel="0" collapsed="false">
      <c r="A255" s="7" t="s">
        <v>1240</v>
      </c>
      <c r="B255" s="7" t="s">
        <v>137</v>
      </c>
      <c r="C255" s="20" t="n">
        <v>45239</v>
      </c>
      <c r="D255" s="20" t="n">
        <v>45271</v>
      </c>
      <c r="E255" s="20"/>
      <c r="F255" s="7" t="s">
        <v>759</v>
      </c>
      <c r="G255" s="7" t="s">
        <v>149</v>
      </c>
      <c r="H255" s="7" t="s">
        <v>268</v>
      </c>
      <c r="I255" s="7" t="s">
        <v>269</v>
      </c>
      <c r="J255" s="7" t="s">
        <v>221</v>
      </c>
      <c r="K255" s="7" t="s">
        <v>267</v>
      </c>
      <c r="L255" s="7" t="s">
        <v>618</v>
      </c>
      <c r="M255" s="7" t="s">
        <v>563</v>
      </c>
      <c r="N255" s="16"/>
      <c r="O255" s="7"/>
      <c r="P255" s="22"/>
      <c r="Q255" s="8" t="n">
        <v>2683.04</v>
      </c>
      <c r="R255" s="8" t="n">
        <v>-2683.04</v>
      </c>
      <c r="S255" s="7" t="s">
        <v>751</v>
      </c>
      <c r="T255" s="7"/>
      <c r="U255" s="7" t="s">
        <v>1241</v>
      </c>
      <c r="V255" s="20" t="n">
        <v>45269</v>
      </c>
      <c r="W255" s="7"/>
      <c r="X255" s="7"/>
      <c r="Y255" s="7"/>
      <c r="Z255" s="7"/>
      <c r="AA255" s="23" t="n">
        <f aca="false">YEAR(C255)</f>
        <v>2023</v>
      </c>
    </row>
    <row r="256" customFormat="false" ht="15" hidden="false" customHeight="false" outlineLevel="0" collapsed="false">
      <c r="A256" s="7" t="s">
        <v>1242</v>
      </c>
      <c r="B256" s="7" t="s">
        <v>137</v>
      </c>
      <c r="C256" s="20" t="n">
        <v>45240</v>
      </c>
      <c r="D256" s="20" t="n">
        <v>45240</v>
      </c>
      <c r="E256" s="20"/>
      <c r="F256" s="7" t="s">
        <v>759</v>
      </c>
      <c r="G256" s="7" t="s">
        <v>149</v>
      </c>
      <c r="H256" s="7" t="s">
        <v>271</v>
      </c>
      <c r="I256" s="7" t="s">
        <v>272</v>
      </c>
      <c r="J256" s="7" t="s">
        <v>221</v>
      </c>
      <c r="K256" s="7" t="s">
        <v>270</v>
      </c>
      <c r="L256" s="7" t="s">
        <v>542</v>
      </c>
      <c r="M256" s="7" t="s">
        <v>541</v>
      </c>
      <c r="N256" s="16"/>
      <c r="O256" s="7"/>
      <c r="P256" s="22"/>
      <c r="Q256" s="8" t="n">
        <v>1221.81</v>
      </c>
      <c r="R256" s="8" t="n">
        <v>-1221.81</v>
      </c>
      <c r="S256" s="7" t="s">
        <v>744</v>
      </c>
      <c r="T256" s="7"/>
      <c r="U256" s="7"/>
      <c r="V256" s="20"/>
      <c r="W256" s="7"/>
      <c r="X256" s="7"/>
      <c r="Y256" s="7"/>
      <c r="Z256" s="7"/>
      <c r="AA256" s="23" t="n">
        <f aca="false">YEAR(C256)</f>
        <v>2023</v>
      </c>
    </row>
    <row r="257" customFormat="false" ht="15" hidden="false" customHeight="false" outlineLevel="0" collapsed="false">
      <c r="A257" s="7" t="s">
        <v>1243</v>
      </c>
      <c r="B257" s="7" t="s">
        <v>137</v>
      </c>
      <c r="C257" s="20" t="n">
        <v>45240</v>
      </c>
      <c r="D257" s="20" t="n">
        <v>45240</v>
      </c>
      <c r="E257" s="20"/>
      <c r="F257" s="7" t="s">
        <v>759</v>
      </c>
      <c r="G257" s="7" t="s">
        <v>153</v>
      </c>
      <c r="H257" s="7" t="s">
        <v>271</v>
      </c>
      <c r="I257" s="7" t="s">
        <v>272</v>
      </c>
      <c r="J257" s="7" t="s">
        <v>221</v>
      </c>
      <c r="K257" s="7" t="s">
        <v>270</v>
      </c>
      <c r="L257" s="7" t="s">
        <v>544</v>
      </c>
      <c r="M257" s="7" t="s">
        <v>541</v>
      </c>
      <c r="N257" s="16"/>
      <c r="O257" s="7"/>
      <c r="P257" s="22"/>
      <c r="Q257" s="8" t="n">
        <v>814.54</v>
      </c>
      <c r="R257" s="8" t="n">
        <v>-814.54</v>
      </c>
      <c r="S257" s="7" t="s">
        <v>744</v>
      </c>
      <c r="T257" s="7"/>
      <c r="U257" s="7"/>
      <c r="V257" s="20"/>
      <c r="W257" s="7"/>
      <c r="X257" s="7"/>
      <c r="Y257" s="7"/>
      <c r="Z257" s="7"/>
      <c r="AA257" s="23" t="n">
        <f aca="false">YEAR(C257)</f>
        <v>2023</v>
      </c>
    </row>
    <row r="258" customFormat="false" ht="15" hidden="false" customHeight="false" outlineLevel="0" collapsed="false">
      <c r="A258" s="7" t="s">
        <v>1244</v>
      </c>
      <c r="B258" s="7" t="s">
        <v>137</v>
      </c>
      <c r="C258" s="20" t="n">
        <v>45240</v>
      </c>
      <c r="D258" s="20" t="n">
        <v>45240</v>
      </c>
      <c r="E258" s="20"/>
      <c r="F258" s="7" t="s">
        <v>759</v>
      </c>
      <c r="G258" s="7" t="s">
        <v>153</v>
      </c>
      <c r="H258" s="7" t="s">
        <v>237</v>
      </c>
      <c r="I258" s="7" t="s">
        <v>238</v>
      </c>
      <c r="J258" s="7" t="s">
        <v>236</v>
      </c>
      <c r="K258" s="7" t="s">
        <v>189</v>
      </c>
      <c r="L258" s="7" t="s">
        <v>1245</v>
      </c>
      <c r="M258" s="7" t="s">
        <v>768</v>
      </c>
      <c r="N258" s="16"/>
      <c r="O258" s="7"/>
      <c r="P258" s="22"/>
      <c r="Q258" s="8" t="n">
        <v>83.34</v>
      </c>
      <c r="R258" s="8" t="n">
        <v>-83.34</v>
      </c>
      <c r="S258" s="7" t="s">
        <v>744</v>
      </c>
      <c r="T258" s="7"/>
      <c r="U258" s="7"/>
      <c r="V258" s="20"/>
      <c r="W258" s="7"/>
      <c r="X258" s="7" t="s">
        <v>769</v>
      </c>
      <c r="Y258" s="7"/>
      <c r="Z258" s="7"/>
      <c r="AA258" s="23" t="n">
        <f aca="false">YEAR(C258)</f>
        <v>2023</v>
      </c>
    </row>
    <row r="259" customFormat="false" ht="15" hidden="false" customHeight="false" outlineLevel="0" collapsed="false">
      <c r="A259" s="7" t="s">
        <v>1246</v>
      </c>
      <c r="B259" s="7" t="s">
        <v>137</v>
      </c>
      <c r="C259" s="20" t="n">
        <v>45240</v>
      </c>
      <c r="D259" s="20" t="n">
        <v>45240</v>
      </c>
      <c r="E259" s="20"/>
      <c r="F259" s="7" t="s">
        <v>759</v>
      </c>
      <c r="G259" s="7" t="s">
        <v>153</v>
      </c>
      <c r="H259" s="7" t="s">
        <v>559</v>
      </c>
      <c r="I259" s="7" t="s">
        <v>771</v>
      </c>
      <c r="J259" s="7" t="s">
        <v>761</v>
      </c>
      <c r="K259" s="7" t="s">
        <v>772</v>
      </c>
      <c r="L259" s="7" t="s">
        <v>1247</v>
      </c>
      <c r="M259" s="7" t="s">
        <v>768</v>
      </c>
      <c r="N259" s="16"/>
      <c r="O259" s="7"/>
      <c r="P259" s="22"/>
      <c r="Q259" s="8" t="n">
        <v>761.75</v>
      </c>
      <c r="R259" s="8" t="n">
        <v>-761.75</v>
      </c>
      <c r="S259" s="7" t="s">
        <v>744</v>
      </c>
      <c r="T259" s="7"/>
      <c r="U259" s="7"/>
      <c r="V259" s="20"/>
      <c r="W259" s="7"/>
      <c r="X259" s="7" t="s">
        <v>769</v>
      </c>
      <c r="Y259" s="7"/>
      <c r="Z259" s="7"/>
      <c r="AA259" s="23" t="n">
        <f aca="false">YEAR(C259)</f>
        <v>2023</v>
      </c>
    </row>
    <row r="260" customFormat="false" ht="15" hidden="false" customHeight="false" outlineLevel="0" collapsed="false">
      <c r="A260" s="7" t="s">
        <v>1248</v>
      </c>
      <c r="B260" s="7" t="s">
        <v>137</v>
      </c>
      <c r="C260" s="20" t="n">
        <v>45240</v>
      </c>
      <c r="D260" s="20" t="n">
        <v>45275</v>
      </c>
      <c r="E260" s="20"/>
      <c r="F260" s="7" t="s">
        <v>759</v>
      </c>
      <c r="G260" s="7" t="s">
        <v>149</v>
      </c>
      <c r="H260" s="7" t="s">
        <v>273</v>
      </c>
      <c r="I260" s="7" t="s">
        <v>274</v>
      </c>
      <c r="J260" s="7" t="s">
        <v>221</v>
      </c>
      <c r="K260" s="7" t="s">
        <v>270</v>
      </c>
      <c r="L260" s="7" t="s">
        <v>554</v>
      </c>
      <c r="M260" s="7" t="s">
        <v>541</v>
      </c>
      <c r="N260" s="16"/>
      <c r="O260" s="7"/>
      <c r="P260" s="22"/>
      <c r="Q260" s="8" t="n">
        <v>179.2</v>
      </c>
      <c r="R260" s="8" t="n">
        <v>-179.2</v>
      </c>
      <c r="S260" s="7" t="s">
        <v>789</v>
      </c>
      <c r="T260" s="7"/>
      <c r="U260" s="7"/>
      <c r="V260" s="20"/>
      <c r="W260" s="7"/>
      <c r="X260" s="7"/>
      <c r="Y260" s="7"/>
      <c r="Z260" s="7"/>
      <c r="AA260" s="23" t="n">
        <f aca="false">YEAR(C260)</f>
        <v>2023</v>
      </c>
    </row>
    <row r="261" customFormat="false" ht="15" hidden="false" customHeight="false" outlineLevel="0" collapsed="false">
      <c r="A261" s="7" t="s">
        <v>1249</v>
      </c>
      <c r="B261" s="7" t="s">
        <v>137</v>
      </c>
      <c r="C261" s="20" t="n">
        <v>45240</v>
      </c>
      <c r="D261" s="20" t="n">
        <v>45289</v>
      </c>
      <c r="E261" s="20"/>
      <c r="F261" s="7" t="s">
        <v>759</v>
      </c>
      <c r="G261" s="7" t="s">
        <v>149</v>
      </c>
      <c r="H261" s="7" t="s">
        <v>279</v>
      </c>
      <c r="I261" s="7" t="s">
        <v>280</v>
      </c>
      <c r="J261" s="7" t="s">
        <v>248</v>
      </c>
      <c r="K261" s="7" t="s">
        <v>278</v>
      </c>
      <c r="L261" s="7" t="s">
        <v>1250</v>
      </c>
      <c r="M261" s="7" t="s">
        <v>593</v>
      </c>
      <c r="N261" s="16" t="n">
        <v>138</v>
      </c>
      <c r="O261" s="7" t="s">
        <v>801</v>
      </c>
      <c r="P261" s="22" t="n">
        <v>43</v>
      </c>
      <c r="Q261" s="8" t="n">
        <v>5934</v>
      </c>
      <c r="R261" s="8" t="n">
        <v>5934</v>
      </c>
      <c r="S261" s="7" t="s">
        <v>33</v>
      </c>
      <c r="T261" s="7" t="s">
        <v>1251</v>
      </c>
      <c r="U261" s="7"/>
      <c r="V261" s="20" t="n">
        <v>45270</v>
      </c>
      <c r="W261" s="7"/>
      <c r="X261" s="7"/>
      <c r="Y261" s="7"/>
      <c r="Z261" s="7"/>
      <c r="AA261" s="23" t="n">
        <f aca="false">YEAR(C261)</f>
        <v>2023</v>
      </c>
    </row>
    <row r="262" customFormat="false" ht="15" hidden="false" customHeight="false" outlineLevel="0" collapsed="false">
      <c r="A262" s="7" t="s">
        <v>1252</v>
      </c>
      <c r="B262" s="7" t="s">
        <v>137</v>
      </c>
      <c r="C262" s="20" t="n">
        <v>45240</v>
      </c>
      <c r="D262" s="20" t="n">
        <v>45289</v>
      </c>
      <c r="E262" s="20"/>
      <c r="F262" s="7" t="s">
        <v>759</v>
      </c>
      <c r="G262" s="7" t="s">
        <v>149</v>
      </c>
      <c r="H262" s="7" t="s">
        <v>281</v>
      </c>
      <c r="I262" s="7" t="s">
        <v>282</v>
      </c>
      <c r="J262" s="7" t="s">
        <v>248</v>
      </c>
      <c r="K262" s="7" t="s">
        <v>278</v>
      </c>
      <c r="L262" s="7" t="s">
        <v>1253</v>
      </c>
      <c r="M262" s="7" t="s">
        <v>593</v>
      </c>
      <c r="N262" s="16" t="n">
        <v>17078</v>
      </c>
      <c r="O262" s="7" t="s">
        <v>798</v>
      </c>
      <c r="P262" s="22" t="n">
        <v>0.17</v>
      </c>
      <c r="Q262" s="8" t="n">
        <v>2903.18</v>
      </c>
      <c r="R262" s="8" t="n">
        <v>2903.18</v>
      </c>
      <c r="S262" s="7" t="s">
        <v>33</v>
      </c>
      <c r="T262" s="7" t="s">
        <v>1251</v>
      </c>
      <c r="U262" s="7"/>
      <c r="V262" s="20" t="n">
        <v>45270</v>
      </c>
      <c r="W262" s="7"/>
      <c r="X262" s="7"/>
      <c r="Y262" s="7"/>
      <c r="Z262" s="7"/>
      <c r="AA262" s="23" t="n">
        <f aca="false">YEAR(C262)</f>
        <v>2023</v>
      </c>
    </row>
    <row r="263" customFormat="false" ht="15" hidden="false" customHeight="false" outlineLevel="0" collapsed="false">
      <c r="A263" s="7" t="s">
        <v>1254</v>
      </c>
      <c r="B263" s="7" t="s">
        <v>137</v>
      </c>
      <c r="C263" s="20" t="n">
        <v>45242</v>
      </c>
      <c r="D263" s="20" t="n">
        <v>45242</v>
      </c>
      <c r="E263" s="20"/>
      <c r="F263" s="7" t="s">
        <v>759</v>
      </c>
      <c r="G263" s="7" t="s">
        <v>153</v>
      </c>
      <c r="H263" s="7" t="s">
        <v>240</v>
      </c>
      <c r="I263" s="7" t="s">
        <v>239</v>
      </c>
      <c r="J263" s="7" t="s">
        <v>229</v>
      </c>
      <c r="K263" s="7" t="s">
        <v>239</v>
      </c>
      <c r="L263" s="7" t="s">
        <v>548</v>
      </c>
      <c r="M263" s="7" t="s">
        <v>547</v>
      </c>
      <c r="N263" s="16"/>
      <c r="O263" s="7"/>
      <c r="P263" s="22"/>
      <c r="Q263" s="8" t="n">
        <v>261.59</v>
      </c>
      <c r="R263" s="8" t="n">
        <v>-261.59</v>
      </c>
      <c r="S263" s="7" t="s">
        <v>775</v>
      </c>
      <c r="T263" s="7"/>
      <c r="U263" s="7"/>
      <c r="V263" s="20"/>
      <c r="W263" s="7"/>
      <c r="X263" s="7"/>
      <c r="Y263" s="7"/>
      <c r="Z263" s="7"/>
      <c r="AA263" s="23" t="n">
        <f aca="false">YEAR(C263)</f>
        <v>2023</v>
      </c>
    </row>
    <row r="264" customFormat="false" ht="15" hidden="false" customHeight="false" outlineLevel="0" collapsed="false">
      <c r="A264" s="7" t="s">
        <v>1255</v>
      </c>
      <c r="B264" s="7" t="s">
        <v>137</v>
      </c>
      <c r="C264" s="20" t="n">
        <v>45244</v>
      </c>
      <c r="D264" s="20" t="n">
        <v>45274</v>
      </c>
      <c r="E264" s="20"/>
      <c r="F264" s="7" t="s">
        <v>759</v>
      </c>
      <c r="G264" s="7" t="s">
        <v>153</v>
      </c>
      <c r="H264" s="7" t="s">
        <v>261</v>
      </c>
      <c r="I264" s="7" t="s">
        <v>262</v>
      </c>
      <c r="J264" s="7" t="s">
        <v>221</v>
      </c>
      <c r="K264" s="7" t="s">
        <v>260</v>
      </c>
      <c r="L264" s="7" t="s">
        <v>623</v>
      </c>
      <c r="M264" s="7" t="s">
        <v>538</v>
      </c>
      <c r="N264" s="16"/>
      <c r="O264" s="7"/>
      <c r="P264" s="22"/>
      <c r="Q264" s="8" t="n">
        <v>1991.24</v>
      </c>
      <c r="R264" s="8" t="n">
        <v>-1991.24</v>
      </c>
      <c r="S264" s="7" t="s">
        <v>751</v>
      </c>
      <c r="T264" s="7"/>
      <c r="U264" s="7" t="s">
        <v>1256</v>
      </c>
      <c r="V264" s="20" t="n">
        <v>45274</v>
      </c>
      <c r="W264" s="7"/>
      <c r="X264" s="7"/>
      <c r="Y264" s="7"/>
      <c r="Z264" s="7"/>
      <c r="AA264" s="23" t="n">
        <f aca="false">YEAR(C264)</f>
        <v>2023</v>
      </c>
    </row>
    <row r="265" customFormat="false" ht="15" hidden="false" customHeight="false" outlineLevel="0" collapsed="false">
      <c r="A265" s="7" t="s">
        <v>1257</v>
      </c>
      <c r="B265" s="7" t="s">
        <v>137</v>
      </c>
      <c r="C265" s="20" t="n">
        <v>45244</v>
      </c>
      <c r="D265" s="20" t="n">
        <v>45314</v>
      </c>
      <c r="E265" s="20"/>
      <c r="F265" s="7" t="s">
        <v>759</v>
      </c>
      <c r="G265" s="7" t="s">
        <v>136</v>
      </c>
      <c r="H265" s="7" t="s">
        <v>290</v>
      </c>
      <c r="I265" s="7" t="s">
        <v>291</v>
      </c>
      <c r="J265" s="7" t="s">
        <v>221</v>
      </c>
      <c r="K265" s="7" t="s">
        <v>289</v>
      </c>
      <c r="L265" s="7" t="s">
        <v>1258</v>
      </c>
      <c r="M265" s="7" t="s">
        <v>1259</v>
      </c>
      <c r="N265" s="16" t="n">
        <v>96</v>
      </c>
      <c r="O265" s="7" t="s">
        <v>801</v>
      </c>
      <c r="P265" s="22" t="n">
        <v>70</v>
      </c>
      <c r="Q265" s="8" t="n">
        <v>6720</v>
      </c>
      <c r="R265" s="8" t="n">
        <v>-6720</v>
      </c>
      <c r="S265" s="7" t="s">
        <v>751</v>
      </c>
      <c r="T265" s="7"/>
      <c r="U265" s="7" t="s">
        <v>1260</v>
      </c>
      <c r="V265" s="20" t="n">
        <v>45304</v>
      </c>
      <c r="W265" s="7"/>
      <c r="X265" s="7"/>
      <c r="Y265" s="7" t="s">
        <v>718</v>
      </c>
      <c r="Z265" s="7"/>
      <c r="AA265" s="23" t="n">
        <f aca="false">YEAR(C265)</f>
        <v>2023</v>
      </c>
    </row>
    <row r="266" customFormat="false" ht="15" hidden="false" customHeight="false" outlineLevel="0" collapsed="false">
      <c r="A266" s="7" t="s">
        <v>1261</v>
      </c>
      <c r="B266" s="7" t="s">
        <v>137</v>
      </c>
      <c r="C266" s="20" t="n">
        <v>45256</v>
      </c>
      <c r="D266" s="20" t="n">
        <v>45282</v>
      </c>
      <c r="E266" s="20"/>
      <c r="F266" s="7" t="s">
        <v>759</v>
      </c>
      <c r="G266" s="7" t="s">
        <v>153</v>
      </c>
      <c r="H266" s="7" t="s">
        <v>242</v>
      </c>
      <c r="I266" s="7" t="s">
        <v>243</v>
      </c>
      <c r="J266" s="7" t="s">
        <v>229</v>
      </c>
      <c r="K266" s="7" t="s">
        <v>241</v>
      </c>
      <c r="L266" s="7" t="s">
        <v>571</v>
      </c>
      <c r="M266" s="7"/>
      <c r="N266" s="16"/>
      <c r="O266" s="7"/>
      <c r="P266" s="22"/>
      <c r="Q266" s="8" t="n">
        <v>347.89</v>
      </c>
      <c r="R266" s="8" t="n">
        <v>-347.89</v>
      </c>
      <c r="S266" s="7" t="s">
        <v>765</v>
      </c>
      <c r="T266" s="7"/>
      <c r="U266" s="7"/>
      <c r="V266" s="20"/>
      <c r="W266" s="7"/>
      <c r="X266" s="7"/>
      <c r="Y266" s="7"/>
      <c r="Z266" s="7"/>
      <c r="AA266" s="23" t="n">
        <f aca="false">YEAR(C266)</f>
        <v>2023</v>
      </c>
    </row>
    <row r="267" customFormat="false" ht="15" hidden="false" customHeight="false" outlineLevel="0" collapsed="false">
      <c r="A267" s="7" t="s">
        <v>1262</v>
      </c>
      <c r="B267" s="7" t="s">
        <v>137</v>
      </c>
      <c r="C267" s="20" t="n">
        <v>45260</v>
      </c>
      <c r="D267" s="20" t="n">
        <v>45260</v>
      </c>
      <c r="E267" s="20"/>
      <c r="F267" s="7" t="s">
        <v>759</v>
      </c>
      <c r="G267" s="7" t="s">
        <v>153</v>
      </c>
      <c r="H267" s="7" t="s">
        <v>246</v>
      </c>
      <c r="I267" s="7" t="s">
        <v>247</v>
      </c>
      <c r="J267" s="7" t="s">
        <v>236</v>
      </c>
      <c r="K267" s="7" t="s">
        <v>189</v>
      </c>
      <c r="L267" s="7" t="s">
        <v>1048</v>
      </c>
      <c r="M267" s="7" t="s">
        <v>556</v>
      </c>
      <c r="N267" s="16"/>
      <c r="O267" s="7"/>
      <c r="P267" s="22"/>
      <c r="Q267" s="8" t="n">
        <v>882.33</v>
      </c>
      <c r="R267" s="8" t="n">
        <v>-882.33</v>
      </c>
      <c r="S267" s="7" t="s">
        <v>775</v>
      </c>
      <c r="T267" s="7"/>
      <c r="U267" s="7"/>
      <c r="V267" s="20"/>
      <c r="W267" s="7"/>
      <c r="X267" s="7" t="s">
        <v>784</v>
      </c>
      <c r="Y267" s="7"/>
      <c r="Z267" s="7"/>
      <c r="AA267" s="23" t="n">
        <f aca="false">YEAR(C267)</f>
        <v>2023</v>
      </c>
    </row>
    <row r="268" customFormat="false" ht="15" hidden="false" customHeight="false" outlineLevel="0" collapsed="false">
      <c r="A268" s="7" t="s">
        <v>1263</v>
      </c>
      <c r="B268" s="7" t="s">
        <v>137</v>
      </c>
      <c r="C268" s="20" t="n">
        <v>45261</v>
      </c>
      <c r="D268" s="20" t="n">
        <v>45261</v>
      </c>
      <c r="E268" s="20"/>
      <c r="F268" s="7" t="s">
        <v>759</v>
      </c>
      <c r="G268" s="7" t="s">
        <v>153</v>
      </c>
      <c r="H268" s="7" t="s">
        <v>237</v>
      </c>
      <c r="I268" s="7" t="s">
        <v>238</v>
      </c>
      <c r="J268" s="7" t="s">
        <v>236</v>
      </c>
      <c r="K268" s="7" t="s">
        <v>189</v>
      </c>
      <c r="L268" s="7" t="s">
        <v>1264</v>
      </c>
      <c r="M268" s="7" t="s">
        <v>609</v>
      </c>
      <c r="N268" s="16"/>
      <c r="O268" s="7"/>
      <c r="P268" s="22"/>
      <c r="Q268" s="8" t="n">
        <v>15744.72</v>
      </c>
      <c r="R268" s="8" t="n">
        <v>-15744.72</v>
      </c>
      <c r="S268" s="7" t="s">
        <v>744</v>
      </c>
      <c r="T268" s="7"/>
      <c r="U268" s="7"/>
      <c r="V268" s="20"/>
      <c r="W268" s="7"/>
      <c r="X268" s="7" t="s">
        <v>1265</v>
      </c>
      <c r="Y268" s="7"/>
      <c r="Z268" s="7"/>
      <c r="AA268" s="23" t="n">
        <f aca="false">YEAR(C268)</f>
        <v>2023</v>
      </c>
    </row>
    <row r="269" customFormat="false" ht="15" hidden="false" customHeight="false" outlineLevel="0" collapsed="false">
      <c r="A269" s="7" t="s">
        <v>1266</v>
      </c>
      <c r="B269" s="7" t="s">
        <v>137</v>
      </c>
      <c r="C269" s="20" t="n">
        <v>45261</v>
      </c>
      <c r="D269" s="20" t="n">
        <v>45261</v>
      </c>
      <c r="E269" s="20"/>
      <c r="F269" s="7" t="s">
        <v>759</v>
      </c>
      <c r="G269" s="7" t="s">
        <v>153</v>
      </c>
      <c r="H269" s="7" t="s">
        <v>559</v>
      </c>
      <c r="I269" s="7" t="s">
        <v>771</v>
      </c>
      <c r="J269" s="7" t="s">
        <v>761</v>
      </c>
      <c r="K269" s="7" t="s">
        <v>772</v>
      </c>
      <c r="L269" s="7" t="s">
        <v>1267</v>
      </c>
      <c r="M269" s="7" t="s">
        <v>609</v>
      </c>
      <c r="N269" s="16"/>
      <c r="O269" s="7"/>
      <c r="P269" s="22"/>
      <c r="Q269" s="8" t="n">
        <v>16124.96</v>
      </c>
      <c r="R269" s="8" t="n">
        <v>-16124.96</v>
      </c>
      <c r="S269" s="7" t="s">
        <v>744</v>
      </c>
      <c r="T269" s="7"/>
      <c r="U269" s="7"/>
      <c r="V269" s="20"/>
      <c r="W269" s="7"/>
      <c r="X269" s="7" t="s">
        <v>1265</v>
      </c>
      <c r="Y269" s="7"/>
      <c r="Z269" s="7"/>
      <c r="AA269" s="23" t="n">
        <f aca="false">YEAR(C269)</f>
        <v>2023</v>
      </c>
    </row>
    <row r="270" customFormat="false" ht="15" hidden="false" customHeight="false" outlineLevel="0" collapsed="false">
      <c r="A270" s="7" t="s">
        <v>1268</v>
      </c>
      <c r="B270" s="7" t="s">
        <v>137</v>
      </c>
      <c r="C270" s="20" t="n">
        <v>45261</v>
      </c>
      <c r="D270" s="20" t="n">
        <v>45261</v>
      </c>
      <c r="E270" s="20"/>
      <c r="F270" s="7" t="s">
        <v>759</v>
      </c>
      <c r="G270" s="7" t="s">
        <v>153</v>
      </c>
      <c r="H270" s="7" t="s">
        <v>561</v>
      </c>
      <c r="I270" s="7" t="s">
        <v>363</v>
      </c>
      <c r="J270" s="7" t="s">
        <v>761</v>
      </c>
      <c r="K270" s="7" t="s">
        <v>772</v>
      </c>
      <c r="L270" s="7" t="s">
        <v>562</v>
      </c>
      <c r="M270" s="7" t="s">
        <v>556</v>
      </c>
      <c r="N270" s="16"/>
      <c r="O270" s="7"/>
      <c r="P270" s="22"/>
      <c r="Q270" s="8" t="n">
        <v>22000</v>
      </c>
      <c r="R270" s="8" t="n">
        <v>22000</v>
      </c>
      <c r="S270" s="7" t="s">
        <v>783</v>
      </c>
      <c r="T270" s="7"/>
      <c r="U270" s="7"/>
      <c r="V270" s="20"/>
      <c r="W270" s="7"/>
      <c r="X270" s="7" t="s">
        <v>784</v>
      </c>
      <c r="Y270" s="7"/>
      <c r="Z270" s="7"/>
      <c r="AA270" s="23" t="n">
        <f aca="false">YEAR(C270)</f>
        <v>2023</v>
      </c>
    </row>
    <row r="271" customFormat="false" ht="15" hidden="false" customHeight="false" outlineLevel="0" collapsed="false">
      <c r="A271" s="7" t="s">
        <v>1269</v>
      </c>
      <c r="B271" s="7" t="s">
        <v>137</v>
      </c>
      <c r="C271" s="20" t="n">
        <v>45261</v>
      </c>
      <c r="D271" s="20" t="n">
        <v>45261</v>
      </c>
      <c r="E271" s="20"/>
      <c r="F271" s="7" t="s">
        <v>759</v>
      </c>
      <c r="G271" s="7" t="s">
        <v>153</v>
      </c>
      <c r="H271" s="7" t="s">
        <v>545</v>
      </c>
      <c r="I271" s="7" t="s">
        <v>760</v>
      </c>
      <c r="J271" s="7" t="s">
        <v>761</v>
      </c>
      <c r="K271" s="7" t="s">
        <v>762</v>
      </c>
      <c r="L271" s="7" t="s">
        <v>546</v>
      </c>
      <c r="M271" s="7"/>
      <c r="N271" s="16"/>
      <c r="O271" s="7"/>
      <c r="P271" s="22"/>
      <c r="Q271" s="8" t="n">
        <v>4000</v>
      </c>
      <c r="R271" s="8" t="n">
        <v>-4000</v>
      </c>
      <c r="S271" s="7" t="s">
        <v>763</v>
      </c>
      <c r="T271" s="7"/>
      <c r="U271" s="7"/>
      <c r="V271" s="20"/>
      <c r="W271" s="7"/>
      <c r="X271" s="7"/>
      <c r="Y271" s="7"/>
      <c r="Z271" s="7"/>
      <c r="AA271" s="23" t="n">
        <f aca="false">YEAR(C271)</f>
        <v>2023</v>
      </c>
    </row>
    <row r="272" customFormat="false" ht="15" hidden="false" customHeight="false" outlineLevel="0" collapsed="false">
      <c r="A272" s="7" t="s">
        <v>1270</v>
      </c>
      <c r="B272" s="7" t="s">
        <v>137</v>
      </c>
      <c r="C272" s="20" t="n">
        <v>45268</v>
      </c>
      <c r="D272" s="20" t="n">
        <v>45313</v>
      </c>
      <c r="E272" s="20"/>
      <c r="F272" s="7" t="s">
        <v>759</v>
      </c>
      <c r="G272" s="7" t="s">
        <v>153</v>
      </c>
      <c r="H272" s="7" t="s">
        <v>244</v>
      </c>
      <c r="I272" s="7" t="s">
        <v>245</v>
      </c>
      <c r="J272" s="7" t="s">
        <v>229</v>
      </c>
      <c r="K272" s="7" t="s">
        <v>233</v>
      </c>
      <c r="L272" s="7" t="s">
        <v>570</v>
      </c>
      <c r="M272" s="7"/>
      <c r="N272" s="16"/>
      <c r="O272" s="7"/>
      <c r="P272" s="22"/>
      <c r="Q272" s="8" t="n">
        <v>165</v>
      </c>
      <c r="R272" s="8" t="n">
        <v>-165</v>
      </c>
      <c r="S272" s="7" t="s">
        <v>765</v>
      </c>
      <c r="T272" s="7"/>
      <c r="U272" s="7"/>
      <c r="V272" s="20"/>
      <c r="W272" s="7"/>
      <c r="X272" s="7"/>
      <c r="Y272" s="7"/>
      <c r="Z272" s="7"/>
      <c r="AA272" s="23" t="n">
        <f aca="false">YEAR(C272)</f>
        <v>2023</v>
      </c>
    </row>
    <row r="273" customFormat="false" ht="15" hidden="false" customHeight="false" outlineLevel="0" collapsed="false">
      <c r="A273" s="7" t="s">
        <v>1271</v>
      </c>
      <c r="B273" s="7" t="s">
        <v>137</v>
      </c>
      <c r="C273" s="20" t="n">
        <v>45270</v>
      </c>
      <c r="D273" s="20" t="n">
        <v>45270</v>
      </c>
      <c r="E273" s="20"/>
      <c r="F273" s="7" t="s">
        <v>759</v>
      </c>
      <c r="G273" s="7" t="s">
        <v>153</v>
      </c>
      <c r="H273" s="7" t="s">
        <v>237</v>
      </c>
      <c r="I273" s="7" t="s">
        <v>238</v>
      </c>
      <c r="J273" s="7" t="s">
        <v>236</v>
      </c>
      <c r="K273" s="7" t="s">
        <v>189</v>
      </c>
      <c r="L273" s="7" t="s">
        <v>1272</v>
      </c>
      <c r="M273" s="7" t="s">
        <v>768</v>
      </c>
      <c r="N273" s="16"/>
      <c r="O273" s="7"/>
      <c r="P273" s="22"/>
      <c r="Q273" s="8" t="n">
        <v>80.87</v>
      </c>
      <c r="R273" s="8" t="n">
        <v>-80.87</v>
      </c>
      <c r="S273" s="7" t="s">
        <v>744</v>
      </c>
      <c r="T273" s="7"/>
      <c r="U273" s="7"/>
      <c r="V273" s="20"/>
      <c r="W273" s="7"/>
      <c r="X273" s="7" t="s">
        <v>769</v>
      </c>
      <c r="Y273" s="7"/>
      <c r="Z273" s="7"/>
      <c r="AA273" s="23" t="n">
        <f aca="false">YEAR(C273)</f>
        <v>2023</v>
      </c>
    </row>
    <row r="274" customFormat="false" ht="15" hidden="false" customHeight="false" outlineLevel="0" collapsed="false">
      <c r="A274" s="7" t="s">
        <v>1273</v>
      </c>
      <c r="B274" s="7" t="s">
        <v>137</v>
      </c>
      <c r="C274" s="20" t="n">
        <v>45270</v>
      </c>
      <c r="D274" s="20" t="n">
        <v>45270</v>
      </c>
      <c r="E274" s="20"/>
      <c r="F274" s="7" t="s">
        <v>759</v>
      </c>
      <c r="G274" s="7" t="s">
        <v>153</v>
      </c>
      <c r="H274" s="7" t="s">
        <v>559</v>
      </c>
      <c r="I274" s="7" t="s">
        <v>771</v>
      </c>
      <c r="J274" s="7" t="s">
        <v>761</v>
      </c>
      <c r="K274" s="7" t="s">
        <v>772</v>
      </c>
      <c r="L274" s="7" t="s">
        <v>1274</v>
      </c>
      <c r="M274" s="7" t="s">
        <v>768</v>
      </c>
      <c r="N274" s="16"/>
      <c r="O274" s="7"/>
      <c r="P274" s="22"/>
      <c r="Q274" s="8" t="n">
        <v>764.22</v>
      </c>
      <c r="R274" s="8" t="n">
        <v>-764.22</v>
      </c>
      <c r="S274" s="7" t="s">
        <v>744</v>
      </c>
      <c r="T274" s="7"/>
      <c r="U274" s="7"/>
      <c r="V274" s="20"/>
      <c r="W274" s="7"/>
      <c r="X274" s="7" t="s">
        <v>769</v>
      </c>
      <c r="Y274" s="7"/>
      <c r="Z274" s="7"/>
      <c r="AA274" s="23" t="n">
        <f aca="false">YEAR(C274)</f>
        <v>2023</v>
      </c>
    </row>
    <row r="275" customFormat="false" ht="15" hidden="false" customHeight="false" outlineLevel="0" collapsed="false">
      <c r="A275" s="7" t="s">
        <v>1275</v>
      </c>
      <c r="B275" s="7" t="s">
        <v>137</v>
      </c>
      <c r="C275" s="20" t="n">
        <v>45272</v>
      </c>
      <c r="D275" s="20" t="n">
        <v>45272</v>
      </c>
      <c r="E275" s="20"/>
      <c r="F275" s="7" t="s">
        <v>759</v>
      </c>
      <c r="G275" s="7" t="s">
        <v>153</v>
      </c>
      <c r="H275" s="7" t="s">
        <v>240</v>
      </c>
      <c r="I275" s="7" t="s">
        <v>239</v>
      </c>
      <c r="J275" s="7" t="s">
        <v>229</v>
      </c>
      <c r="K275" s="7" t="s">
        <v>239</v>
      </c>
      <c r="L275" s="7" t="s">
        <v>548</v>
      </c>
      <c r="M275" s="7" t="s">
        <v>547</v>
      </c>
      <c r="N275" s="16"/>
      <c r="O275" s="7"/>
      <c r="P275" s="22"/>
      <c r="Q275" s="8" t="n">
        <v>460.91</v>
      </c>
      <c r="R275" s="8" t="n">
        <v>-460.91</v>
      </c>
      <c r="S275" s="7" t="s">
        <v>775</v>
      </c>
      <c r="T275" s="7"/>
      <c r="U275" s="7"/>
      <c r="V275" s="20"/>
      <c r="W275" s="7"/>
      <c r="X275" s="7"/>
      <c r="Y275" s="7"/>
      <c r="Z275" s="7"/>
      <c r="AA275" s="23" t="n">
        <f aca="false">YEAR(C275)</f>
        <v>2023</v>
      </c>
    </row>
    <row r="276" customFormat="false" ht="15" hidden="false" customHeight="false" outlineLevel="0" collapsed="false">
      <c r="A276" s="7" t="s">
        <v>1276</v>
      </c>
      <c r="B276" s="7" t="s">
        <v>137</v>
      </c>
      <c r="C276" s="20" t="n">
        <v>45278</v>
      </c>
      <c r="D276" s="20" t="n">
        <v>45323</v>
      </c>
      <c r="E276" s="20"/>
      <c r="F276" s="7" t="s">
        <v>759</v>
      </c>
      <c r="G276" s="7" t="s">
        <v>136</v>
      </c>
      <c r="H276" s="7" t="s">
        <v>296</v>
      </c>
      <c r="I276" s="7" t="s">
        <v>297</v>
      </c>
      <c r="J276" s="7" t="s">
        <v>221</v>
      </c>
      <c r="K276" s="7" t="s">
        <v>289</v>
      </c>
      <c r="L276" s="7" t="s">
        <v>1277</v>
      </c>
      <c r="M276" s="7" t="s">
        <v>1278</v>
      </c>
      <c r="N276" s="16" t="n">
        <v>26496</v>
      </c>
      <c r="O276" s="7" t="s">
        <v>1279</v>
      </c>
      <c r="P276" s="22" t="n">
        <v>0.135</v>
      </c>
      <c r="Q276" s="8" t="n">
        <v>3576.96</v>
      </c>
      <c r="R276" s="8" t="n">
        <v>-3576.96</v>
      </c>
      <c r="S276" s="7" t="s">
        <v>751</v>
      </c>
      <c r="T276" s="7"/>
      <c r="U276" s="7" t="s">
        <v>1280</v>
      </c>
      <c r="V276" s="20" t="n">
        <v>45323</v>
      </c>
      <c r="W276" s="7"/>
      <c r="X276" s="7"/>
      <c r="Y276" s="7" t="s">
        <v>718</v>
      </c>
      <c r="Z276" s="7"/>
      <c r="AA276" s="23" t="n">
        <f aca="false">YEAR(C276)</f>
        <v>2023</v>
      </c>
    </row>
    <row r="277" customFormat="false" ht="15" hidden="false" customHeight="false" outlineLevel="0" collapsed="false">
      <c r="A277" s="7" t="s">
        <v>1281</v>
      </c>
      <c r="B277" s="7" t="s">
        <v>137</v>
      </c>
      <c r="C277" s="20" t="n">
        <v>45278</v>
      </c>
      <c r="D277" s="20" t="n">
        <v>45328</v>
      </c>
      <c r="E277" s="20"/>
      <c r="F277" s="7" t="s">
        <v>759</v>
      </c>
      <c r="G277" s="7" t="s">
        <v>136</v>
      </c>
      <c r="H277" s="7" t="s">
        <v>294</v>
      </c>
      <c r="I277" s="7" t="s">
        <v>295</v>
      </c>
      <c r="J277" s="7" t="s">
        <v>248</v>
      </c>
      <c r="K277" s="7" t="s">
        <v>249</v>
      </c>
      <c r="L277" s="7" t="s">
        <v>1282</v>
      </c>
      <c r="M277" s="7" t="s">
        <v>1283</v>
      </c>
      <c r="N277" s="16"/>
      <c r="O277" s="7"/>
      <c r="P277" s="22"/>
      <c r="Q277" s="8" t="n">
        <v>4703.04</v>
      </c>
      <c r="R277" s="8" t="n">
        <v>4703.04</v>
      </c>
      <c r="S277" s="7" t="s">
        <v>33</v>
      </c>
      <c r="T277" s="7" t="s">
        <v>1284</v>
      </c>
      <c r="U277" s="7"/>
      <c r="V277" s="20" t="n">
        <v>45308</v>
      </c>
      <c r="W277" s="7"/>
      <c r="X277" s="7"/>
      <c r="Y277" s="7" t="s">
        <v>718</v>
      </c>
      <c r="Z277" s="7"/>
      <c r="AA277" s="23" t="n">
        <f aca="false">YEAR(C277)</f>
        <v>2023</v>
      </c>
    </row>
    <row r="278" customFormat="false" ht="15" hidden="false" customHeight="false" outlineLevel="0" collapsed="false">
      <c r="A278" s="7" t="s">
        <v>1285</v>
      </c>
      <c r="B278" s="7" t="s">
        <v>137</v>
      </c>
      <c r="C278" s="20" t="n">
        <v>45279</v>
      </c>
      <c r="D278" s="20" t="n">
        <v>45306</v>
      </c>
      <c r="E278" s="20"/>
      <c r="F278" s="7" t="s">
        <v>759</v>
      </c>
      <c r="G278" s="7" t="s">
        <v>136</v>
      </c>
      <c r="H278" s="7" t="s">
        <v>292</v>
      </c>
      <c r="I278" s="7" t="s">
        <v>293</v>
      </c>
      <c r="J278" s="7" t="s">
        <v>248</v>
      </c>
      <c r="K278" s="7" t="s">
        <v>249</v>
      </c>
      <c r="L278" s="7" t="s">
        <v>1286</v>
      </c>
      <c r="M278" s="7" t="s">
        <v>566</v>
      </c>
      <c r="N278" s="16" t="n">
        <v>14573</v>
      </c>
      <c r="O278" s="7" t="s">
        <v>1279</v>
      </c>
      <c r="P278" s="22" t="n">
        <v>0.728</v>
      </c>
      <c r="Q278" s="8" t="n">
        <v>10609</v>
      </c>
      <c r="R278" s="8" t="n">
        <v>10609</v>
      </c>
      <c r="S278" s="7" t="s">
        <v>744</v>
      </c>
      <c r="T278" s="7" t="s">
        <v>1287</v>
      </c>
      <c r="U278" s="7"/>
      <c r="V278" s="20" t="n">
        <v>45306</v>
      </c>
      <c r="W278" s="7"/>
      <c r="X278" s="7"/>
      <c r="Y278" s="7" t="s">
        <v>718</v>
      </c>
      <c r="Z278" s="7"/>
      <c r="AA278" s="23" t="n">
        <f aca="false">YEAR(C278)</f>
        <v>2023</v>
      </c>
    </row>
    <row r="279" customFormat="false" ht="15" hidden="false" customHeight="false" outlineLevel="0" collapsed="false">
      <c r="A279" s="7" t="s">
        <v>1288</v>
      </c>
      <c r="B279" s="7" t="s">
        <v>137</v>
      </c>
      <c r="C279" s="20" t="n">
        <v>45279</v>
      </c>
      <c r="D279" s="20" t="n">
        <v>45397</v>
      </c>
      <c r="E279" s="20"/>
      <c r="F279" s="7" t="s">
        <v>759</v>
      </c>
      <c r="G279" s="7" t="s">
        <v>136</v>
      </c>
      <c r="H279" s="7" t="s">
        <v>292</v>
      </c>
      <c r="I279" s="7" t="s">
        <v>293</v>
      </c>
      <c r="J279" s="7" t="s">
        <v>248</v>
      </c>
      <c r="K279" s="7" t="s">
        <v>249</v>
      </c>
      <c r="L279" s="7" t="s">
        <v>1289</v>
      </c>
      <c r="M279" s="7" t="s">
        <v>566</v>
      </c>
      <c r="N279" s="16" t="n">
        <v>3974</v>
      </c>
      <c r="O279" s="7" t="s">
        <v>1279</v>
      </c>
      <c r="P279" s="22" t="n">
        <v>0.728</v>
      </c>
      <c r="Q279" s="8" t="n">
        <v>2893.36</v>
      </c>
      <c r="R279" s="8" t="n">
        <v>2893.36</v>
      </c>
      <c r="S279" s="7" t="s">
        <v>744</v>
      </c>
      <c r="T279" s="7" t="s">
        <v>1287</v>
      </c>
      <c r="U279" s="7"/>
      <c r="V279" s="20" t="n">
        <v>45397</v>
      </c>
      <c r="W279" s="7"/>
      <c r="X279" s="7"/>
      <c r="Y279" s="7" t="s">
        <v>718</v>
      </c>
      <c r="Z279" s="7"/>
      <c r="AA279" s="23" t="n">
        <f aca="false">YEAR(C279)</f>
        <v>2023</v>
      </c>
    </row>
    <row r="280" customFormat="false" ht="15" hidden="false" customHeight="false" outlineLevel="0" collapsed="false">
      <c r="A280" s="7" t="s">
        <v>1290</v>
      </c>
      <c r="B280" s="7" t="s">
        <v>137</v>
      </c>
      <c r="C280" s="20" t="n">
        <v>45279</v>
      </c>
      <c r="D280" s="20" t="n">
        <v>45488</v>
      </c>
      <c r="E280" s="20"/>
      <c r="F280" s="7" t="s">
        <v>759</v>
      </c>
      <c r="G280" s="7" t="s">
        <v>136</v>
      </c>
      <c r="H280" s="7" t="s">
        <v>292</v>
      </c>
      <c r="I280" s="7" t="s">
        <v>293</v>
      </c>
      <c r="J280" s="7" t="s">
        <v>248</v>
      </c>
      <c r="K280" s="7" t="s">
        <v>249</v>
      </c>
      <c r="L280" s="7" t="s">
        <v>1289</v>
      </c>
      <c r="M280" s="7" t="s">
        <v>566</v>
      </c>
      <c r="N280" s="16" t="n">
        <v>3974</v>
      </c>
      <c r="O280" s="7" t="s">
        <v>1279</v>
      </c>
      <c r="P280" s="22" t="n">
        <v>0.728</v>
      </c>
      <c r="Q280" s="8" t="n">
        <v>2893.36</v>
      </c>
      <c r="R280" s="8" t="n">
        <v>2893.36</v>
      </c>
      <c r="S280" s="7" t="s">
        <v>744</v>
      </c>
      <c r="T280" s="7" t="s">
        <v>1287</v>
      </c>
      <c r="U280" s="7"/>
      <c r="V280" s="20" t="n">
        <v>45488</v>
      </c>
      <c r="W280" s="7"/>
      <c r="X280" s="7"/>
      <c r="Y280" s="7" t="s">
        <v>718</v>
      </c>
      <c r="Z280" s="7"/>
      <c r="AA280" s="23" t="n">
        <f aca="false">YEAR(C280)</f>
        <v>2023</v>
      </c>
    </row>
    <row r="281" customFormat="false" ht="15" hidden="false" customHeight="false" outlineLevel="0" collapsed="false">
      <c r="A281" s="7" t="s">
        <v>1291</v>
      </c>
      <c r="B281" s="7" t="s">
        <v>137</v>
      </c>
      <c r="C281" s="20" t="n">
        <v>45279</v>
      </c>
      <c r="D281" s="20" t="n">
        <v>45591</v>
      </c>
      <c r="E281" s="20"/>
      <c r="F281" s="7" t="s">
        <v>759</v>
      </c>
      <c r="G281" s="7" t="s">
        <v>136</v>
      </c>
      <c r="H281" s="7" t="s">
        <v>292</v>
      </c>
      <c r="I281" s="7" t="s">
        <v>293</v>
      </c>
      <c r="J281" s="7" t="s">
        <v>248</v>
      </c>
      <c r="K281" s="7" t="s">
        <v>249</v>
      </c>
      <c r="L281" s="7" t="s">
        <v>1289</v>
      </c>
      <c r="M281" s="7" t="s">
        <v>566</v>
      </c>
      <c r="N281" s="16" t="n">
        <v>3974</v>
      </c>
      <c r="O281" s="7" t="s">
        <v>1279</v>
      </c>
      <c r="P281" s="22" t="n">
        <v>0.728</v>
      </c>
      <c r="Q281" s="8" t="n">
        <v>2893.36</v>
      </c>
      <c r="R281" s="8" t="n">
        <v>2893.36</v>
      </c>
      <c r="S281" s="7" t="s">
        <v>744</v>
      </c>
      <c r="T281" s="7" t="s">
        <v>1287</v>
      </c>
      <c r="U281" s="7"/>
      <c r="V281" s="20" t="n">
        <v>45591</v>
      </c>
      <c r="W281" s="7"/>
      <c r="X281" s="7"/>
      <c r="Y281" s="7" t="s">
        <v>718</v>
      </c>
      <c r="Z281" s="7"/>
      <c r="AA281" s="23" t="n">
        <f aca="false">YEAR(C281)</f>
        <v>2023</v>
      </c>
    </row>
    <row r="282" customFormat="false" ht="15" hidden="false" customHeight="false" outlineLevel="0" collapsed="false">
      <c r="A282" s="7" t="s">
        <v>1292</v>
      </c>
      <c r="B282" s="7" t="s">
        <v>137</v>
      </c>
      <c r="C282" s="20" t="n">
        <v>45280</v>
      </c>
      <c r="D282" s="20" t="n">
        <v>45280</v>
      </c>
      <c r="E282" s="20"/>
      <c r="F282" s="7" t="s">
        <v>759</v>
      </c>
      <c r="G282" s="7" t="s">
        <v>153</v>
      </c>
      <c r="H282" s="7" t="s">
        <v>299</v>
      </c>
      <c r="I282" s="7" t="s">
        <v>298</v>
      </c>
      <c r="J282" s="7" t="s">
        <v>229</v>
      </c>
      <c r="K282" s="7" t="s">
        <v>298</v>
      </c>
      <c r="L282" s="7" t="s">
        <v>1293</v>
      </c>
      <c r="M282" s="7" t="s">
        <v>633</v>
      </c>
      <c r="N282" s="16"/>
      <c r="O282" s="7"/>
      <c r="P282" s="22"/>
      <c r="Q282" s="8" t="n">
        <v>3390</v>
      </c>
      <c r="R282" s="8" t="n">
        <v>-3390</v>
      </c>
      <c r="S282" s="7" t="s">
        <v>33</v>
      </c>
      <c r="T282" s="7"/>
      <c r="U282" s="7"/>
      <c r="V282" s="20"/>
      <c r="W282" s="7"/>
      <c r="X282" s="7"/>
      <c r="Y282" s="7"/>
      <c r="Z282" s="7"/>
      <c r="AA282" s="23" t="n">
        <f aca="false">YEAR(C282)</f>
        <v>2023</v>
      </c>
    </row>
    <row r="283" customFormat="false" ht="15" hidden="false" customHeight="false" outlineLevel="0" collapsed="false">
      <c r="A283" s="7" t="s">
        <v>1294</v>
      </c>
      <c r="B283" s="7" t="s">
        <v>137</v>
      </c>
      <c r="C283" s="20" t="n">
        <v>45286</v>
      </c>
      <c r="D283" s="20" t="n">
        <v>45313</v>
      </c>
      <c r="E283" s="20"/>
      <c r="F283" s="7" t="s">
        <v>759</v>
      </c>
      <c r="G283" s="7" t="s">
        <v>153</v>
      </c>
      <c r="H283" s="7" t="s">
        <v>242</v>
      </c>
      <c r="I283" s="7" t="s">
        <v>243</v>
      </c>
      <c r="J283" s="7" t="s">
        <v>229</v>
      </c>
      <c r="K283" s="7" t="s">
        <v>241</v>
      </c>
      <c r="L283" s="7" t="s">
        <v>571</v>
      </c>
      <c r="M283" s="7"/>
      <c r="N283" s="16"/>
      <c r="O283" s="7"/>
      <c r="P283" s="22"/>
      <c r="Q283" s="8" t="n">
        <v>285.11</v>
      </c>
      <c r="R283" s="8" t="n">
        <v>-285.11</v>
      </c>
      <c r="S283" s="7" t="s">
        <v>765</v>
      </c>
      <c r="T283" s="7"/>
      <c r="U283" s="7"/>
      <c r="V283" s="20"/>
      <c r="W283" s="7"/>
      <c r="X283" s="7"/>
      <c r="Y283" s="7"/>
      <c r="Z283" s="7"/>
      <c r="AA283" s="23" t="n">
        <f aca="false">YEAR(C283)</f>
        <v>2023</v>
      </c>
    </row>
    <row r="284" customFormat="false" ht="15" hidden="false" customHeight="false" outlineLevel="0" collapsed="false">
      <c r="A284" s="7" t="s">
        <v>1295</v>
      </c>
      <c r="B284" s="7" t="s">
        <v>137</v>
      </c>
      <c r="C284" s="20" t="n">
        <v>45291</v>
      </c>
      <c r="D284" s="20" t="n">
        <v>45291</v>
      </c>
      <c r="E284" s="20"/>
      <c r="F284" s="7" t="s">
        <v>759</v>
      </c>
      <c r="G284" s="7" t="s">
        <v>153</v>
      </c>
      <c r="H284" s="7" t="s">
        <v>246</v>
      </c>
      <c r="I284" s="7" t="s">
        <v>247</v>
      </c>
      <c r="J284" s="7" t="s">
        <v>236</v>
      </c>
      <c r="K284" s="7" t="s">
        <v>189</v>
      </c>
      <c r="L284" s="7" t="s">
        <v>1048</v>
      </c>
      <c r="M284" s="7" t="s">
        <v>556</v>
      </c>
      <c r="N284" s="16"/>
      <c r="O284" s="7"/>
      <c r="P284" s="22"/>
      <c r="Q284" s="8" t="n">
        <v>1089.25</v>
      </c>
      <c r="R284" s="8" t="n">
        <v>-1089.25</v>
      </c>
      <c r="S284" s="7" t="s">
        <v>775</v>
      </c>
      <c r="T284" s="7"/>
      <c r="U284" s="7"/>
      <c r="V284" s="20"/>
      <c r="W284" s="7"/>
      <c r="X284" s="7" t="s">
        <v>784</v>
      </c>
      <c r="Y284" s="7"/>
      <c r="Z284" s="7"/>
      <c r="AA284" s="23" t="n">
        <f aca="false">YEAR(C284)</f>
        <v>2023</v>
      </c>
    </row>
    <row r="285" customFormat="false" ht="15" hidden="false" customHeight="false" outlineLevel="0" collapsed="false">
      <c r="A285" s="7" t="s">
        <v>1296</v>
      </c>
      <c r="B285" s="7" t="s">
        <v>137</v>
      </c>
      <c r="C285" s="20" t="n">
        <v>45291</v>
      </c>
      <c r="D285" s="20" t="n">
        <v>45291</v>
      </c>
      <c r="E285" s="20"/>
      <c r="F285" s="7" t="s">
        <v>759</v>
      </c>
      <c r="G285" s="7" t="s">
        <v>153</v>
      </c>
      <c r="H285" s="7" t="s">
        <v>574</v>
      </c>
      <c r="I285" s="7" t="s">
        <v>364</v>
      </c>
      <c r="J285" s="7" t="s">
        <v>761</v>
      </c>
      <c r="K285" s="7" t="s">
        <v>772</v>
      </c>
      <c r="L285" s="7" t="s">
        <v>575</v>
      </c>
      <c r="M285" s="7" t="s">
        <v>556</v>
      </c>
      <c r="N285" s="16"/>
      <c r="O285" s="7"/>
      <c r="P285" s="22"/>
      <c r="Q285" s="8" t="n">
        <v>43000</v>
      </c>
      <c r="R285" s="8" t="n">
        <v>-43000</v>
      </c>
      <c r="S285" s="7" t="s">
        <v>783</v>
      </c>
      <c r="T285" s="7"/>
      <c r="U285" s="7"/>
      <c r="V285" s="20"/>
      <c r="W285" s="7"/>
      <c r="X285" s="7" t="s">
        <v>784</v>
      </c>
      <c r="Y285" s="7"/>
      <c r="Z285" s="7"/>
      <c r="AA285" s="23" t="n">
        <f aca="false">YEAR(C285)</f>
        <v>2023</v>
      </c>
    </row>
    <row r="286" customFormat="false" ht="15" hidden="false" customHeight="false" outlineLevel="0" collapsed="false">
      <c r="A286" s="7" t="s">
        <v>1297</v>
      </c>
      <c r="B286" s="7" t="s">
        <v>137</v>
      </c>
      <c r="C286" s="20" t="n">
        <v>45291</v>
      </c>
      <c r="D286" s="20" t="n">
        <v>45318</v>
      </c>
      <c r="E286" s="20"/>
      <c r="F286" s="7" t="s">
        <v>759</v>
      </c>
      <c r="G286" s="7" t="s">
        <v>136</v>
      </c>
      <c r="H286" s="7" t="s">
        <v>299</v>
      </c>
      <c r="I286" s="7" t="s">
        <v>298</v>
      </c>
      <c r="J286" s="7" t="s">
        <v>229</v>
      </c>
      <c r="K286" s="7" t="s">
        <v>298</v>
      </c>
      <c r="L286" s="7" t="s">
        <v>1298</v>
      </c>
      <c r="M286" s="7" t="s">
        <v>755</v>
      </c>
      <c r="N286" s="16"/>
      <c r="O286" s="7"/>
      <c r="P286" s="22"/>
      <c r="Q286" s="8" t="n">
        <v>431</v>
      </c>
      <c r="R286" s="8" t="n">
        <v>-431</v>
      </c>
      <c r="S286" s="7" t="s">
        <v>33</v>
      </c>
      <c r="T286" s="7"/>
      <c r="U286" s="7"/>
      <c r="V286" s="20"/>
      <c r="W286" s="7"/>
      <c r="X286" s="7"/>
      <c r="Y286" s="7"/>
      <c r="Z286" s="7"/>
      <c r="AA286" s="23" t="n">
        <f aca="false">YEAR(C286)</f>
        <v>2023</v>
      </c>
    </row>
    <row r="287" customFormat="false" ht="15" hidden="false" customHeight="false" outlineLevel="0" collapsed="false">
      <c r="A287" s="7" t="s">
        <v>1299</v>
      </c>
      <c r="B287" s="7" t="s">
        <v>137</v>
      </c>
      <c r="C287" s="20" t="n">
        <v>45291</v>
      </c>
      <c r="D287" s="20" t="n">
        <v>45422</v>
      </c>
      <c r="E287" s="20"/>
      <c r="F287" s="7" t="s">
        <v>759</v>
      </c>
      <c r="G287" s="7" t="s">
        <v>153</v>
      </c>
      <c r="H287" s="7" t="s">
        <v>299</v>
      </c>
      <c r="I287" s="7" t="s">
        <v>298</v>
      </c>
      <c r="J287" s="7" t="s">
        <v>229</v>
      </c>
      <c r="K287" s="7" t="s">
        <v>298</v>
      </c>
      <c r="L287" s="7" t="s">
        <v>1300</v>
      </c>
      <c r="M287" s="7" t="s">
        <v>633</v>
      </c>
      <c r="N287" s="16"/>
      <c r="O287" s="7"/>
      <c r="P287" s="22"/>
      <c r="Q287" s="8" t="n">
        <v>3390</v>
      </c>
      <c r="R287" s="8" t="n">
        <v>-3390</v>
      </c>
      <c r="S287" s="7" t="s">
        <v>33</v>
      </c>
      <c r="T287" s="7"/>
      <c r="U287" s="7"/>
      <c r="V287" s="20"/>
      <c r="W287" s="7"/>
      <c r="X287" s="7"/>
      <c r="Y287" s="7"/>
      <c r="Z287" s="7"/>
      <c r="AA287" s="23" t="n">
        <f aca="false">YEAR(C287)</f>
        <v>2023</v>
      </c>
    </row>
    <row r="288" customFormat="false" ht="15" hidden="false" customHeight="false" outlineLevel="0" collapsed="false">
      <c r="A288" s="7" t="s">
        <v>1301</v>
      </c>
      <c r="B288" s="7" t="s">
        <v>137</v>
      </c>
      <c r="C288" s="20" t="n">
        <v>45292</v>
      </c>
      <c r="D288" s="20" t="n">
        <v>45292</v>
      </c>
      <c r="E288" s="20"/>
      <c r="F288" s="7" t="s">
        <v>759</v>
      </c>
      <c r="G288" s="7" t="s">
        <v>153</v>
      </c>
      <c r="H288" s="7" t="s">
        <v>545</v>
      </c>
      <c r="I288" s="7" t="s">
        <v>760</v>
      </c>
      <c r="J288" s="7" t="s">
        <v>761</v>
      </c>
      <c r="K288" s="7" t="s">
        <v>762</v>
      </c>
      <c r="L288" s="7" t="s">
        <v>546</v>
      </c>
      <c r="M288" s="7"/>
      <c r="N288" s="16"/>
      <c r="O288" s="7"/>
      <c r="P288" s="22"/>
      <c r="Q288" s="8" t="n">
        <v>4100</v>
      </c>
      <c r="R288" s="8" t="n">
        <v>-4100</v>
      </c>
      <c r="S288" s="7" t="s">
        <v>763</v>
      </c>
      <c r="T288" s="7"/>
      <c r="U288" s="7"/>
      <c r="V288" s="20"/>
      <c r="W288" s="7"/>
      <c r="X288" s="7"/>
      <c r="Y288" s="7"/>
      <c r="Z288" s="7"/>
      <c r="AA288" s="23" t="n">
        <f aca="false">YEAR(C288)</f>
        <v>2024</v>
      </c>
    </row>
    <row r="289" customFormat="false" ht="15" hidden="false" customHeight="false" outlineLevel="0" collapsed="false">
      <c r="A289" s="7" t="s">
        <v>1302</v>
      </c>
      <c r="B289" s="7" t="s">
        <v>137</v>
      </c>
      <c r="C289" s="20" t="n">
        <v>45299</v>
      </c>
      <c r="D289" s="20" t="n">
        <v>45344</v>
      </c>
      <c r="E289" s="20"/>
      <c r="F289" s="7" t="s">
        <v>759</v>
      </c>
      <c r="G289" s="7" t="s">
        <v>153</v>
      </c>
      <c r="H289" s="7" t="s">
        <v>244</v>
      </c>
      <c r="I289" s="7" t="s">
        <v>245</v>
      </c>
      <c r="J289" s="7" t="s">
        <v>229</v>
      </c>
      <c r="K289" s="7" t="s">
        <v>233</v>
      </c>
      <c r="L289" s="7" t="s">
        <v>570</v>
      </c>
      <c r="M289" s="7"/>
      <c r="N289" s="16"/>
      <c r="O289" s="7"/>
      <c r="P289" s="22"/>
      <c r="Q289" s="8" t="n">
        <v>165</v>
      </c>
      <c r="R289" s="8" t="n">
        <v>-165</v>
      </c>
      <c r="S289" s="7" t="s">
        <v>765</v>
      </c>
      <c r="T289" s="7"/>
      <c r="U289" s="7"/>
      <c r="V289" s="20"/>
      <c r="W289" s="7"/>
      <c r="X289" s="7"/>
      <c r="Y289" s="7"/>
      <c r="Z289" s="7"/>
      <c r="AA289" s="23" t="n">
        <f aca="false">YEAR(C289)</f>
        <v>2024</v>
      </c>
    </row>
    <row r="290" customFormat="false" ht="15" hidden="false" customHeight="false" outlineLevel="0" collapsed="false">
      <c r="A290" s="7" t="s">
        <v>1303</v>
      </c>
      <c r="B290" s="7" t="s">
        <v>137</v>
      </c>
      <c r="C290" s="20" t="n">
        <v>45301</v>
      </c>
      <c r="D290" s="20" t="n">
        <v>45301</v>
      </c>
      <c r="E290" s="20"/>
      <c r="F290" s="7" t="s">
        <v>759</v>
      </c>
      <c r="G290" s="7" t="s">
        <v>153</v>
      </c>
      <c r="H290" s="7" t="s">
        <v>237</v>
      </c>
      <c r="I290" s="7" t="s">
        <v>238</v>
      </c>
      <c r="J290" s="7" t="s">
        <v>236</v>
      </c>
      <c r="K290" s="7" t="s">
        <v>189</v>
      </c>
      <c r="L290" s="7" t="s">
        <v>1304</v>
      </c>
      <c r="M290" s="7" t="s">
        <v>768</v>
      </c>
      <c r="N290" s="16"/>
      <c r="O290" s="7"/>
      <c r="P290" s="22"/>
      <c r="Q290" s="8" t="n">
        <v>78.38</v>
      </c>
      <c r="R290" s="8" t="n">
        <v>-78.38</v>
      </c>
      <c r="S290" s="7" t="s">
        <v>744</v>
      </c>
      <c r="T290" s="7"/>
      <c r="U290" s="7"/>
      <c r="V290" s="20"/>
      <c r="W290" s="7"/>
      <c r="X290" s="7" t="s">
        <v>769</v>
      </c>
      <c r="Y290" s="7"/>
      <c r="Z290" s="7"/>
      <c r="AA290" s="23" t="n">
        <f aca="false">YEAR(C290)</f>
        <v>2024</v>
      </c>
    </row>
    <row r="291" customFormat="false" ht="15" hidden="false" customHeight="false" outlineLevel="0" collapsed="false">
      <c r="A291" s="7" t="s">
        <v>1305</v>
      </c>
      <c r="B291" s="7" t="s">
        <v>137</v>
      </c>
      <c r="C291" s="20" t="n">
        <v>45301</v>
      </c>
      <c r="D291" s="20" t="n">
        <v>45301</v>
      </c>
      <c r="E291" s="20"/>
      <c r="F291" s="7" t="s">
        <v>759</v>
      </c>
      <c r="G291" s="7" t="s">
        <v>153</v>
      </c>
      <c r="H291" s="7" t="s">
        <v>559</v>
      </c>
      <c r="I291" s="7" t="s">
        <v>771</v>
      </c>
      <c r="J291" s="7" t="s">
        <v>761</v>
      </c>
      <c r="K291" s="7" t="s">
        <v>772</v>
      </c>
      <c r="L291" s="7" t="s">
        <v>1306</v>
      </c>
      <c r="M291" s="7" t="s">
        <v>768</v>
      </c>
      <c r="N291" s="16"/>
      <c r="O291" s="7"/>
      <c r="P291" s="22"/>
      <c r="Q291" s="8" t="n">
        <v>766.71</v>
      </c>
      <c r="R291" s="8" t="n">
        <v>-766.71</v>
      </c>
      <c r="S291" s="7" t="s">
        <v>744</v>
      </c>
      <c r="T291" s="7"/>
      <c r="U291" s="7"/>
      <c r="V291" s="20"/>
      <c r="W291" s="7"/>
      <c r="X291" s="7" t="s">
        <v>769</v>
      </c>
      <c r="Y291" s="7"/>
      <c r="Z291" s="7"/>
      <c r="AA291" s="23" t="n">
        <f aca="false">YEAR(C291)</f>
        <v>2024</v>
      </c>
    </row>
    <row r="292" customFormat="false" ht="15" hidden="false" customHeight="false" outlineLevel="0" collapsed="false">
      <c r="A292" s="7" t="s">
        <v>1307</v>
      </c>
      <c r="B292" s="7" t="s">
        <v>137</v>
      </c>
      <c r="C292" s="20" t="n">
        <v>45303</v>
      </c>
      <c r="D292" s="20" t="n">
        <v>45303</v>
      </c>
      <c r="E292" s="20"/>
      <c r="F292" s="7" t="s">
        <v>759</v>
      </c>
      <c r="G292" s="7" t="s">
        <v>141</v>
      </c>
      <c r="H292" s="7" t="s">
        <v>287</v>
      </c>
      <c r="I292" s="7" t="s">
        <v>288</v>
      </c>
      <c r="J292" s="7" t="s">
        <v>248</v>
      </c>
      <c r="K292" s="7" t="s">
        <v>286</v>
      </c>
      <c r="L292" s="7" t="s">
        <v>1308</v>
      </c>
      <c r="M292" s="7" t="s">
        <v>551</v>
      </c>
      <c r="N292" s="16"/>
      <c r="O292" s="7"/>
      <c r="P292" s="22"/>
      <c r="Q292" s="8" t="n">
        <v>8312.4</v>
      </c>
      <c r="R292" s="8" t="n">
        <v>8312.4</v>
      </c>
      <c r="S292" s="7" t="s">
        <v>33</v>
      </c>
      <c r="T292" s="7"/>
      <c r="U292" s="7"/>
      <c r="V292" s="20"/>
      <c r="W292" s="7"/>
      <c r="X292" s="7"/>
      <c r="Y292" s="7"/>
      <c r="Z292" s="7"/>
      <c r="AA292" s="23" t="n">
        <f aca="false">YEAR(C292)</f>
        <v>2024</v>
      </c>
    </row>
    <row r="293" customFormat="false" ht="15" hidden="false" customHeight="false" outlineLevel="0" collapsed="false">
      <c r="A293" s="7" t="s">
        <v>1309</v>
      </c>
      <c r="B293" s="7" t="s">
        <v>137</v>
      </c>
      <c r="C293" s="20" t="n">
        <v>45303</v>
      </c>
      <c r="D293" s="20" t="n">
        <v>45303</v>
      </c>
      <c r="E293" s="20"/>
      <c r="F293" s="7" t="s">
        <v>759</v>
      </c>
      <c r="G293" s="7" t="s">
        <v>153</v>
      </c>
      <c r="H293" s="7" t="s">
        <v>240</v>
      </c>
      <c r="I293" s="7" t="s">
        <v>239</v>
      </c>
      <c r="J293" s="7" t="s">
        <v>229</v>
      </c>
      <c r="K293" s="7" t="s">
        <v>239</v>
      </c>
      <c r="L293" s="7" t="s">
        <v>548</v>
      </c>
      <c r="M293" s="7" t="s">
        <v>547</v>
      </c>
      <c r="N293" s="16"/>
      <c r="O293" s="7"/>
      <c r="P293" s="22"/>
      <c r="Q293" s="8" t="n">
        <v>397.05</v>
      </c>
      <c r="R293" s="8" t="n">
        <v>-397.05</v>
      </c>
      <c r="S293" s="7" t="s">
        <v>775</v>
      </c>
      <c r="T293" s="7"/>
      <c r="U293" s="7"/>
      <c r="V293" s="20"/>
      <c r="W293" s="7"/>
      <c r="X293" s="7"/>
      <c r="Y293" s="7"/>
      <c r="Z293" s="7"/>
      <c r="AA293" s="23" t="n">
        <f aca="false">YEAR(C293)</f>
        <v>2024</v>
      </c>
    </row>
    <row r="294" customFormat="false" ht="15" hidden="false" customHeight="false" outlineLevel="0" collapsed="false">
      <c r="A294" s="7" t="s">
        <v>1310</v>
      </c>
      <c r="B294" s="7" t="s">
        <v>137</v>
      </c>
      <c r="C294" s="20" t="n">
        <v>45305</v>
      </c>
      <c r="D294" s="20" t="n">
        <v>45305</v>
      </c>
      <c r="E294" s="20"/>
      <c r="F294" s="7" t="s">
        <v>759</v>
      </c>
      <c r="G294" s="7" t="s">
        <v>149</v>
      </c>
      <c r="H294" s="7" t="s">
        <v>237</v>
      </c>
      <c r="I294" s="7" t="s">
        <v>238</v>
      </c>
      <c r="J294" s="7" t="s">
        <v>236</v>
      </c>
      <c r="K294" s="7" t="s">
        <v>189</v>
      </c>
      <c r="L294" s="7" t="s">
        <v>1311</v>
      </c>
      <c r="M294" s="7" t="s">
        <v>778</v>
      </c>
      <c r="N294" s="16"/>
      <c r="O294" s="7"/>
      <c r="P294" s="22"/>
      <c r="Q294" s="8" t="n">
        <v>11256.43</v>
      </c>
      <c r="R294" s="8" t="n">
        <v>-11256.43</v>
      </c>
      <c r="S294" s="7" t="s">
        <v>744</v>
      </c>
      <c r="T294" s="7"/>
      <c r="U294" s="7"/>
      <c r="V294" s="20"/>
      <c r="W294" s="7"/>
      <c r="X294" s="7" t="s">
        <v>779</v>
      </c>
      <c r="Y294" s="7"/>
      <c r="Z294" s="7"/>
      <c r="AA294" s="23" t="n">
        <f aca="false">YEAR(C294)</f>
        <v>2024</v>
      </c>
    </row>
    <row r="295" customFormat="false" ht="15" hidden="false" customHeight="false" outlineLevel="0" collapsed="false">
      <c r="A295" s="7" t="s">
        <v>1312</v>
      </c>
      <c r="B295" s="7" t="s">
        <v>137</v>
      </c>
      <c r="C295" s="20" t="n">
        <v>45305</v>
      </c>
      <c r="D295" s="20" t="n">
        <v>45305</v>
      </c>
      <c r="E295" s="20"/>
      <c r="F295" s="7" t="s">
        <v>759</v>
      </c>
      <c r="G295" s="7" t="s">
        <v>149</v>
      </c>
      <c r="H295" s="7" t="s">
        <v>559</v>
      </c>
      <c r="I295" s="7" t="s">
        <v>771</v>
      </c>
      <c r="J295" s="7" t="s">
        <v>761</v>
      </c>
      <c r="K295" s="7" t="s">
        <v>772</v>
      </c>
      <c r="L295" s="7" t="s">
        <v>1313</v>
      </c>
      <c r="M295" s="7" t="s">
        <v>778</v>
      </c>
      <c r="N295" s="16"/>
      <c r="O295" s="7"/>
      <c r="P295" s="22"/>
      <c r="Q295" s="8" t="n">
        <v>33858.41</v>
      </c>
      <c r="R295" s="8" t="n">
        <v>-33858.41</v>
      </c>
      <c r="S295" s="7" t="s">
        <v>744</v>
      </c>
      <c r="T295" s="7"/>
      <c r="U295" s="7"/>
      <c r="V295" s="20"/>
      <c r="W295" s="7"/>
      <c r="X295" s="7" t="s">
        <v>779</v>
      </c>
      <c r="Y295" s="7"/>
      <c r="Z295" s="7"/>
      <c r="AA295" s="23" t="n">
        <f aca="false">YEAR(C295)</f>
        <v>2024</v>
      </c>
    </row>
    <row r="296" customFormat="false" ht="15" hidden="false" customHeight="false" outlineLevel="0" collapsed="false">
      <c r="A296" s="7" t="s">
        <v>1314</v>
      </c>
      <c r="B296" s="7" t="s">
        <v>137</v>
      </c>
      <c r="C296" s="20" t="n">
        <v>45305</v>
      </c>
      <c r="D296" s="20" t="n">
        <v>45305</v>
      </c>
      <c r="E296" s="20"/>
      <c r="F296" s="7" t="s">
        <v>759</v>
      </c>
      <c r="G296" s="7" t="s">
        <v>153</v>
      </c>
      <c r="H296" s="7" t="s">
        <v>561</v>
      </c>
      <c r="I296" s="7" t="s">
        <v>363</v>
      </c>
      <c r="J296" s="7" t="s">
        <v>761</v>
      </c>
      <c r="K296" s="7" t="s">
        <v>772</v>
      </c>
      <c r="L296" s="7" t="s">
        <v>562</v>
      </c>
      <c r="M296" s="7" t="s">
        <v>556</v>
      </c>
      <c r="N296" s="16"/>
      <c r="O296" s="7"/>
      <c r="P296" s="22"/>
      <c r="Q296" s="8" t="n">
        <v>34000</v>
      </c>
      <c r="R296" s="8" t="n">
        <v>34000</v>
      </c>
      <c r="S296" s="7" t="s">
        <v>783</v>
      </c>
      <c r="T296" s="7"/>
      <c r="U296" s="7"/>
      <c r="V296" s="20"/>
      <c r="W296" s="7"/>
      <c r="X296" s="7" t="s">
        <v>784</v>
      </c>
      <c r="Y296" s="7"/>
      <c r="Z296" s="7"/>
      <c r="AA296" s="23" t="n">
        <f aca="false">YEAR(C296)</f>
        <v>2024</v>
      </c>
    </row>
    <row r="297" customFormat="false" ht="15" hidden="false" customHeight="false" outlineLevel="0" collapsed="false">
      <c r="A297" s="7" t="s">
        <v>1315</v>
      </c>
      <c r="B297" s="7" t="s">
        <v>137</v>
      </c>
      <c r="C297" s="20" t="n">
        <v>45306</v>
      </c>
      <c r="D297" s="20" t="n">
        <v>45306</v>
      </c>
      <c r="E297" s="20"/>
      <c r="F297" s="7" t="s">
        <v>759</v>
      </c>
      <c r="G297" s="7" t="s">
        <v>153</v>
      </c>
      <c r="H297" s="7" t="s">
        <v>786</v>
      </c>
      <c r="I297" s="7" t="s">
        <v>787</v>
      </c>
      <c r="J297" s="7" t="s">
        <v>761</v>
      </c>
      <c r="K297" s="7" t="s">
        <v>762</v>
      </c>
      <c r="L297" s="7" t="s">
        <v>788</v>
      </c>
      <c r="M297" s="7"/>
      <c r="N297" s="16"/>
      <c r="O297" s="7"/>
      <c r="P297" s="22"/>
      <c r="Q297" s="8" t="n">
        <v>3500</v>
      </c>
      <c r="R297" s="8" t="n">
        <v>-3500</v>
      </c>
      <c r="S297" s="7" t="s">
        <v>789</v>
      </c>
      <c r="T297" s="7"/>
      <c r="U297" s="7"/>
      <c r="V297" s="20"/>
      <c r="W297" s="7"/>
      <c r="X297" s="7"/>
      <c r="Y297" s="7"/>
      <c r="Z297" s="7"/>
      <c r="AA297" s="23" t="n">
        <f aca="false">YEAR(C297)</f>
        <v>2024</v>
      </c>
    </row>
    <row r="298" customFormat="false" ht="15" hidden="false" customHeight="false" outlineLevel="0" collapsed="false">
      <c r="A298" s="7" t="s">
        <v>1316</v>
      </c>
      <c r="B298" s="7" t="s">
        <v>137</v>
      </c>
      <c r="C298" s="20" t="n">
        <v>45309</v>
      </c>
      <c r="D298" s="20" t="n">
        <v>45309</v>
      </c>
      <c r="E298" s="20"/>
      <c r="F298" s="7" t="s">
        <v>759</v>
      </c>
      <c r="G298" s="7" t="s">
        <v>149</v>
      </c>
      <c r="H298" s="7" t="s">
        <v>231</v>
      </c>
      <c r="I298" s="7" t="s">
        <v>232</v>
      </c>
      <c r="J298" s="7" t="s">
        <v>229</v>
      </c>
      <c r="K298" s="7" t="s">
        <v>230</v>
      </c>
      <c r="L298" s="7" t="s">
        <v>791</v>
      </c>
      <c r="M298" s="7" t="s">
        <v>792</v>
      </c>
      <c r="N298" s="16"/>
      <c r="O298" s="7"/>
      <c r="P298" s="22"/>
      <c r="Q298" s="8" t="n">
        <v>4150</v>
      </c>
      <c r="R298" s="8" t="n">
        <v>-4150</v>
      </c>
      <c r="S298" s="7" t="s">
        <v>33</v>
      </c>
      <c r="T298" s="7"/>
      <c r="U298" s="7"/>
      <c r="V298" s="20"/>
      <c r="W298" s="7"/>
      <c r="X298" s="7"/>
      <c r="Y298" s="7"/>
      <c r="Z298" s="7"/>
      <c r="AA298" s="23" t="n">
        <f aca="false">YEAR(C298)</f>
        <v>2024</v>
      </c>
    </row>
    <row r="299" customFormat="false" ht="15" hidden="false" customHeight="false" outlineLevel="0" collapsed="false">
      <c r="A299" s="7" t="s">
        <v>1317</v>
      </c>
      <c r="B299" s="7" t="s">
        <v>137</v>
      </c>
      <c r="C299" s="20" t="n">
        <v>45309</v>
      </c>
      <c r="D299" s="20" t="n">
        <v>45309</v>
      </c>
      <c r="E299" s="20"/>
      <c r="F299" s="7" t="s">
        <v>759</v>
      </c>
      <c r="G299" s="7" t="s">
        <v>153</v>
      </c>
      <c r="H299" s="7" t="s">
        <v>231</v>
      </c>
      <c r="I299" s="7" t="s">
        <v>232</v>
      </c>
      <c r="J299" s="7" t="s">
        <v>229</v>
      </c>
      <c r="K299" s="7" t="s">
        <v>230</v>
      </c>
      <c r="L299" s="7" t="s">
        <v>794</v>
      </c>
      <c r="M299" s="7" t="s">
        <v>792</v>
      </c>
      <c r="N299" s="16"/>
      <c r="O299" s="7"/>
      <c r="P299" s="22"/>
      <c r="Q299" s="8" t="n">
        <v>8540</v>
      </c>
      <c r="R299" s="8" t="n">
        <v>-8540</v>
      </c>
      <c r="S299" s="7" t="s">
        <v>33</v>
      </c>
      <c r="T299" s="7"/>
      <c r="U299" s="7"/>
      <c r="V299" s="20"/>
      <c r="W299" s="7"/>
      <c r="X299" s="7"/>
      <c r="Y299" s="7"/>
      <c r="Z299" s="7"/>
      <c r="AA299" s="23" t="n">
        <f aca="false">YEAR(C299)</f>
        <v>2024</v>
      </c>
    </row>
    <row r="300" customFormat="false" ht="15" hidden="false" customHeight="false" outlineLevel="0" collapsed="false">
      <c r="A300" s="7" t="s">
        <v>1318</v>
      </c>
      <c r="B300" s="7" t="s">
        <v>137</v>
      </c>
      <c r="C300" s="20" t="n">
        <v>45311</v>
      </c>
      <c r="D300" s="20" t="n">
        <v>45345</v>
      </c>
      <c r="E300" s="20"/>
      <c r="F300" s="7" t="s">
        <v>759</v>
      </c>
      <c r="G300" s="7" t="s">
        <v>136</v>
      </c>
      <c r="H300" s="7" t="s">
        <v>223</v>
      </c>
      <c r="I300" s="7" t="s">
        <v>224</v>
      </c>
      <c r="J300" s="7" t="s">
        <v>221</v>
      </c>
      <c r="K300" s="7" t="s">
        <v>222</v>
      </c>
      <c r="L300" s="7" t="s">
        <v>800</v>
      </c>
      <c r="M300" s="7" t="s">
        <v>589</v>
      </c>
      <c r="N300" s="16" t="n">
        <v>96</v>
      </c>
      <c r="O300" s="7" t="s">
        <v>801</v>
      </c>
      <c r="P300" s="22" t="n">
        <v>14.42</v>
      </c>
      <c r="Q300" s="8" t="n">
        <v>1384.32</v>
      </c>
      <c r="R300" s="8" t="n">
        <v>-1384.32</v>
      </c>
      <c r="S300" s="7" t="s">
        <v>751</v>
      </c>
      <c r="T300" s="7"/>
      <c r="U300" s="7" t="s">
        <v>1319</v>
      </c>
      <c r="V300" s="20" t="n">
        <v>45341</v>
      </c>
      <c r="W300" s="7"/>
      <c r="X300" s="7"/>
      <c r="Y300" s="7" t="s">
        <v>721</v>
      </c>
      <c r="Z300" s="7"/>
      <c r="AA300" s="23" t="n">
        <f aca="false">YEAR(C300)</f>
        <v>2024</v>
      </c>
    </row>
    <row r="301" customFormat="false" ht="15" hidden="false" customHeight="false" outlineLevel="0" collapsed="false">
      <c r="A301" s="7" t="s">
        <v>1320</v>
      </c>
      <c r="B301" s="7" t="s">
        <v>137</v>
      </c>
      <c r="C301" s="20" t="n">
        <v>45314</v>
      </c>
      <c r="D301" s="20" t="n">
        <v>45314</v>
      </c>
      <c r="E301" s="20"/>
      <c r="F301" s="7" t="s">
        <v>759</v>
      </c>
      <c r="G301" s="7" t="s">
        <v>153</v>
      </c>
      <c r="H301" s="7" t="s">
        <v>561</v>
      </c>
      <c r="I301" s="7" t="s">
        <v>363</v>
      </c>
      <c r="J301" s="7" t="s">
        <v>761</v>
      </c>
      <c r="K301" s="7" t="s">
        <v>772</v>
      </c>
      <c r="L301" s="7" t="s">
        <v>562</v>
      </c>
      <c r="M301" s="7" t="s">
        <v>556</v>
      </c>
      <c r="N301" s="16"/>
      <c r="O301" s="7"/>
      <c r="P301" s="22"/>
      <c r="Q301" s="8" t="n">
        <v>13000</v>
      </c>
      <c r="R301" s="8" t="n">
        <v>13000</v>
      </c>
      <c r="S301" s="7" t="s">
        <v>783</v>
      </c>
      <c r="T301" s="7"/>
      <c r="U301" s="7"/>
      <c r="V301" s="20"/>
      <c r="W301" s="7"/>
      <c r="X301" s="7" t="s">
        <v>784</v>
      </c>
      <c r="Y301" s="7"/>
      <c r="Z301" s="7"/>
      <c r="AA301" s="23" t="n">
        <f aca="false">YEAR(C301)</f>
        <v>2024</v>
      </c>
    </row>
    <row r="302" customFormat="false" ht="15" hidden="false" customHeight="false" outlineLevel="0" collapsed="false">
      <c r="A302" s="7" t="s">
        <v>1321</v>
      </c>
      <c r="B302" s="7" t="s">
        <v>137</v>
      </c>
      <c r="C302" s="20" t="n">
        <v>45317</v>
      </c>
      <c r="D302" s="20" t="n">
        <v>45317</v>
      </c>
      <c r="E302" s="20"/>
      <c r="F302" s="7" t="s">
        <v>759</v>
      </c>
      <c r="G302" s="7" t="s">
        <v>149</v>
      </c>
      <c r="H302" s="7" t="s">
        <v>234</v>
      </c>
      <c r="I302" s="7" t="s">
        <v>235</v>
      </c>
      <c r="J302" s="7" t="s">
        <v>229</v>
      </c>
      <c r="K302" s="7" t="s">
        <v>233</v>
      </c>
      <c r="L302" s="7" t="s">
        <v>804</v>
      </c>
      <c r="M302" s="7" t="s">
        <v>805</v>
      </c>
      <c r="N302" s="16"/>
      <c r="O302" s="7"/>
      <c r="P302" s="22"/>
      <c r="Q302" s="8" t="n">
        <v>640</v>
      </c>
      <c r="R302" s="8" t="n">
        <v>-640</v>
      </c>
      <c r="S302" s="7" t="s">
        <v>33</v>
      </c>
      <c r="T302" s="7"/>
      <c r="U302" s="7"/>
      <c r="V302" s="20"/>
      <c r="W302" s="7"/>
      <c r="X302" s="7"/>
      <c r="Y302" s="7"/>
      <c r="Z302" s="7"/>
      <c r="AA302" s="23" t="n">
        <f aca="false">YEAR(C302)</f>
        <v>2024</v>
      </c>
    </row>
    <row r="303" customFormat="false" ht="15" hidden="false" customHeight="false" outlineLevel="0" collapsed="false">
      <c r="A303" s="7" t="s">
        <v>1322</v>
      </c>
      <c r="B303" s="7" t="s">
        <v>137</v>
      </c>
      <c r="C303" s="20" t="n">
        <v>45317</v>
      </c>
      <c r="D303" s="20" t="n">
        <v>45344</v>
      </c>
      <c r="E303" s="20"/>
      <c r="F303" s="7" t="s">
        <v>759</v>
      </c>
      <c r="G303" s="7" t="s">
        <v>153</v>
      </c>
      <c r="H303" s="7" t="s">
        <v>242</v>
      </c>
      <c r="I303" s="7" t="s">
        <v>243</v>
      </c>
      <c r="J303" s="7" t="s">
        <v>229</v>
      </c>
      <c r="K303" s="7" t="s">
        <v>241</v>
      </c>
      <c r="L303" s="7" t="s">
        <v>571</v>
      </c>
      <c r="M303" s="7"/>
      <c r="N303" s="16"/>
      <c r="O303" s="7"/>
      <c r="P303" s="22"/>
      <c r="Q303" s="8" t="n">
        <v>299.67</v>
      </c>
      <c r="R303" s="8" t="n">
        <v>-299.67</v>
      </c>
      <c r="S303" s="7" t="s">
        <v>765</v>
      </c>
      <c r="T303" s="7"/>
      <c r="U303" s="7"/>
      <c r="V303" s="20"/>
      <c r="W303" s="7"/>
      <c r="X303" s="7"/>
      <c r="Y303" s="7"/>
      <c r="Z303" s="7"/>
      <c r="AA303" s="23" t="n">
        <f aca="false">YEAR(C303)</f>
        <v>2024</v>
      </c>
    </row>
    <row r="304" customFormat="false" ht="15" hidden="false" customHeight="false" outlineLevel="0" collapsed="false">
      <c r="A304" s="7" t="s">
        <v>1323</v>
      </c>
      <c r="B304" s="7" t="s">
        <v>137</v>
      </c>
      <c r="C304" s="20" t="n">
        <v>45322</v>
      </c>
      <c r="D304" s="20" t="n">
        <v>45322</v>
      </c>
      <c r="E304" s="20"/>
      <c r="F304" s="7" t="s">
        <v>759</v>
      </c>
      <c r="G304" s="7" t="s">
        <v>153</v>
      </c>
      <c r="H304" s="7" t="s">
        <v>246</v>
      </c>
      <c r="I304" s="7" t="s">
        <v>247</v>
      </c>
      <c r="J304" s="7" t="s">
        <v>236</v>
      </c>
      <c r="K304" s="7" t="s">
        <v>189</v>
      </c>
      <c r="L304" s="7" t="s">
        <v>1048</v>
      </c>
      <c r="M304" s="7" t="s">
        <v>556</v>
      </c>
      <c r="N304" s="16"/>
      <c r="O304" s="7"/>
      <c r="P304" s="22"/>
      <c r="Q304" s="8" t="n">
        <v>932.04</v>
      </c>
      <c r="R304" s="8" t="n">
        <v>-932.04</v>
      </c>
      <c r="S304" s="7" t="s">
        <v>775</v>
      </c>
      <c r="T304" s="7"/>
      <c r="U304" s="7"/>
      <c r="V304" s="20"/>
      <c r="W304" s="7"/>
      <c r="X304" s="7" t="s">
        <v>784</v>
      </c>
      <c r="Y304" s="7"/>
      <c r="Z304" s="7"/>
      <c r="AA304" s="23" t="n">
        <f aca="false">YEAR(C304)</f>
        <v>2024</v>
      </c>
    </row>
    <row r="305" customFormat="false" ht="15" hidden="false" customHeight="false" outlineLevel="0" collapsed="false">
      <c r="A305" s="7" t="s">
        <v>1324</v>
      </c>
      <c r="B305" s="7" t="s">
        <v>137</v>
      </c>
      <c r="C305" s="20" t="n">
        <v>45323</v>
      </c>
      <c r="D305" s="20" t="n">
        <v>45323</v>
      </c>
      <c r="E305" s="20"/>
      <c r="F305" s="7" t="s">
        <v>759</v>
      </c>
      <c r="G305" s="7" t="s">
        <v>153</v>
      </c>
      <c r="H305" s="7" t="s">
        <v>545</v>
      </c>
      <c r="I305" s="7" t="s">
        <v>760</v>
      </c>
      <c r="J305" s="7" t="s">
        <v>761</v>
      </c>
      <c r="K305" s="7" t="s">
        <v>762</v>
      </c>
      <c r="L305" s="7" t="s">
        <v>546</v>
      </c>
      <c r="M305" s="7"/>
      <c r="N305" s="16"/>
      <c r="O305" s="7"/>
      <c r="P305" s="22"/>
      <c r="Q305" s="8" t="n">
        <v>4100</v>
      </c>
      <c r="R305" s="8" t="n">
        <v>-4100</v>
      </c>
      <c r="S305" s="7" t="s">
        <v>763</v>
      </c>
      <c r="T305" s="7"/>
      <c r="U305" s="7"/>
      <c r="V305" s="20"/>
      <c r="W305" s="7"/>
      <c r="X305" s="7"/>
      <c r="Y305" s="7"/>
      <c r="Z305" s="7"/>
      <c r="AA305" s="23" t="n">
        <f aca="false">YEAR(C305)</f>
        <v>2024</v>
      </c>
    </row>
    <row r="306" customFormat="false" ht="15" hidden="false" customHeight="false" outlineLevel="0" collapsed="false">
      <c r="A306" s="7" t="s">
        <v>1325</v>
      </c>
      <c r="B306" s="7" t="s">
        <v>137</v>
      </c>
      <c r="C306" s="20" t="n">
        <v>45330</v>
      </c>
      <c r="D306" s="20" t="n">
        <v>45373</v>
      </c>
      <c r="E306" s="20"/>
      <c r="F306" s="7" t="s">
        <v>759</v>
      </c>
      <c r="G306" s="7" t="s">
        <v>153</v>
      </c>
      <c r="H306" s="7" t="s">
        <v>244</v>
      </c>
      <c r="I306" s="7" t="s">
        <v>245</v>
      </c>
      <c r="J306" s="7" t="s">
        <v>229</v>
      </c>
      <c r="K306" s="7" t="s">
        <v>233</v>
      </c>
      <c r="L306" s="7" t="s">
        <v>570</v>
      </c>
      <c r="M306" s="7"/>
      <c r="N306" s="16"/>
      <c r="O306" s="7"/>
      <c r="P306" s="22"/>
      <c r="Q306" s="8" t="n">
        <v>165</v>
      </c>
      <c r="R306" s="8" t="n">
        <v>-165</v>
      </c>
      <c r="S306" s="7" t="s">
        <v>765</v>
      </c>
      <c r="T306" s="7"/>
      <c r="U306" s="7"/>
      <c r="V306" s="20"/>
      <c r="W306" s="7"/>
      <c r="X306" s="7"/>
      <c r="Y306" s="7"/>
      <c r="Z306" s="7"/>
      <c r="AA306" s="23" t="n">
        <f aca="false">YEAR(C306)</f>
        <v>2024</v>
      </c>
    </row>
    <row r="307" customFormat="false" ht="15" hidden="false" customHeight="false" outlineLevel="0" collapsed="false">
      <c r="A307" s="7" t="s">
        <v>1326</v>
      </c>
      <c r="B307" s="7" t="s">
        <v>137</v>
      </c>
      <c r="C307" s="20" t="n">
        <v>45332</v>
      </c>
      <c r="D307" s="20" t="n">
        <v>45332</v>
      </c>
      <c r="E307" s="20"/>
      <c r="F307" s="7" t="s">
        <v>759</v>
      </c>
      <c r="G307" s="7" t="s">
        <v>153</v>
      </c>
      <c r="H307" s="7" t="s">
        <v>237</v>
      </c>
      <c r="I307" s="7" t="s">
        <v>238</v>
      </c>
      <c r="J307" s="7" t="s">
        <v>236</v>
      </c>
      <c r="K307" s="7" t="s">
        <v>189</v>
      </c>
      <c r="L307" s="7" t="s">
        <v>1327</v>
      </c>
      <c r="M307" s="7" t="s">
        <v>768</v>
      </c>
      <c r="N307" s="16"/>
      <c r="O307" s="7"/>
      <c r="P307" s="22"/>
      <c r="Q307" s="8" t="n">
        <v>75.89</v>
      </c>
      <c r="R307" s="8" t="n">
        <v>-75.89</v>
      </c>
      <c r="S307" s="7" t="s">
        <v>744</v>
      </c>
      <c r="T307" s="7"/>
      <c r="U307" s="7"/>
      <c r="V307" s="20"/>
      <c r="W307" s="7"/>
      <c r="X307" s="7" t="s">
        <v>769</v>
      </c>
      <c r="Y307" s="7"/>
      <c r="Z307" s="7"/>
      <c r="AA307" s="23" t="n">
        <f aca="false">YEAR(C307)</f>
        <v>2024</v>
      </c>
    </row>
    <row r="308" customFormat="false" ht="15" hidden="false" customHeight="false" outlineLevel="0" collapsed="false">
      <c r="A308" s="7" t="s">
        <v>1328</v>
      </c>
      <c r="B308" s="7" t="s">
        <v>137</v>
      </c>
      <c r="C308" s="20" t="n">
        <v>45332</v>
      </c>
      <c r="D308" s="20" t="n">
        <v>45332</v>
      </c>
      <c r="E308" s="20"/>
      <c r="F308" s="7" t="s">
        <v>759</v>
      </c>
      <c r="G308" s="7" t="s">
        <v>153</v>
      </c>
      <c r="H308" s="7" t="s">
        <v>559</v>
      </c>
      <c r="I308" s="7" t="s">
        <v>771</v>
      </c>
      <c r="J308" s="7" t="s">
        <v>761</v>
      </c>
      <c r="K308" s="7" t="s">
        <v>772</v>
      </c>
      <c r="L308" s="7" t="s">
        <v>1329</v>
      </c>
      <c r="M308" s="7" t="s">
        <v>768</v>
      </c>
      <c r="N308" s="16"/>
      <c r="O308" s="7"/>
      <c r="P308" s="22"/>
      <c r="Q308" s="8" t="n">
        <v>769.2</v>
      </c>
      <c r="R308" s="8" t="n">
        <v>-769.2</v>
      </c>
      <c r="S308" s="7" t="s">
        <v>744</v>
      </c>
      <c r="T308" s="7"/>
      <c r="U308" s="7"/>
      <c r="V308" s="20"/>
      <c r="W308" s="7"/>
      <c r="X308" s="7" t="s">
        <v>769</v>
      </c>
      <c r="Y308" s="7"/>
      <c r="Z308" s="7"/>
      <c r="AA308" s="23" t="n">
        <f aca="false">YEAR(C308)</f>
        <v>2024</v>
      </c>
    </row>
    <row r="309" customFormat="false" ht="15" hidden="false" customHeight="false" outlineLevel="0" collapsed="false">
      <c r="A309" s="7" t="s">
        <v>1330</v>
      </c>
      <c r="B309" s="7" t="s">
        <v>137</v>
      </c>
      <c r="C309" s="20" t="n">
        <v>45334</v>
      </c>
      <c r="D309" s="20" t="n">
        <v>45334</v>
      </c>
      <c r="E309" s="20"/>
      <c r="F309" s="7" t="s">
        <v>759</v>
      </c>
      <c r="G309" s="7" t="s">
        <v>153</v>
      </c>
      <c r="H309" s="7" t="s">
        <v>240</v>
      </c>
      <c r="I309" s="7" t="s">
        <v>239</v>
      </c>
      <c r="J309" s="7" t="s">
        <v>229</v>
      </c>
      <c r="K309" s="7" t="s">
        <v>239</v>
      </c>
      <c r="L309" s="7" t="s">
        <v>548</v>
      </c>
      <c r="M309" s="7" t="s">
        <v>547</v>
      </c>
      <c r="N309" s="16"/>
      <c r="O309" s="7"/>
      <c r="P309" s="22"/>
      <c r="Q309" s="8" t="n">
        <v>469.5</v>
      </c>
      <c r="R309" s="8" t="n">
        <v>-469.5</v>
      </c>
      <c r="S309" s="7" t="s">
        <v>775</v>
      </c>
      <c r="T309" s="7"/>
      <c r="U309" s="7"/>
      <c r="V309" s="20"/>
      <c r="W309" s="7"/>
      <c r="X309" s="7"/>
      <c r="Y309" s="7"/>
      <c r="Z309" s="7"/>
      <c r="AA309" s="23" t="n">
        <f aca="false">YEAR(C309)</f>
        <v>2024</v>
      </c>
    </row>
    <row r="310" customFormat="false" ht="15" hidden="false" customHeight="false" outlineLevel="0" collapsed="false">
      <c r="A310" s="7" t="s">
        <v>1331</v>
      </c>
      <c r="B310" s="7" t="s">
        <v>137</v>
      </c>
      <c r="C310" s="20" t="n">
        <v>45343</v>
      </c>
      <c r="D310" s="20" t="n">
        <v>45343</v>
      </c>
      <c r="E310" s="20"/>
      <c r="F310" s="7" t="s">
        <v>759</v>
      </c>
      <c r="G310" s="7" t="s">
        <v>136</v>
      </c>
      <c r="H310" s="7" t="s">
        <v>287</v>
      </c>
      <c r="I310" s="7" t="s">
        <v>288</v>
      </c>
      <c r="J310" s="7" t="s">
        <v>248</v>
      </c>
      <c r="K310" s="7" t="s">
        <v>286</v>
      </c>
      <c r="L310" s="7" t="s">
        <v>1332</v>
      </c>
      <c r="M310" s="7" t="s">
        <v>551</v>
      </c>
      <c r="N310" s="16"/>
      <c r="O310" s="7"/>
      <c r="P310" s="22"/>
      <c r="Q310" s="8" t="n">
        <v>3609.6</v>
      </c>
      <c r="R310" s="8" t="n">
        <v>3609.6</v>
      </c>
      <c r="S310" s="7" t="s">
        <v>33</v>
      </c>
      <c r="T310" s="7"/>
      <c r="U310" s="7"/>
      <c r="V310" s="20"/>
      <c r="W310" s="7"/>
      <c r="X310" s="7"/>
      <c r="Y310" s="7"/>
      <c r="Z310" s="7"/>
      <c r="AA310" s="23" t="n">
        <f aca="false">YEAR(C310)</f>
        <v>2024</v>
      </c>
    </row>
    <row r="311" customFormat="false" ht="15" hidden="false" customHeight="false" outlineLevel="0" collapsed="false">
      <c r="A311" s="7" t="s">
        <v>1333</v>
      </c>
      <c r="B311" s="7" t="s">
        <v>137</v>
      </c>
      <c r="C311" s="20" t="n">
        <v>45348</v>
      </c>
      <c r="D311" s="20" t="n">
        <v>45373</v>
      </c>
      <c r="E311" s="20"/>
      <c r="F311" s="7" t="s">
        <v>759</v>
      </c>
      <c r="G311" s="7" t="s">
        <v>153</v>
      </c>
      <c r="H311" s="7" t="s">
        <v>242</v>
      </c>
      <c r="I311" s="7" t="s">
        <v>243</v>
      </c>
      <c r="J311" s="7" t="s">
        <v>229</v>
      </c>
      <c r="K311" s="7" t="s">
        <v>241</v>
      </c>
      <c r="L311" s="7" t="s">
        <v>571</v>
      </c>
      <c r="M311" s="7"/>
      <c r="N311" s="16"/>
      <c r="O311" s="7"/>
      <c r="P311" s="22"/>
      <c r="Q311" s="8" t="n">
        <v>342.66</v>
      </c>
      <c r="R311" s="8" t="n">
        <v>-342.66</v>
      </c>
      <c r="S311" s="7" t="s">
        <v>765</v>
      </c>
      <c r="T311" s="7"/>
      <c r="U311" s="7"/>
      <c r="V311" s="20"/>
      <c r="W311" s="7"/>
      <c r="X311" s="7"/>
      <c r="Y311" s="7"/>
      <c r="Z311" s="7"/>
      <c r="AA311" s="23" t="n">
        <f aca="false">YEAR(C311)</f>
        <v>2024</v>
      </c>
    </row>
    <row r="312" customFormat="false" ht="15" hidden="false" customHeight="false" outlineLevel="0" collapsed="false">
      <c r="A312" s="7" t="s">
        <v>1334</v>
      </c>
      <c r="B312" s="7" t="s">
        <v>137</v>
      </c>
      <c r="C312" s="20" t="n">
        <v>45349</v>
      </c>
      <c r="D312" s="20" t="n">
        <v>45349</v>
      </c>
      <c r="E312" s="20"/>
      <c r="F312" s="7" t="s">
        <v>759</v>
      </c>
      <c r="G312" s="7" t="s">
        <v>153</v>
      </c>
      <c r="H312" s="7" t="s">
        <v>252</v>
      </c>
      <c r="I312" s="7" t="s">
        <v>253</v>
      </c>
      <c r="J312" s="7" t="s">
        <v>229</v>
      </c>
      <c r="K312" s="7" t="s">
        <v>233</v>
      </c>
      <c r="L312" s="7" t="s">
        <v>819</v>
      </c>
      <c r="M312" s="7" t="s">
        <v>820</v>
      </c>
      <c r="N312" s="16"/>
      <c r="O312" s="7"/>
      <c r="P312" s="22"/>
      <c r="Q312" s="8" t="n">
        <v>3550</v>
      </c>
      <c r="R312" s="8" t="n">
        <v>-3550</v>
      </c>
      <c r="S312" s="7" t="s">
        <v>33</v>
      </c>
      <c r="T312" s="7"/>
      <c r="U312" s="7"/>
      <c r="V312" s="20"/>
      <c r="W312" s="7"/>
      <c r="X312" s="7"/>
      <c r="Y312" s="7"/>
      <c r="Z312" s="7"/>
      <c r="AA312" s="23" t="n">
        <f aca="false">YEAR(C312)</f>
        <v>2024</v>
      </c>
    </row>
    <row r="313" customFormat="false" ht="15" hidden="false" customHeight="false" outlineLevel="0" collapsed="false">
      <c r="A313" s="7" t="s">
        <v>1335</v>
      </c>
      <c r="B313" s="7" t="s">
        <v>137</v>
      </c>
      <c r="C313" s="20" t="n">
        <v>45351</v>
      </c>
      <c r="D313" s="20" t="n">
        <v>45351</v>
      </c>
      <c r="E313" s="20"/>
      <c r="F313" s="7" t="s">
        <v>759</v>
      </c>
      <c r="G313" s="7" t="s">
        <v>153</v>
      </c>
      <c r="H313" s="7" t="s">
        <v>246</v>
      </c>
      <c r="I313" s="7" t="s">
        <v>247</v>
      </c>
      <c r="J313" s="7" t="s">
        <v>236</v>
      </c>
      <c r="K313" s="7" t="s">
        <v>189</v>
      </c>
      <c r="L313" s="7" t="s">
        <v>1048</v>
      </c>
      <c r="M313" s="7" t="s">
        <v>556</v>
      </c>
      <c r="N313" s="16"/>
      <c r="O313" s="7"/>
      <c r="P313" s="22"/>
      <c r="Q313" s="8" t="n">
        <v>1049.16</v>
      </c>
      <c r="R313" s="8" t="n">
        <v>-1049.16</v>
      </c>
      <c r="S313" s="7" t="s">
        <v>775</v>
      </c>
      <c r="T313" s="7"/>
      <c r="U313" s="7"/>
      <c r="V313" s="20"/>
      <c r="W313" s="7"/>
      <c r="X313" s="7" t="s">
        <v>784</v>
      </c>
      <c r="Y313" s="7"/>
      <c r="Z313" s="7"/>
      <c r="AA313" s="23" t="n">
        <f aca="false">YEAR(C313)</f>
        <v>2024</v>
      </c>
    </row>
    <row r="314" customFormat="false" ht="15" hidden="false" customHeight="false" outlineLevel="0" collapsed="false">
      <c r="A314" s="7" t="s">
        <v>1336</v>
      </c>
      <c r="B314" s="7" t="s">
        <v>137</v>
      </c>
      <c r="C314" s="20" t="n">
        <v>45352</v>
      </c>
      <c r="D314" s="20" t="n">
        <v>45352</v>
      </c>
      <c r="E314" s="20"/>
      <c r="F314" s="7" t="s">
        <v>759</v>
      </c>
      <c r="G314" s="7" t="s">
        <v>153</v>
      </c>
      <c r="H314" s="7" t="s">
        <v>545</v>
      </c>
      <c r="I314" s="7" t="s">
        <v>760</v>
      </c>
      <c r="J314" s="7" t="s">
        <v>761</v>
      </c>
      <c r="K314" s="7" t="s">
        <v>762</v>
      </c>
      <c r="L314" s="7" t="s">
        <v>546</v>
      </c>
      <c r="M314" s="7"/>
      <c r="N314" s="16"/>
      <c r="O314" s="7"/>
      <c r="P314" s="22"/>
      <c r="Q314" s="8" t="n">
        <v>4100</v>
      </c>
      <c r="R314" s="8" t="n">
        <v>-4100</v>
      </c>
      <c r="S314" s="7" t="s">
        <v>763</v>
      </c>
      <c r="T314" s="7"/>
      <c r="U314" s="7"/>
      <c r="V314" s="20"/>
      <c r="W314" s="7"/>
      <c r="X314" s="7"/>
      <c r="Y314" s="7"/>
      <c r="Z314" s="7"/>
      <c r="AA314" s="23" t="n">
        <f aca="false">YEAR(C314)</f>
        <v>2024</v>
      </c>
    </row>
    <row r="315" customFormat="false" ht="15" hidden="false" customHeight="false" outlineLevel="0" collapsed="false">
      <c r="A315" s="7" t="s">
        <v>1337</v>
      </c>
      <c r="B315" s="7" t="s">
        <v>137</v>
      </c>
      <c r="C315" s="20" t="n">
        <v>45353</v>
      </c>
      <c r="D315" s="20" t="n">
        <v>45383</v>
      </c>
      <c r="E315" s="20"/>
      <c r="F315" s="7" t="s">
        <v>759</v>
      </c>
      <c r="G315" s="7" t="s">
        <v>146</v>
      </c>
      <c r="H315" s="7" t="s">
        <v>255</v>
      </c>
      <c r="I315" s="7" t="s">
        <v>256</v>
      </c>
      <c r="J315" s="7" t="s">
        <v>221</v>
      </c>
      <c r="K315" s="7" t="s">
        <v>254</v>
      </c>
      <c r="L315" s="7" t="s">
        <v>825</v>
      </c>
      <c r="M315" s="7" t="s">
        <v>563</v>
      </c>
      <c r="N315" s="16"/>
      <c r="O315" s="7"/>
      <c r="P315" s="22"/>
      <c r="Q315" s="8" t="n">
        <v>3200</v>
      </c>
      <c r="R315" s="8" t="n">
        <v>-3200</v>
      </c>
      <c r="S315" s="7" t="s">
        <v>751</v>
      </c>
      <c r="T315" s="7"/>
      <c r="U315" s="7" t="s">
        <v>1338</v>
      </c>
      <c r="V315" s="20" t="n">
        <v>45383</v>
      </c>
      <c r="W315" s="7"/>
      <c r="X315" s="7"/>
      <c r="Y315" s="7" t="s">
        <v>705</v>
      </c>
      <c r="Z315" s="7"/>
      <c r="AA315" s="23" t="n">
        <f aca="false">YEAR(C315)</f>
        <v>2024</v>
      </c>
    </row>
    <row r="316" customFormat="false" ht="15" hidden="false" customHeight="false" outlineLevel="0" collapsed="false">
      <c r="A316" s="7" t="s">
        <v>1339</v>
      </c>
      <c r="B316" s="7" t="s">
        <v>137</v>
      </c>
      <c r="C316" s="20" t="n">
        <v>45357</v>
      </c>
      <c r="D316" s="20" t="n">
        <v>45391</v>
      </c>
      <c r="E316" s="20"/>
      <c r="F316" s="7" t="s">
        <v>759</v>
      </c>
      <c r="G316" s="7" t="s">
        <v>136</v>
      </c>
      <c r="H316" s="7" t="s">
        <v>223</v>
      </c>
      <c r="I316" s="7" t="s">
        <v>224</v>
      </c>
      <c r="J316" s="7" t="s">
        <v>221</v>
      </c>
      <c r="K316" s="7" t="s">
        <v>222</v>
      </c>
      <c r="L316" s="7" t="s">
        <v>828</v>
      </c>
      <c r="M316" s="7" t="s">
        <v>589</v>
      </c>
      <c r="N316" s="16" t="n">
        <v>96</v>
      </c>
      <c r="O316" s="7" t="s">
        <v>801</v>
      </c>
      <c r="P316" s="22" t="n">
        <v>24.72</v>
      </c>
      <c r="Q316" s="8" t="n">
        <v>2373.12</v>
      </c>
      <c r="R316" s="8" t="n">
        <v>-2373.12</v>
      </c>
      <c r="S316" s="7" t="s">
        <v>751</v>
      </c>
      <c r="T316" s="7"/>
      <c r="U316" s="7" t="s">
        <v>1340</v>
      </c>
      <c r="V316" s="20" t="n">
        <v>45387</v>
      </c>
      <c r="W316" s="7"/>
      <c r="X316" s="7"/>
      <c r="Y316" s="7" t="s">
        <v>721</v>
      </c>
      <c r="Z316" s="7"/>
      <c r="AA316" s="23" t="n">
        <f aca="false">YEAR(C316)</f>
        <v>2024</v>
      </c>
    </row>
    <row r="317" customFormat="false" ht="15" hidden="false" customHeight="false" outlineLevel="0" collapsed="false">
      <c r="A317" s="7" t="s">
        <v>1341</v>
      </c>
      <c r="B317" s="7" t="s">
        <v>137</v>
      </c>
      <c r="C317" s="20" t="n">
        <v>45359</v>
      </c>
      <c r="D317" s="20" t="n">
        <v>45404</v>
      </c>
      <c r="E317" s="20"/>
      <c r="F317" s="7" t="s">
        <v>759</v>
      </c>
      <c r="G317" s="7" t="s">
        <v>153</v>
      </c>
      <c r="H317" s="7" t="s">
        <v>244</v>
      </c>
      <c r="I317" s="7" t="s">
        <v>245</v>
      </c>
      <c r="J317" s="7" t="s">
        <v>229</v>
      </c>
      <c r="K317" s="7" t="s">
        <v>233</v>
      </c>
      <c r="L317" s="7" t="s">
        <v>570</v>
      </c>
      <c r="M317" s="7"/>
      <c r="N317" s="16"/>
      <c r="O317" s="7"/>
      <c r="P317" s="22"/>
      <c r="Q317" s="8" t="n">
        <v>165</v>
      </c>
      <c r="R317" s="8" t="n">
        <v>-165</v>
      </c>
      <c r="S317" s="7" t="s">
        <v>765</v>
      </c>
      <c r="T317" s="7"/>
      <c r="U317" s="7"/>
      <c r="V317" s="20"/>
      <c r="W317" s="7"/>
      <c r="X317" s="7"/>
      <c r="Y317" s="7"/>
      <c r="Z317" s="7"/>
      <c r="AA317" s="23" t="n">
        <f aca="false">YEAR(C317)</f>
        <v>2024</v>
      </c>
    </row>
    <row r="318" customFormat="false" ht="15" hidden="false" customHeight="false" outlineLevel="0" collapsed="false">
      <c r="A318" s="7" t="s">
        <v>1342</v>
      </c>
      <c r="B318" s="7" t="s">
        <v>137</v>
      </c>
      <c r="C318" s="20" t="n">
        <v>45361</v>
      </c>
      <c r="D318" s="20" t="n">
        <v>45361</v>
      </c>
      <c r="E318" s="20"/>
      <c r="F318" s="7" t="s">
        <v>759</v>
      </c>
      <c r="G318" s="7" t="s">
        <v>153</v>
      </c>
      <c r="H318" s="7" t="s">
        <v>237</v>
      </c>
      <c r="I318" s="7" t="s">
        <v>238</v>
      </c>
      <c r="J318" s="7" t="s">
        <v>236</v>
      </c>
      <c r="K318" s="7" t="s">
        <v>189</v>
      </c>
      <c r="L318" s="7" t="s">
        <v>1343</v>
      </c>
      <c r="M318" s="7" t="s">
        <v>768</v>
      </c>
      <c r="N318" s="16"/>
      <c r="O318" s="7"/>
      <c r="P318" s="22"/>
      <c r="Q318" s="8" t="n">
        <v>73.39</v>
      </c>
      <c r="R318" s="8" t="n">
        <v>-73.39</v>
      </c>
      <c r="S318" s="7" t="s">
        <v>744</v>
      </c>
      <c r="T318" s="7"/>
      <c r="U318" s="7"/>
      <c r="V318" s="20"/>
      <c r="W318" s="7"/>
      <c r="X318" s="7" t="s">
        <v>769</v>
      </c>
      <c r="Y318" s="7"/>
      <c r="Z318" s="7"/>
      <c r="AA318" s="23" t="n">
        <f aca="false">YEAR(C318)</f>
        <v>2024</v>
      </c>
    </row>
    <row r="319" customFormat="false" ht="15" hidden="false" customHeight="false" outlineLevel="0" collapsed="false">
      <c r="A319" s="7" t="s">
        <v>1344</v>
      </c>
      <c r="B319" s="7" t="s">
        <v>137</v>
      </c>
      <c r="C319" s="20" t="n">
        <v>45361</v>
      </c>
      <c r="D319" s="20" t="n">
        <v>45361</v>
      </c>
      <c r="E319" s="20"/>
      <c r="F319" s="7" t="s">
        <v>759</v>
      </c>
      <c r="G319" s="7" t="s">
        <v>153</v>
      </c>
      <c r="H319" s="7" t="s">
        <v>559</v>
      </c>
      <c r="I319" s="7" t="s">
        <v>771</v>
      </c>
      <c r="J319" s="7" t="s">
        <v>761</v>
      </c>
      <c r="K319" s="7" t="s">
        <v>772</v>
      </c>
      <c r="L319" s="7" t="s">
        <v>1345</v>
      </c>
      <c r="M319" s="7" t="s">
        <v>768</v>
      </c>
      <c r="N319" s="16"/>
      <c r="O319" s="7"/>
      <c r="P319" s="22"/>
      <c r="Q319" s="8" t="n">
        <v>771.7</v>
      </c>
      <c r="R319" s="8" t="n">
        <v>-771.7</v>
      </c>
      <c r="S319" s="7" t="s">
        <v>744</v>
      </c>
      <c r="T319" s="7"/>
      <c r="U319" s="7"/>
      <c r="V319" s="20"/>
      <c r="W319" s="7"/>
      <c r="X319" s="7" t="s">
        <v>769</v>
      </c>
      <c r="Y319" s="7"/>
      <c r="Z319" s="7"/>
      <c r="AA319" s="23" t="n">
        <f aca="false">YEAR(C319)</f>
        <v>2024</v>
      </c>
    </row>
    <row r="320" customFormat="false" ht="15" hidden="false" customHeight="false" outlineLevel="0" collapsed="false">
      <c r="A320" s="7" t="s">
        <v>1346</v>
      </c>
      <c r="B320" s="7" t="s">
        <v>137</v>
      </c>
      <c r="C320" s="20" t="n">
        <v>45363</v>
      </c>
      <c r="D320" s="20" t="n">
        <v>45363</v>
      </c>
      <c r="E320" s="20"/>
      <c r="F320" s="7" t="s">
        <v>759</v>
      </c>
      <c r="G320" s="7" t="s">
        <v>153</v>
      </c>
      <c r="H320" s="7" t="s">
        <v>240</v>
      </c>
      <c r="I320" s="7" t="s">
        <v>239</v>
      </c>
      <c r="J320" s="7" t="s">
        <v>229</v>
      </c>
      <c r="K320" s="7" t="s">
        <v>239</v>
      </c>
      <c r="L320" s="7" t="s">
        <v>548</v>
      </c>
      <c r="M320" s="7" t="s">
        <v>547</v>
      </c>
      <c r="N320" s="16"/>
      <c r="O320" s="7"/>
      <c r="P320" s="22"/>
      <c r="Q320" s="8" t="n">
        <v>271.53</v>
      </c>
      <c r="R320" s="8" t="n">
        <v>-271.53</v>
      </c>
      <c r="S320" s="7" t="s">
        <v>775</v>
      </c>
      <c r="T320" s="7"/>
      <c r="U320" s="7"/>
      <c r="V320" s="20"/>
      <c r="W320" s="7"/>
      <c r="X320" s="7"/>
      <c r="Y320" s="7"/>
      <c r="Z320" s="7"/>
      <c r="AA320" s="23" t="n">
        <f aca="false">YEAR(C320)</f>
        <v>2024</v>
      </c>
    </row>
    <row r="321" customFormat="false" ht="15" hidden="false" customHeight="false" outlineLevel="0" collapsed="false">
      <c r="A321" s="7" t="s">
        <v>1347</v>
      </c>
      <c r="B321" s="7" t="s">
        <v>137</v>
      </c>
      <c r="C321" s="20" t="n">
        <v>45365</v>
      </c>
      <c r="D321" s="20" t="n">
        <v>45369</v>
      </c>
      <c r="E321" s="20"/>
      <c r="F321" s="7" t="s">
        <v>759</v>
      </c>
      <c r="G321" s="7" t="s">
        <v>141</v>
      </c>
      <c r="H321" s="7" t="s">
        <v>250</v>
      </c>
      <c r="I321" s="7" t="s">
        <v>251</v>
      </c>
      <c r="J321" s="7" t="s">
        <v>248</v>
      </c>
      <c r="K321" s="7" t="s">
        <v>249</v>
      </c>
      <c r="L321" s="7" t="s">
        <v>1348</v>
      </c>
      <c r="M321" s="7" t="s">
        <v>549</v>
      </c>
      <c r="N321" s="16" t="n">
        <v>9056</v>
      </c>
      <c r="O321" s="7" t="s">
        <v>798</v>
      </c>
      <c r="P321" s="22" t="n">
        <v>4.26</v>
      </c>
      <c r="Q321" s="8" t="n">
        <v>38578.56</v>
      </c>
      <c r="R321" s="8" t="n">
        <v>38578.56</v>
      </c>
      <c r="S321" s="7" t="s">
        <v>33</v>
      </c>
      <c r="T321" s="7" t="s">
        <v>1349</v>
      </c>
      <c r="U321" s="7"/>
      <c r="V321" s="20" t="n">
        <v>45365</v>
      </c>
      <c r="W321" s="7"/>
      <c r="X321" s="7"/>
      <c r="Y321" s="7" t="s">
        <v>704</v>
      </c>
      <c r="Z321" s="7"/>
      <c r="AA321" s="23" t="n">
        <f aca="false">YEAR(C321)</f>
        <v>2024</v>
      </c>
    </row>
    <row r="322" customFormat="false" ht="15" hidden="false" customHeight="false" outlineLevel="0" collapsed="false">
      <c r="A322" s="7" t="s">
        <v>1350</v>
      </c>
      <c r="B322" s="7" t="s">
        <v>137</v>
      </c>
      <c r="C322" s="20" t="n">
        <v>45365</v>
      </c>
      <c r="D322" s="20" t="n">
        <v>45397</v>
      </c>
      <c r="E322" s="20"/>
      <c r="F322" s="7" t="s">
        <v>759</v>
      </c>
      <c r="G322" s="7" t="s">
        <v>153</v>
      </c>
      <c r="H322" s="7" t="s">
        <v>261</v>
      </c>
      <c r="I322" s="7" t="s">
        <v>262</v>
      </c>
      <c r="J322" s="7" t="s">
        <v>221</v>
      </c>
      <c r="K322" s="7" t="s">
        <v>260</v>
      </c>
      <c r="L322" s="7" t="s">
        <v>623</v>
      </c>
      <c r="M322" s="7" t="s">
        <v>538</v>
      </c>
      <c r="N322" s="16"/>
      <c r="O322" s="7"/>
      <c r="P322" s="22"/>
      <c r="Q322" s="8" t="n">
        <v>1755.35</v>
      </c>
      <c r="R322" s="8" t="n">
        <v>-1755.35</v>
      </c>
      <c r="S322" s="7" t="s">
        <v>751</v>
      </c>
      <c r="T322" s="7"/>
      <c r="U322" s="7" t="s">
        <v>1351</v>
      </c>
      <c r="V322" s="20" t="n">
        <v>45395</v>
      </c>
      <c r="W322" s="7"/>
      <c r="X322" s="7"/>
      <c r="Y322" s="7"/>
      <c r="Z322" s="7"/>
      <c r="AA322" s="23" t="n">
        <f aca="false">YEAR(C322)</f>
        <v>2024</v>
      </c>
    </row>
    <row r="323" customFormat="false" ht="15" hidden="false" customHeight="false" outlineLevel="0" collapsed="false">
      <c r="A323" s="7" t="s">
        <v>1352</v>
      </c>
      <c r="B323" s="7" t="s">
        <v>137</v>
      </c>
      <c r="C323" s="20" t="n">
        <v>45366</v>
      </c>
      <c r="D323" s="20" t="n">
        <v>45366</v>
      </c>
      <c r="E323" s="20"/>
      <c r="F323" s="7" t="s">
        <v>759</v>
      </c>
      <c r="G323" s="7" t="s">
        <v>146</v>
      </c>
      <c r="H323" s="7" t="s">
        <v>258</v>
      </c>
      <c r="I323" s="7" t="s">
        <v>259</v>
      </c>
      <c r="J323" s="7" t="s">
        <v>221</v>
      </c>
      <c r="K323" s="7" t="s">
        <v>257</v>
      </c>
      <c r="L323" s="7" t="s">
        <v>839</v>
      </c>
      <c r="M323" s="7" t="s">
        <v>840</v>
      </c>
      <c r="N323" s="16"/>
      <c r="O323" s="7"/>
      <c r="P323" s="22"/>
      <c r="Q323" s="8" t="n">
        <v>1440</v>
      </c>
      <c r="R323" s="8" t="n">
        <v>-1440</v>
      </c>
      <c r="S323" s="7" t="s">
        <v>33</v>
      </c>
      <c r="T323" s="7"/>
      <c r="U323" s="7"/>
      <c r="V323" s="20"/>
      <c r="W323" s="7"/>
      <c r="X323" s="7"/>
      <c r="Y323" s="7" t="s">
        <v>705</v>
      </c>
      <c r="Z323" s="7"/>
      <c r="AA323" s="23" t="n">
        <f aca="false">YEAR(C323)</f>
        <v>2024</v>
      </c>
    </row>
    <row r="324" customFormat="false" ht="15" hidden="false" customHeight="false" outlineLevel="0" collapsed="false">
      <c r="A324" s="7" t="s">
        <v>1353</v>
      </c>
      <c r="B324" s="7" t="s">
        <v>137</v>
      </c>
      <c r="C324" s="20" t="n">
        <v>45366</v>
      </c>
      <c r="D324" s="20" t="n">
        <v>45366</v>
      </c>
      <c r="E324" s="20"/>
      <c r="F324" s="7" t="s">
        <v>759</v>
      </c>
      <c r="G324" s="7" t="s">
        <v>144</v>
      </c>
      <c r="H324" s="7" t="s">
        <v>258</v>
      </c>
      <c r="I324" s="7" t="s">
        <v>259</v>
      </c>
      <c r="J324" s="7" t="s">
        <v>221</v>
      </c>
      <c r="K324" s="7" t="s">
        <v>257</v>
      </c>
      <c r="L324" s="7" t="s">
        <v>1354</v>
      </c>
      <c r="M324" s="7" t="s">
        <v>840</v>
      </c>
      <c r="N324" s="16"/>
      <c r="O324" s="7"/>
      <c r="P324" s="22"/>
      <c r="Q324" s="8" t="n">
        <v>1750</v>
      </c>
      <c r="R324" s="8" t="n">
        <v>-1750</v>
      </c>
      <c r="S324" s="7" t="s">
        <v>33</v>
      </c>
      <c r="T324" s="7"/>
      <c r="U324" s="7"/>
      <c r="V324" s="20"/>
      <c r="W324" s="7"/>
      <c r="X324" s="7"/>
      <c r="Y324" s="7" t="s">
        <v>706</v>
      </c>
      <c r="Z324" s="7"/>
      <c r="AA324" s="23" t="n">
        <f aca="false">YEAR(C324)</f>
        <v>2024</v>
      </c>
    </row>
    <row r="325" customFormat="false" ht="15" hidden="false" customHeight="false" outlineLevel="0" collapsed="false">
      <c r="A325" s="7" t="s">
        <v>1355</v>
      </c>
      <c r="B325" s="7" t="s">
        <v>137</v>
      </c>
      <c r="C325" s="20" t="n">
        <v>45366</v>
      </c>
      <c r="D325" s="20" t="n">
        <v>45366</v>
      </c>
      <c r="E325" s="20"/>
      <c r="F325" s="7" t="s">
        <v>759</v>
      </c>
      <c r="G325" s="7" t="s">
        <v>144</v>
      </c>
      <c r="H325" s="7" t="s">
        <v>258</v>
      </c>
      <c r="I325" s="7" t="s">
        <v>259</v>
      </c>
      <c r="J325" s="7" t="s">
        <v>221</v>
      </c>
      <c r="K325" s="7" t="s">
        <v>257</v>
      </c>
      <c r="L325" s="7" t="s">
        <v>1354</v>
      </c>
      <c r="M325" s="7" t="s">
        <v>840</v>
      </c>
      <c r="N325" s="16"/>
      <c r="O325" s="7"/>
      <c r="P325" s="22"/>
      <c r="Q325" s="8" t="n">
        <v>960</v>
      </c>
      <c r="R325" s="8" t="n">
        <v>-960</v>
      </c>
      <c r="S325" s="7" t="s">
        <v>33</v>
      </c>
      <c r="T325" s="7"/>
      <c r="U325" s="7"/>
      <c r="V325" s="20"/>
      <c r="W325" s="7"/>
      <c r="X325" s="7"/>
      <c r="Y325" s="7" t="s">
        <v>708</v>
      </c>
      <c r="Z325" s="7"/>
      <c r="AA325" s="23" t="n">
        <f aca="false">YEAR(C325)</f>
        <v>2024</v>
      </c>
    </row>
    <row r="326" customFormat="false" ht="15" hidden="false" customHeight="false" outlineLevel="0" collapsed="false">
      <c r="A326" s="7" t="s">
        <v>1356</v>
      </c>
      <c r="B326" s="7" t="s">
        <v>137</v>
      </c>
      <c r="C326" s="20" t="n">
        <v>45377</v>
      </c>
      <c r="D326" s="20" t="n">
        <v>45404</v>
      </c>
      <c r="E326" s="20"/>
      <c r="F326" s="7" t="s">
        <v>759</v>
      </c>
      <c r="G326" s="7" t="s">
        <v>153</v>
      </c>
      <c r="H326" s="7" t="s">
        <v>242</v>
      </c>
      <c r="I326" s="7" t="s">
        <v>243</v>
      </c>
      <c r="J326" s="7" t="s">
        <v>229</v>
      </c>
      <c r="K326" s="7" t="s">
        <v>241</v>
      </c>
      <c r="L326" s="7" t="s">
        <v>571</v>
      </c>
      <c r="M326" s="7"/>
      <c r="N326" s="16"/>
      <c r="O326" s="7"/>
      <c r="P326" s="22"/>
      <c r="Q326" s="8" t="n">
        <v>384.84</v>
      </c>
      <c r="R326" s="8" t="n">
        <v>-384.84</v>
      </c>
      <c r="S326" s="7" t="s">
        <v>765</v>
      </c>
      <c r="T326" s="7"/>
      <c r="U326" s="7"/>
      <c r="V326" s="20"/>
      <c r="W326" s="7"/>
      <c r="X326" s="7"/>
      <c r="Y326" s="7"/>
      <c r="Z326" s="7"/>
      <c r="AA326" s="23" t="n">
        <f aca="false">YEAR(C326)</f>
        <v>2024</v>
      </c>
    </row>
    <row r="327" customFormat="false" ht="15" hidden="false" customHeight="false" outlineLevel="0" collapsed="false">
      <c r="A327" s="7" t="s">
        <v>1357</v>
      </c>
      <c r="B327" s="7" t="s">
        <v>137</v>
      </c>
      <c r="C327" s="20" t="n">
        <v>45379</v>
      </c>
      <c r="D327" s="20" t="n">
        <v>45411</v>
      </c>
      <c r="E327" s="20"/>
      <c r="F327" s="7" t="s">
        <v>759</v>
      </c>
      <c r="G327" s="7" t="s">
        <v>146</v>
      </c>
      <c r="H327" s="7" t="s">
        <v>264</v>
      </c>
      <c r="I327" s="7" t="s">
        <v>263</v>
      </c>
      <c r="J327" s="7" t="s">
        <v>221</v>
      </c>
      <c r="K327" s="7" t="s">
        <v>263</v>
      </c>
      <c r="L327" s="7" t="s">
        <v>847</v>
      </c>
      <c r="M327" s="7" t="s">
        <v>563</v>
      </c>
      <c r="N327" s="16"/>
      <c r="O327" s="7"/>
      <c r="P327" s="22"/>
      <c r="Q327" s="8" t="n">
        <v>1148</v>
      </c>
      <c r="R327" s="8" t="n">
        <v>-1148</v>
      </c>
      <c r="S327" s="7" t="s">
        <v>751</v>
      </c>
      <c r="T327" s="7"/>
      <c r="U327" s="7" t="s">
        <v>1358</v>
      </c>
      <c r="V327" s="20" t="n">
        <v>45409</v>
      </c>
      <c r="W327" s="7"/>
      <c r="X327" s="7"/>
      <c r="Y327" s="7" t="s">
        <v>705</v>
      </c>
      <c r="Z327" s="7"/>
      <c r="AA327" s="23" t="n">
        <f aca="false">YEAR(C327)</f>
        <v>2024</v>
      </c>
    </row>
    <row r="328" customFormat="false" ht="15" hidden="false" customHeight="false" outlineLevel="0" collapsed="false">
      <c r="A328" s="7" t="s">
        <v>1359</v>
      </c>
      <c r="B328" s="7" t="s">
        <v>137</v>
      </c>
      <c r="C328" s="20" t="n">
        <v>45382</v>
      </c>
      <c r="D328" s="20" t="n">
        <v>45382</v>
      </c>
      <c r="E328" s="20"/>
      <c r="F328" s="7" t="s">
        <v>759</v>
      </c>
      <c r="G328" s="7" t="s">
        <v>153</v>
      </c>
      <c r="H328" s="7" t="s">
        <v>246</v>
      </c>
      <c r="I328" s="7" t="s">
        <v>247</v>
      </c>
      <c r="J328" s="7" t="s">
        <v>236</v>
      </c>
      <c r="K328" s="7" t="s">
        <v>189</v>
      </c>
      <c r="L328" s="7" t="s">
        <v>1048</v>
      </c>
      <c r="M328" s="7" t="s">
        <v>556</v>
      </c>
      <c r="N328" s="16"/>
      <c r="O328" s="7"/>
      <c r="P328" s="22"/>
      <c r="Q328" s="8" t="n">
        <v>1121.52</v>
      </c>
      <c r="R328" s="8" t="n">
        <v>-1121.52</v>
      </c>
      <c r="S328" s="7" t="s">
        <v>775</v>
      </c>
      <c r="T328" s="7"/>
      <c r="U328" s="7"/>
      <c r="V328" s="20"/>
      <c r="W328" s="7"/>
      <c r="X328" s="7" t="s">
        <v>784</v>
      </c>
      <c r="Y328" s="7"/>
      <c r="Z328" s="7"/>
      <c r="AA328" s="23" t="n">
        <f aca="false">YEAR(C328)</f>
        <v>2024</v>
      </c>
    </row>
    <row r="329" customFormat="false" ht="15" hidden="false" customHeight="false" outlineLevel="0" collapsed="false">
      <c r="A329" s="7" t="s">
        <v>1360</v>
      </c>
      <c r="B329" s="7" t="s">
        <v>137</v>
      </c>
      <c r="C329" s="20" t="n">
        <v>45382</v>
      </c>
      <c r="D329" s="20" t="n">
        <v>45382</v>
      </c>
      <c r="E329" s="20"/>
      <c r="F329" s="7" t="s">
        <v>759</v>
      </c>
      <c r="G329" s="7" t="s">
        <v>153</v>
      </c>
      <c r="H329" s="7" t="s">
        <v>574</v>
      </c>
      <c r="I329" s="7" t="s">
        <v>364</v>
      </c>
      <c r="J329" s="7" t="s">
        <v>761</v>
      </c>
      <c r="K329" s="7" t="s">
        <v>772</v>
      </c>
      <c r="L329" s="7" t="s">
        <v>575</v>
      </c>
      <c r="M329" s="7" t="s">
        <v>556</v>
      </c>
      <c r="N329" s="16"/>
      <c r="O329" s="7"/>
      <c r="P329" s="22"/>
      <c r="Q329" s="8" t="n">
        <v>30000</v>
      </c>
      <c r="R329" s="8" t="n">
        <v>-30000</v>
      </c>
      <c r="S329" s="7" t="s">
        <v>783</v>
      </c>
      <c r="T329" s="7"/>
      <c r="U329" s="7"/>
      <c r="V329" s="20"/>
      <c r="W329" s="7"/>
      <c r="X329" s="7" t="s">
        <v>784</v>
      </c>
      <c r="Y329" s="7"/>
      <c r="Z329" s="7"/>
      <c r="AA329" s="23" t="n">
        <f aca="false">YEAR(C329)</f>
        <v>2024</v>
      </c>
    </row>
    <row r="330" customFormat="false" ht="15" hidden="false" customHeight="false" outlineLevel="0" collapsed="false">
      <c r="A330" s="7" t="s">
        <v>1361</v>
      </c>
      <c r="B330" s="7" t="s">
        <v>137</v>
      </c>
      <c r="C330" s="20" t="n">
        <v>45383</v>
      </c>
      <c r="D330" s="20" t="n">
        <v>45383</v>
      </c>
      <c r="E330" s="20"/>
      <c r="F330" s="7" t="s">
        <v>759</v>
      </c>
      <c r="G330" s="7" t="s">
        <v>153</v>
      </c>
      <c r="H330" s="7" t="s">
        <v>545</v>
      </c>
      <c r="I330" s="7" t="s">
        <v>760</v>
      </c>
      <c r="J330" s="7" t="s">
        <v>761</v>
      </c>
      <c r="K330" s="7" t="s">
        <v>762</v>
      </c>
      <c r="L330" s="7" t="s">
        <v>546</v>
      </c>
      <c r="M330" s="7"/>
      <c r="N330" s="16"/>
      <c r="O330" s="7"/>
      <c r="P330" s="22"/>
      <c r="Q330" s="8" t="n">
        <v>4100</v>
      </c>
      <c r="R330" s="8" t="n">
        <v>-4100</v>
      </c>
      <c r="S330" s="7" t="s">
        <v>763</v>
      </c>
      <c r="T330" s="7"/>
      <c r="U330" s="7"/>
      <c r="V330" s="20"/>
      <c r="W330" s="7"/>
      <c r="X330" s="7"/>
      <c r="Y330" s="7"/>
      <c r="Z330" s="7"/>
      <c r="AA330" s="23" t="n">
        <f aca="false">YEAR(C330)</f>
        <v>2024</v>
      </c>
    </row>
    <row r="331" customFormat="false" ht="15" hidden="false" customHeight="false" outlineLevel="0" collapsed="false">
      <c r="A331" s="7" t="s">
        <v>1362</v>
      </c>
      <c r="B331" s="7" t="s">
        <v>137</v>
      </c>
      <c r="C331" s="20" t="n">
        <v>45390</v>
      </c>
      <c r="D331" s="20" t="n">
        <v>45434</v>
      </c>
      <c r="E331" s="20"/>
      <c r="F331" s="7" t="s">
        <v>759</v>
      </c>
      <c r="G331" s="7" t="s">
        <v>153</v>
      </c>
      <c r="H331" s="7" t="s">
        <v>244</v>
      </c>
      <c r="I331" s="7" t="s">
        <v>245</v>
      </c>
      <c r="J331" s="7" t="s">
        <v>229</v>
      </c>
      <c r="K331" s="7" t="s">
        <v>233</v>
      </c>
      <c r="L331" s="7" t="s">
        <v>570</v>
      </c>
      <c r="M331" s="7"/>
      <c r="N331" s="16"/>
      <c r="O331" s="7"/>
      <c r="P331" s="22"/>
      <c r="Q331" s="8" t="n">
        <v>165</v>
      </c>
      <c r="R331" s="8" t="n">
        <v>-165</v>
      </c>
      <c r="S331" s="7" t="s">
        <v>765</v>
      </c>
      <c r="T331" s="7"/>
      <c r="U331" s="7"/>
      <c r="V331" s="20"/>
      <c r="W331" s="7"/>
      <c r="X331" s="7"/>
      <c r="Y331" s="7"/>
      <c r="Z331" s="7"/>
      <c r="AA331" s="23" t="n">
        <f aca="false">YEAR(C331)</f>
        <v>2024</v>
      </c>
    </row>
    <row r="332" customFormat="false" ht="15" hidden="false" customHeight="false" outlineLevel="0" collapsed="false">
      <c r="A332" s="7" t="s">
        <v>1363</v>
      </c>
      <c r="B332" s="7" t="s">
        <v>137</v>
      </c>
      <c r="C332" s="20" t="n">
        <v>45392</v>
      </c>
      <c r="D332" s="20" t="n">
        <v>45392</v>
      </c>
      <c r="E332" s="20"/>
      <c r="F332" s="7" t="s">
        <v>759</v>
      </c>
      <c r="G332" s="7" t="s">
        <v>153</v>
      </c>
      <c r="H332" s="7" t="s">
        <v>237</v>
      </c>
      <c r="I332" s="7" t="s">
        <v>238</v>
      </c>
      <c r="J332" s="7" t="s">
        <v>236</v>
      </c>
      <c r="K332" s="7" t="s">
        <v>189</v>
      </c>
      <c r="L332" s="7" t="s">
        <v>1364</v>
      </c>
      <c r="M332" s="7" t="s">
        <v>768</v>
      </c>
      <c r="N332" s="16"/>
      <c r="O332" s="7"/>
      <c r="P332" s="22"/>
      <c r="Q332" s="8" t="n">
        <v>70.89</v>
      </c>
      <c r="R332" s="8" t="n">
        <v>-70.89</v>
      </c>
      <c r="S332" s="7" t="s">
        <v>744</v>
      </c>
      <c r="T332" s="7"/>
      <c r="U332" s="7"/>
      <c r="V332" s="20"/>
      <c r="W332" s="7"/>
      <c r="X332" s="7" t="s">
        <v>769</v>
      </c>
      <c r="Y332" s="7"/>
      <c r="Z332" s="7"/>
      <c r="AA332" s="23" t="n">
        <f aca="false">YEAR(C332)</f>
        <v>2024</v>
      </c>
    </row>
    <row r="333" customFormat="false" ht="15" hidden="false" customHeight="false" outlineLevel="0" collapsed="false">
      <c r="A333" s="7" t="s">
        <v>1365</v>
      </c>
      <c r="B333" s="7" t="s">
        <v>137</v>
      </c>
      <c r="C333" s="20" t="n">
        <v>45392</v>
      </c>
      <c r="D333" s="20" t="n">
        <v>45392</v>
      </c>
      <c r="E333" s="20"/>
      <c r="F333" s="7" t="s">
        <v>759</v>
      </c>
      <c r="G333" s="7" t="s">
        <v>153</v>
      </c>
      <c r="H333" s="7" t="s">
        <v>559</v>
      </c>
      <c r="I333" s="7" t="s">
        <v>771</v>
      </c>
      <c r="J333" s="7" t="s">
        <v>761</v>
      </c>
      <c r="K333" s="7" t="s">
        <v>772</v>
      </c>
      <c r="L333" s="7" t="s">
        <v>1366</v>
      </c>
      <c r="M333" s="7" t="s">
        <v>768</v>
      </c>
      <c r="N333" s="16"/>
      <c r="O333" s="7"/>
      <c r="P333" s="22"/>
      <c r="Q333" s="8" t="n">
        <v>774.2</v>
      </c>
      <c r="R333" s="8" t="n">
        <v>-774.2</v>
      </c>
      <c r="S333" s="7" t="s">
        <v>744</v>
      </c>
      <c r="T333" s="7"/>
      <c r="U333" s="7"/>
      <c r="V333" s="20"/>
      <c r="W333" s="7"/>
      <c r="X333" s="7" t="s">
        <v>769</v>
      </c>
      <c r="Y333" s="7"/>
      <c r="Z333" s="7"/>
      <c r="AA333" s="23" t="n">
        <f aca="false">YEAR(C333)</f>
        <v>2024</v>
      </c>
    </row>
    <row r="334" customFormat="false" ht="15" hidden="false" customHeight="false" outlineLevel="0" collapsed="false">
      <c r="A334" s="7" t="s">
        <v>1367</v>
      </c>
      <c r="B334" s="7" t="s">
        <v>137</v>
      </c>
      <c r="C334" s="20" t="n">
        <v>45394</v>
      </c>
      <c r="D334" s="20" t="n">
        <v>45394</v>
      </c>
      <c r="E334" s="20"/>
      <c r="F334" s="7" t="s">
        <v>759</v>
      </c>
      <c r="G334" s="7" t="s">
        <v>153</v>
      </c>
      <c r="H334" s="7" t="s">
        <v>240</v>
      </c>
      <c r="I334" s="7" t="s">
        <v>239</v>
      </c>
      <c r="J334" s="7" t="s">
        <v>229</v>
      </c>
      <c r="K334" s="7" t="s">
        <v>239</v>
      </c>
      <c r="L334" s="7" t="s">
        <v>548</v>
      </c>
      <c r="M334" s="7" t="s">
        <v>547</v>
      </c>
      <c r="N334" s="16"/>
      <c r="O334" s="7"/>
      <c r="P334" s="22"/>
      <c r="Q334" s="8" t="n">
        <v>241.92</v>
      </c>
      <c r="R334" s="8" t="n">
        <v>-241.92</v>
      </c>
      <c r="S334" s="7" t="s">
        <v>775</v>
      </c>
      <c r="T334" s="7"/>
      <c r="U334" s="7"/>
      <c r="V334" s="20"/>
      <c r="W334" s="7"/>
      <c r="X334" s="7"/>
      <c r="Y334" s="7"/>
      <c r="Z334" s="7"/>
      <c r="AA334" s="23" t="n">
        <f aca="false">YEAR(C334)</f>
        <v>2024</v>
      </c>
    </row>
    <row r="335" customFormat="false" ht="15" hidden="false" customHeight="false" outlineLevel="0" collapsed="false">
      <c r="A335" s="7" t="s">
        <v>1368</v>
      </c>
      <c r="B335" s="7" t="s">
        <v>137</v>
      </c>
      <c r="C335" s="20" t="n">
        <v>45394</v>
      </c>
      <c r="D335" s="20" t="n">
        <v>45428</v>
      </c>
      <c r="E335" s="20"/>
      <c r="F335" s="7" t="s">
        <v>759</v>
      </c>
      <c r="G335" s="7" t="s">
        <v>136</v>
      </c>
      <c r="H335" s="7" t="s">
        <v>264</v>
      </c>
      <c r="I335" s="7" t="s">
        <v>263</v>
      </c>
      <c r="J335" s="7" t="s">
        <v>221</v>
      </c>
      <c r="K335" s="7" t="s">
        <v>263</v>
      </c>
      <c r="L335" s="7" t="s">
        <v>872</v>
      </c>
      <c r="M335" s="7" t="s">
        <v>591</v>
      </c>
      <c r="N335" s="16" t="n">
        <v>96</v>
      </c>
      <c r="O335" s="7" t="s">
        <v>801</v>
      </c>
      <c r="P335" s="22" t="n">
        <v>22.66</v>
      </c>
      <c r="Q335" s="8" t="n">
        <v>2175.36</v>
      </c>
      <c r="R335" s="8" t="n">
        <v>-2175.36</v>
      </c>
      <c r="S335" s="7" t="s">
        <v>751</v>
      </c>
      <c r="T335" s="7"/>
      <c r="U335" s="7" t="s">
        <v>1369</v>
      </c>
      <c r="V335" s="20" t="n">
        <v>45424</v>
      </c>
      <c r="W335" s="7"/>
      <c r="X335" s="7"/>
      <c r="Y335" s="7" t="s">
        <v>721</v>
      </c>
      <c r="Z335" s="7"/>
      <c r="AA335" s="23" t="n">
        <f aca="false">YEAR(C335)</f>
        <v>2024</v>
      </c>
    </row>
    <row r="336" customFormat="false" ht="15" hidden="false" customHeight="false" outlineLevel="0" collapsed="false">
      <c r="A336" s="7" t="s">
        <v>1370</v>
      </c>
      <c r="B336" s="7" t="s">
        <v>137</v>
      </c>
      <c r="C336" s="20" t="n">
        <v>45394</v>
      </c>
      <c r="D336" s="20" t="n">
        <v>45428</v>
      </c>
      <c r="E336" s="20"/>
      <c r="F336" s="7" t="s">
        <v>759</v>
      </c>
      <c r="G336" s="7" t="s">
        <v>136</v>
      </c>
      <c r="H336" s="7" t="s">
        <v>223</v>
      </c>
      <c r="I336" s="7" t="s">
        <v>224</v>
      </c>
      <c r="J336" s="7" t="s">
        <v>221</v>
      </c>
      <c r="K336" s="7" t="s">
        <v>222</v>
      </c>
      <c r="L336" s="7" t="s">
        <v>875</v>
      </c>
      <c r="M336" s="7" t="s">
        <v>589</v>
      </c>
      <c r="N336" s="16" t="n">
        <v>96</v>
      </c>
      <c r="O336" s="7" t="s">
        <v>801</v>
      </c>
      <c r="P336" s="22" t="n">
        <v>9.27</v>
      </c>
      <c r="Q336" s="8" t="n">
        <v>889.92</v>
      </c>
      <c r="R336" s="8" t="n">
        <v>-889.92</v>
      </c>
      <c r="S336" s="7" t="s">
        <v>751</v>
      </c>
      <c r="T336" s="7"/>
      <c r="U336" s="7" t="s">
        <v>1371</v>
      </c>
      <c r="V336" s="20" t="n">
        <v>45424</v>
      </c>
      <c r="W336" s="7"/>
      <c r="X336" s="7"/>
      <c r="Y336" s="7" t="s">
        <v>721</v>
      </c>
      <c r="Z336" s="7"/>
      <c r="AA336" s="23" t="n">
        <f aca="false">YEAR(C336)</f>
        <v>2024</v>
      </c>
    </row>
    <row r="337" customFormat="false" ht="15" hidden="false" customHeight="false" outlineLevel="0" collapsed="false">
      <c r="A337" s="7" t="s">
        <v>1372</v>
      </c>
      <c r="B337" s="7" t="s">
        <v>137</v>
      </c>
      <c r="C337" s="20" t="n">
        <v>45397</v>
      </c>
      <c r="D337" s="20" t="n">
        <v>45397</v>
      </c>
      <c r="E337" s="20"/>
      <c r="F337" s="7" t="s">
        <v>759</v>
      </c>
      <c r="G337" s="7" t="s">
        <v>153</v>
      </c>
      <c r="H337" s="7" t="s">
        <v>786</v>
      </c>
      <c r="I337" s="7" t="s">
        <v>787</v>
      </c>
      <c r="J337" s="7" t="s">
        <v>761</v>
      </c>
      <c r="K337" s="7" t="s">
        <v>762</v>
      </c>
      <c r="L337" s="7" t="s">
        <v>788</v>
      </c>
      <c r="M337" s="7"/>
      <c r="N337" s="16"/>
      <c r="O337" s="7"/>
      <c r="P337" s="22"/>
      <c r="Q337" s="8" t="n">
        <v>3500</v>
      </c>
      <c r="R337" s="8" t="n">
        <v>-3500</v>
      </c>
      <c r="S337" s="7" t="s">
        <v>789</v>
      </c>
      <c r="T337" s="7"/>
      <c r="U337" s="7"/>
      <c r="V337" s="20"/>
      <c r="W337" s="7"/>
      <c r="X337" s="7"/>
      <c r="Y337" s="7"/>
      <c r="Z337" s="7"/>
      <c r="AA337" s="23" t="n">
        <f aca="false">YEAR(C337)</f>
        <v>2024</v>
      </c>
    </row>
    <row r="338" customFormat="false" ht="15" hidden="false" customHeight="false" outlineLevel="0" collapsed="false">
      <c r="A338" s="7" t="s">
        <v>1373</v>
      </c>
      <c r="B338" s="7" t="s">
        <v>137</v>
      </c>
      <c r="C338" s="20" t="n">
        <v>45404</v>
      </c>
      <c r="D338" s="20" t="n">
        <v>45434</v>
      </c>
      <c r="E338" s="20"/>
      <c r="F338" s="7" t="s">
        <v>759</v>
      </c>
      <c r="G338" s="7" t="s">
        <v>153</v>
      </c>
      <c r="H338" s="7" t="s">
        <v>234</v>
      </c>
      <c r="I338" s="7" t="s">
        <v>235</v>
      </c>
      <c r="J338" s="7" t="s">
        <v>229</v>
      </c>
      <c r="K338" s="7" t="s">
        <v>233</v>
      </c>
      <c r="L338" s="7" t="s">
        <v>888</v>
      </c>
      <c r="M338" s="7"/>
      <c r="N338" s="16"/>
      <c r="O338" s="7"/>
      <c r="P338" s="22"/>
      <c r="Q338" s="8" t="n">
        <v>480</v>
      </c>
      <c r="R338" s="8" t="n">
        <v>-480</v>
      </c>
      <c r="S338" s="7" t="s">
        <v>765</v>
      </c>
      <c r="T338" s="7"/>
      <c r="U338" s="7"/>
      <c r="V338" s="20"/>
      <c r="W338" s="7"/>
      <c r="X338" s="7"/>
      <c r="Y338" s="7"/>
      <c r="Z338" s="7"/>
      <c r="AA338" s="23" t="n">
        <f aca="false">YEAR(C338)</f>
        <v>2024</v>
      </c>
    </row>
    <row r="339" customFormat="false" ht="15" hidden="false" customHeight="false" outlineLevel="0" collapsed="false">
      <c r="A339" s="7" t="s">
        <v>1374</v>
      </c>
      <c r="B339" s="7" t="s">
        <v>137</v>
      </c>
      <c r="C339" s="20" t="n">
        <v>45406</v>
      </c>
      <c r="D339" s="20" t="n">
        <v>45436</v>
      </c>
      <c r="E339" s="20"/>
      <c r="F339" s="7" t="s">
        <v>759</v>
      </c>
      <c r="G339" s="7" t="s">
        <v>144</v>
      </c>
      <c r="H339" s="7" t="s">
        <v>255</v>
      </c>
      <c r="I339" s="7" t="s">
        <v>256</v>
      </c>
      <c r="J339" s="7" t="s">
        <v>221</v>
      </c>
      <c r="K339" s="7" t="s">
        <v>254</v>
      </c>
      <c r="L339" s="7" t="s">
        <v>850</v>
      </c>
      <c r="M339" s="7" t="s">
        <v>563</v>
      </c>
      <c r="N339" s="16"/>
      <c r="O339" s="7"/>
      <c r="P339" s="22"/>
      <c r="Q339" s="8" t="n">
        <v>3562.5</v>
      </c>
      <c r="R339" s="8" t="n">
        <v>-3562.5</v>
      </c>
      <c r="S339" s="7" t="s">
        <v>751</v>
      </c>
      <c r="T339" s="7"/>
      <c r="U339" s="7" t="s">
        <v>1375</v>
      </c>
      <c r="V339" s="20" t="n">
        <v>45436</v>
      </c>
      <c r="W339" s="7"/>
      <c r="X339" s="7"/>
      <c r="Y339" s="7" t="s">
        <v>706</v>
      </c>
      <c r="Z339" s="7"/>
      <c r="AA339" s="23" t="n">
        <f aca="false">YEAR(C339)</f>
        <v>2024</v>
      </c>
    </row>
    <row r="340" customFormat="false" ht="15" hidden="false" customHeight="false" outlineLevel="0" collapsed="false">
      <c r="A340" s="7" t="s">
        <v>1376</v>
      </c>
      <c r="B340" s="7" t="s">
        <v>137</v>
      </c>
      <c r="C340" s="20" t="n">
        <v>45407</v>
      </c>
      <c r="D340" s="20" t="n">
        <v>45441</v>
      </c>
      <c r="E340" s="20"/>
      <c r="F340" s="7" t="s">
        <v>759</v>
      </c>
      <c r="G340" s="7" t="s">
        <v>136</v>
      </c>
      <c r="H340" s="7" t="s">
        <v>255</v>
      </c>
      <c r="I340" s="7" t="s">
        <v>256</v>
      </c>
      <c r="J340" s="7" t="s">
        <v>221</v>
      </c>
      <c r="K340" s="7" t="s">
        <v>254</v>
      </c>
      <c r="L340" s="7" t="s">
        <v>892</v>
      </c>
      <c r="M340" s="7" t="s">
        <v>591</v>
      </c>
      <c r="N340" s="16" t="n">
        <v>96</v>
      </c>
      <c r="O340" s="7" t="s">
        <v>801</v>
      </c>
      <c r="P340" s="22" t="n">
        <v>36.15</v>
      </c>
      <c r="Q340" s="8" t="n">
        <v>3470.4</v>
      </c>
      <c r="R340" s="8" t="n">
        <v>-3470.4</v>
      </c>
      <c r="S340" s="7" t="s">
        <v>751</v>
      </c>
      <c r="T340" s="7"/>
      <c r="U340" s="7" t="s">
        <v>1377</v>
      </c>
      <c r="V340" s="20" t="n">
        <v>45437</v>
      </c>
      <c r="W340" s="7"/>
      <c r="X340" s="7"/>
      <c r="Y340" s="7" t="s">
        <v>721</v>
      </c>
      <c r="Z340" s="7"/>
      <c r="AA340" s="23" t="n">
        <f aca="false">YEAR(C340)</f>
        <v>2024</v>
      </c>
    </row>
    <row r="341" customFormat="false" ht="15" hidden="false" customHeight="false" outlineLevel="0" collapsed="false">
      <c r="A341" s="7" t="s">
        <v>1378</v>
      </c>
      <c r="B341" s="7" t="s">
        <v>137</v>
      </c>
      <c r="C341" s="20" t="n">
        <v>45408</v>
      </c>
      <c r="D341" s="20" t="n">
        <v>45434</v>
      </c>
      <c r="E341" s="20"/>
      <c r="F341" s="7" t="s">
        <v>759</v>
      </c>
      <c r="G341" s="7" t="s">
        <v>153</v>
      </c>
      <c r="H341" s="7" t="s">
        <v>242</v>
      </c>
      <c r="I341" s="7" t="s">
        <v>243</v>
      </c>
      <c r="J341" s="7" t="s">
        <v>229</v>
      </c>
      <c r="K341" s="7" t="s">
        <v>241</v>
      </c>
      <c r="L341" s="7" t="s">
        <v>571</v>
      </c>
      <c r="M341" s="7"/>
      <c r="N341" s="16"/>
      <c r="O341" s="7"/>
      <c r="P341" s="22"/>
      <c r="Q341" s="8" t="n">
        <v>277.27</v>
      </c>
      <c r="R341" s="8" t="n">
        <v>-277.27</v>
      </c>
      <c r="S341" s="7" t="s">
        <v>765</v>
      </c>
      <c r="T341" s="7"/>
      <c r="U341" s="7"/>
      <c r="V341" s="20"/>
      <c r="W341" s="7"/>
      <c r="X341" s="7"/>
      <c r="Y341" s="7"/>
      <c r="Z341" s="7"/>
      <c r="AA341" s="23" t="n">
        <f aca="false">YEAR(C341)</f>
        <v>2024</v>
      </c>
    </row>
    <row r="342" customFormat="false" ht="15" hidden="false" customHeight="false" outlineLevel="0" collapsed="false">
      <c r="A342" s="7" t="s">
        <v>1379</v>
      </c>
      <c r="B342" s="7" t="s">
        <v>137</v>
      </c>
      <c r="C342" s="20" t="n">
        <v>45412</v>
      </c>
      <c r="D342" s="20" t="n">
        <v>45412</v>
      </c>
      <c r="E342" s="20"/>
      <c r="F342" s="7" t="s">
        <v>759</v>
      </c>
      <c r="G342" s="7" t="s">
        <v>153</v>
      </c>
      <c r="H342" s="7" t="s">
        <v>246</v>
      </c>
      <c r="I342" s="7" t="s">
        <v>247</v>
      </c>
      <c r="J342" s="7" t="s">
        <v>236</v>
      </c>
      <c r="K342" s="7" t="s">
        <v>189</v>
      </c>
      <c r="L342" s="7" t="s">
        <v>1048</v>
      </c>
      <c r="M342" s="7" t="s">
        <v>556</v>
      </c>
      <c r="N342" s="16"/>
      <c r="O342" s="7"/>
      <c r="P342" s="22"/>
      <c r="Q342" s="8" t="n">
        <v>851.1</v>
      </c>
      <c r="R342" s="8" t="n">
        <v>-851.1</v>
      </c>
      <c r="S342" s="7" t="s">
        <v>775</v>
      </c>
      <c r="T342" s="7"/>
      <c r="U342" s="7"/>
      <c r="V342" s="20"/>
      <c r="W342" s="7"/>
      <c r="X342" s="7" t="s">
        <v>784</v>
      </c>
      <c r="Y342" s="7"/>
      <c r="Z342" s="7"/>
      <c r="AA342" s="23" t="n">
        <f aca="false">YEAR(C342)</f>
        <v>2024</v>
      </c>
    </row>
    <row r="343" customFormat="false" ht="15" hidden="false" customHeight="false" outlineLevel="0" collapsed="false">
      <c r="A343" s="7" t="s">
        <v>1380</v>
      </c>
      <c r="B343" s="7" t="s">
        <v>137</v>
      </c>
      <c r="C343" s="20" t="n">
        <v>45413</v>
      </c>
      <c r="D343" s="20" t="n">
        <v>45413</v>
      </c>
      <c r="E343" s="20"/>
      <c r="F343" s="7" t="s">
        <v>759</v>
      </c>
      <c r="G343" s="7" t="s">
        <v>153</v>
      </c>
      <c r="H343" s="7" t="s">
        <v>545</v>
      </c>
      <c r="I343" s="7" t="s">
        <v>760</v>
      </c>
      <c r="J343" s="7" t="s">
        <v>761</v>
      </c>
      <c r="K343" s="7" t="s">
        <v>762</v>
      </c>
      <c r="L343" s="7" t="s">
        <v>546</v>
      </c>
      <c r="M343" s="7"/>
      <c r="N343" s="16"/>
      <c r="O343" s="7"/>
      <c r="P343" s="22"/>
      <c r="Q343" s="8" t="n">
        <v>4100</v>
      </c>
      <c r="R343" s="8" t="n">
        <v>-4100</v>
      </c>
      <c r="S343" s="7" t="s">
        <v>763</v>
      </c>
      <c r="T343" s="7"/>
      <c r="U343" s="7"/>
      <c r="V343" s="20"/>
      <c r="W343" s="7"/>
      <c r="X343" s="7"/>
      <c r="Y343" s="7"/>
      <c r="Z343" s="7"/>
      <c r="AA343" s="23" t="n">
        <f aca="false">YEAR(C343)</f>
        <v>2024</v>
      </c>
    </row>
    <row r="344" customFormat="false" ht="15" hidden="false" customHeight="false" outlineLevel="0" collapsed="false">
      <c r="A344" s="7" t="s">
        <v>1381</v>
      </c>
      <c r="B344" s="7" t="s">
        <v>137</v>
      </c>
      <c r="C344" s="20" t="n">
        <v>45414</v>
      </c>
      <c r="D344" s="20" t="n">
        <v>45280</v>
      </c>
      <c r="E344" s="20"/>
      <c r="F344" s="7" t="s">
        <v>759</v>
      </c>
      <c r="G344" s="7" t="s">
        <v>144</v>
      </c>
      <c r="H344" s="7" t="s">
        <v>266</v>
      </c>
      <c r="I344" s="7" t="s">
        <v>265</v>
      </c>
      <c r="J344" s="7" t="s">
        <v>221</v>
      </c>
      <c r="K344" s="7" t="s">
        <v>265</v>
      </c>
      <c r="L344" s="7" t="s">
        <v>1382</v>
      </c>
      <c r="M344" s="7" t="s">
        <v>628</v>
      </c>
      <c r="N344" s="16" t="n">
        <v>125</v>
      </c>
      <c r="O344" s="7" t="s">
        <v>801</v>
      </c>
      <c r="P344" s="22"/>
      <c r="Q344" s="8" t="n">
        <v>8968.75</v>
      </c>
      <c r="R344" s="8" t="n">
        <v>-8968.75</v>
      </c>
      <c r="S344" s="7" t="s">
        <v>33</v>
      </c>
      <c r="T344" s="7"/>
      <c r="U344" s="7"/>
      <c r="V344" s="20"/>
      <c r="W344" s="7"/>
      <c r="X344" s="7"/>
      <c r="Y344" s="7" t="s">
        <v>706</v>
      </c>
      <c r="Z344" s="7"/>
      <c r="AA344" s="23" t="n">
        <f aca="false">YEAR(C344)</f>
        <v>2024</v>
      </c>
    </row>
    <row r="345" customFormat="false" ht="15" hidden="false" customHeight="false" outlineLevel="0" collapsed="false">
      <c r="A345" s="7" t="s">
        <v>1383</v>
      </c>
      <c r="B345" s="7" t="s">
        <v>137</v>
      </c>
      <c r="C345" s="20" t="n">
        <v>45420</v>
      </c>
      <c r="D345" s="20" t="n">
        <v>45465</v>
      </c>
      <c r="E345" s="20"/>
      <c r="F345" s="7" t="s">
        <v>759</v>
      </c>
      <c r="G345" s="7" t="s">
        <v>153</v>
      </c>
      <c r="H345" s="7" t="s">
        <v>244</v>
      </c>
      <c r="I345" s="7" t="s">
        <v>245</v>
      </c>
      <c r="J345" s="7" t="s">
        <v>229</v>
      </c>
      <c r="K345" s="7" t="s">
        <v>233</v>
      </c>
      <c r="L345" s="7" t="s">
        <v>570</v>
      </c>
      <c r="M345" s="7"/>
      <c r="N345" s="16"/>
      <c r="O345" s="7"/>
      <c r="P345" s="22"/>
      <c r="Q345" s="8" t="n">
        <v>165</v>
      </c>
      <c r="R345" s="8" t="n">
        <v>-165</v>
      </c>
      <c r="S345" s="7" t="s">
        <v>765</v>
      </c>
      <c r="T345" s="7"/>
      <c r="U345" s="7"/>
      <c r="V345" s="20"/>
      <c r="W345" s="7"/>
      <c r="X345" s="7"/>
      <c r="Y345" s="7"/>
      <c r="Z345" s="7"/>
      <c r="AA345" s="23" t="n">
        <f aca="false">YEAR(C345)</f>
        <v>2024</v>
      </c>
    </row>
    <row r="346" customFormat="false" ht="15" hidden="false" customHeight="false" outlineLevel="0" collapsed="false">
      <c r="A346" s="7" t="s">
        <v>1384</v>
      </c>
      <c r="B346" s="7" t="s">
        <v>137</v>
      </c>
      <c r="C346" s="20" t="n">
        <v>45421</v>
      </c>
      <c r="D346" s="20" t="n">
        <v>45425</v>
      </c>
      <c r="E346" s="20"/>
      <c r="F346" s="7" t="s">
        <v>759</v>
      </c>
      <c r="G346" s="7" t="s">
        <v>141</v>
      </c>
      <c r="H346" s="7" t="s">
        <v>250</v>
      </c>
      <c r="I346" s="7" t="s">
        <v>251</v>
      </c>
      <c r="J346" s="7" t="s">
        <v>248</v>
      </c>
      <c r="K346" s="7" t="s">
        <v>249</v>
      </c>
      <c r="L346" s="7" t="s">
        <v>1385</v>
      </c>
      <c r="M346" s="7" t="s">
        <v>549</v>
      </c>
      <c r="N346" s="16" t="n">
        <v>6469</v>
      </c>
      <c r="O346" s="7" t="s">
        <v>798</v>
      </c>
      <c r="P346" s="22" t="n">
        <v>4.25</v>
      </c>
      <c r="Q346" s="8" t="n">
        <v>27493.25</v>
      </c>
      <c r="R346" s="8" t="n">
        <v>27493.25</v>
      </c>
      <c r="S346" s="7" t="s">
        <v>33</v>
      </c>
      <c r="T346" s="7" t="s">
        <v>1386</v>
      </c>
      <c r="U346" s="7"/>
      <c r="V346" s="20" t="n">
        <v>45421</v>
      </c>
      <c r="W346" s="7"/>
      <c r="X346" s="7"/>
      <c r="Y346" s="7" t="s">
        <v>704</v>
      </c>
      <c r="Z346" s="7"/>
      <c r="AA346" s="23" t="n">
        <f aca="false">YEAR(C346)</f>
        <v>2024</v>
      </c>
    </row>
    <row r="347" customFormat="false" ht="15" hidden="false" customHeight="false" outlineLevel="0" collapsed="false">
      <c r="A347" s="7" t="s">
        <v>1387</v>
      </c>
      <c r="B347" s="7" t="s">
        <v>137</v>
      </c>
      <c r="C347" s="20" t="n">
        <v>45422</v>
      </c>
      <c r="D347" s="20" t="n">
        <v>45422</v>
      </c>
      <c r="E347" s="20"/>
      <c r="F347" s="7" t="s">
        <v>759</v>
      </c>
      <c r="G347" s="7" t="s">
        <v>153</v>
      </c>
      <c r="H347" s="7" t="s">
        <v>237</v>
      </c>
      <c r="I347" s="7" t="s">
        <v>238</v>
      </c>
      <c r="J347" s="7" t="s">
        <v>236</v>
      </c>
      <c r="K347" s="7" t="s">
        <v>189</v>
      </c>
      <c r="L347" s="7" t="s">
        <v>1388</v>
      </c>
      <c r="M347" s="7" t="s">
        <v>768</v>
      </c>
      <c r="N347" s="16"/>
      <c r="O347" s="7"/>
      <c r="P347" s="22"/>
      <c r="Q347" s="8" t="n">
        <v>68.37</v>
      </c>
      <c r="R347" s="8" t="n">
        <v>-68.37</v>
      </c>
      <c r="S347" s="7" t="s">
        <v>744</v>
      </c>
      <c r="T347" s="7"/>
      <c r="U347" s="7"/>
      <c r="V347" s="20"/>
      <c r="W347" s="7"/>
      <c r="X347" s="7" t="s">
        <v>769</v>
      </c>
      <c r="Y347" s="7"/>
      <c r="Z347" s="7"/>
      <c r="AA347" s="23" t="n">
        <f aca="false">YEAR(C347)</f>
        <v>2024</v>
      </c>
    </row>
    <row r="348" customFormat="false" ht="15" hidden="false" customHeight="false" outlineLevel="0" collapsed="false">
      <c r="A348" s="7" t="s">
        <v>1389</v>
      </c>
      <c r="B348" s="7" t="s">
        <v>137</v>
      </c>
      <c r="C348" s="20" t="n">
        <v>45422</v>
      </c>
      <c r="D348" s="20" t="n">
        <v>45422</v>
      </c>
      <c r="E348" s="20"/>
      <c r="F348" s="7" t="s">
        <v>759</v>
      </c>
      <c r="G348" s="7" t="s">
        <v>153</v>
      </c>
      <c r="H348" s="7" t="s">
        <v>559</v>
      </c>
      <c r="I348" s="7" t="s">
        <v>771</v>
      </c>
      <c r="J348" s="7" t="s">
        <v>761</v>
      </c>
      <c r="K348" s="7" t="s">
        <v>772</v>
      </c>
      <c r="L348" s="7" t="s">
        <v>1390</v>
      </c>
      <c r="M348" s="7" t="s">
        <v>768</v>
      </c>
      <c r="N348" s="16"/>
      <c r="O348" s="7"/>
      <c r="P348" s="22"/>
      <c r="Q348" s="8" t="n">
        <v>776.72</v>
      </c>
      <c r="R348" s="8" t="n">
        <v>-776.72</v>
      </c>
      <c r="S348" s="7" t="s">
        <v>744</v>
      </c>
      <c r="T348" s="7"/>
      <c r="U348" s="7"/>
      <c r="V348" s="20"/>
      <c r="W348" s="7"/>
      <c r="X348" s="7" t="s">
        <v>769</v>
      </c>
      <c r="Y348" s="7"/>
      <c r="Z348" s="7"/>
      <c r="AA348" s="23" t="n">
        <f aca="false">YEAR(C348)</f>
        <v>2024</v>
      </c>
    </row>
    <row r="349" customFormat="false" ht="15" hidden="false" customHeight="false" outlineLevel="0" collapsed="false">
      <c r="A349" s="7" t="s">
        <v>1391</v>
      </c>
      <c r="B349" s="7" t="s">
        <v>137</v>
      </c>
      <c r="C349" s="20" t="n">
        <v>45422</v>
      </c>
      <c r="D349" s="20" t="n">
        <v>45422</v>
      </c>
      <c r="E349" s="20"/>
      <c r="F349" s="7" t="s">
        <v>759</v>
      </c>
      <c r="G349" s="7" t="s">
        <v>153</v>
      </c>
      <c r="H349" s="7" t="s">
        <v>561</v>
      </c>
      <c r="I349" s="7" t="s">
        <v>363</v>
      </c>
      <c r="J349" s="7" t="s">
        <v>761</v>
      </c>
      <c r="K349" s="7" t="s">
        <v>772</v>
      </c>
      <c r="L349" s="7" t="s">
        <v>562</v>
      </c>
      <c r="M349" s="7" t="s">
        <v>556</v>
      </c>
      <c r="N349" s="16"/>
      <c r="O349" s="7"/>
      <c r="P349" s="22"/>
      <c r="Q349" s="8" t="n">
        <v>16000</v>
      </c>
      <c r="R349" s="8" t="n">
        <v>16000</v>
      </c>
      <c r="S349" s="7" t="s">
        <v>783</v>
      </c>
      <c r="T349" s="7"/>
      <c r="U349" s="7"/>
      <c r="V349" s="20"/>
      <c r="W349" s="7"/>
      <c r="X349" s="7" t="s">
        <v>784</v>
      </c>
      <c r="Y349" s="7"/>
      <c r="Z349" s="7"/>
      <c r="AA349" s="23" t="n">
        <f aca="false">YEAR(C349)</f>
        <v>2024</v>
      </c>
    </row>
    <row r="350" customFormat="false" ht="15" hidden="false" customHeight="false" outlineLevel="0" collapsed="false">
      <c r="A350" s="7" t="s">
        <v>1392</v>
      </c>
      <c r="B350" s="7" t="s">
        <v>137</v>
      </c>
      <c r="C350" s="20" t="n">
        <v>45422</v>
      </c>
      <c r="D350" s="20" t="n">
        <v>45467</v>
      </c>
      <c r="E350" s="20"/>
      <c r="F350" s="7" t="s">
        <v>759</v>
      </c>
      <c r="G350" s="7" t="s">
        <v>144</v>
      </c>
      <c r="H350" s="7" t="s">
        <v>266</v>
      </c>
      <c r="I350" s="7" t="s">
        <v>265</v>
      </c>
      <c r="J350" s="7" t="s">
        <v>221</v>
      </c>
      <c r="K350" s="7" t="s">
        <v>265</v>
      </c>
      <c r="L350" s="7" t="s">
        <v>1393</v>
      </c>
      <c r="M350" s="7" t="s">
        <v>628</v>
      </c>
      <c r="N350" s="16" t="n">
        <v>80</v>
      </c>
      <c r="O350" s="7" t="s">
        <v>801</v>
      </c>
      <c r="P350" s="22"/>
      <c r="Q350" s="8" t="n">
        <v>4756</v>
      </c>
      <c r="R350" s="8" t="n">
        <v>-4756</v>
      </c>
      <c r="S350" s="7" t="s">
        <v>751</v>
      </c>
      <c r="T350" s="7"/>
      <c r="U350" s="7" t="s">
        <v>1394</v>
      </c>
      <c r="V350" s="20" t="n">
        <v>45467</v>
      </c>
      <c r="W350" s="7"/>
      <c r="X350" s="7"/>
      <c r="Y350" s="7" t="s">
        <v>708</v>
      </c>
      <c r="Z350" s="7"/>
      <c r="AA350" s="23" t="n">
        <f aca="false">YEAR(C350)</f>
        <v>2024</v>
      </c>
    </row>
    <row r="351" customFormat="false" ht="15" hidden="false" customHeight="false" outlineLevel="0" collapsed="false">
      <c r="A351" s="7" t="s">
        <v>1395</v>
      </c>
      <c r="B351" s="7" t="s">
        <v>137</v>
      </c>
      <c r="C351" s="20" t="n">
        <v>45424</v>
      </c>
      <c r="D351" s="20" t="n">
        <v>45424</v>
      </c>
      <c r="E351" s="20"/>
      <c r="F351" s="7" t="s">
        <v>759</v>
      </c>
      <c r="G351" s="7" t="s">
        <v>153</v>
      </c>
      <c r="H351" s="7" t="s">
        <v>240</v>
      </c>
      <c r="I351" s="7" t="s">
        <v>239</v>
      </c>
      <c r="J351" s="7" t="s">
        <v>229</v>
      </c>
      <c r="K351" s="7" t="s">
        <v>239</v>
      </c>
      <c r="L351" s="7" t="s">
        <v>548</v>
      </c>
      <c r="M351" s="7" t="s">
        <v>547</v>
      </c>
      <c r="N351" s="16"/>
      <c r="O351" s="7"/>
      <c r="P351" s="22"/>
      <c r="Q351" s="8" t="n">
        <v>281.55</v>
      </c>
      <c r="R351" s="8" t="n">
        <v>-281.55</v>
      </c>
      <c r="S351" s="7" t="s">
        <v>775</v>
      </c>
      <c r="T351" s="7"/>
      <c r="U351" s="7"/>
      <c r="V351" s="20"/>
      <c r="W351" s="7"/>
      <c r="X351" s="7"/>
      <c r="Y351" s="7"/>
      <c r="Z351" s="7"/>
      <c r="AA351" s="23" t="n">
        <f aca="false">YEAR(C351)</f>
        <v>2024</v>
      </c>
    </row>
    <row r="352" customFormat="false" ht="15" hidden="false" customHeight="false" outlineLevel="0" collapsed="false">
      <c r="A352" s="7" t="s">
        <v>1396</v>
      </c>
      <c r="B352" s="7" t="s">
        <v>137</v>
      </c>
      <c r="C352" s="20" t="n">
        <v>45426</v>
      </c>
      <c r="D352" s="20" t="n">
        <v>45456</v>
      </c>
      <c r="E352" s="20"/>
      <c r="F352" s="7" t="s">
        <v>759</v>
      </c>
      <c r="G352" s="7" t="s">
        <v>144</v>
      </c>
      <c r="H352" s="7" t="s">
        <v>268</v>
      </c>
      <c r="I352" s="7" t="s">
        <v>269</v>
      </c>
      <c r="J352" s="7" t="s">
        <v>221</v>
      </c>
      <c r="K352" s="7" t="s">
        <v>267</v>
      </c>
      <c r="L352" s="7" t="s">
        <v>1397</v>
      </c>
      <c r="M352" s="7" t="s">
        <v>563</v>
      </c>
      <c r="N352" s="16"/>
      <c r="O352" s="7"/>
      <c r="P352" s="22"/>
      <c r="Q352" s="8" t="n">
        <v>838.69</v>
      </c>
      <c r="R352" s="8" t="n">
        <v>-838.69</v>
      </c>
      <c r="S352" s="7" t="s">
        <v>751</v>
      </c>
      <c r="T352" s="7"/>
      <c r="U352" s="7" t="s">
        <v>1398</v>
      </c>
      <c r="V352" s="20" t="n">
        <v>45456</v>
      </c>
      <c r="W352" s="7"/>
      <c r="X352" s="7"/>
      <c r="Y352" s="7" t="s">
        <v>706</v>
      </c>
      <c r="Z352" s="7"/>
      <c r="AA352" s="23" t="n">
        <f aca="false">YEAR(C352)</f>
        <v>2024</v>
      </c>
    </row>
    <row r="353" customFormat="false" ht="15" hidden="false" customHeight="false" outlineLevel="0" collapsed="false">
      <c r="A353" s="7" t="s">
        <v>1399</v>
      </c>
      <c r="B353" s="7" t="s">
        <v>137</v>
      </c>
      <c r="C353" s="20" t="n">
        <v>45428</v>
      </c>
      <c r="D353" s="20" t="n">
        <v>45460</v>
      </c>
      <c r="E353" s="20"/>
      <c r="F353" s="7" t="s">
        <v>759</v>
      </c>
      <c r="G353" s="7" t="s">
        <v>144</v>
      </c>
      <c r="H353" s="7" t="s">
        <v>264</v>
      </c>
      <c r="I353" s="7" t="s">
        <v>263</v>
      </c>
      <c r="J353" s="7" t="s">
        <v>221</v>
      </c>
      <c r="K353" s="7" t="s">
        <v>263</v>
      </c>
      <c r="L353" s="7" t="s">
        <v>885</v>
      </c>
      <c r="M353" s="7" t="s">
        <v>563</v>
      </c>
      <c r="N353" s="16"/>
      <c r="O353" s="7"/>
      <c r="P353" s="22"/>
      <c r="Q353" s="8" t="n">
        <v>3382.5</v>
      </c>
      <c r="R353" s="8" t="n">
        <v>-3382.5</v>
      </c>
      <c r="S353" s="7" t="s">
        <v>751</v>
      </c>
      <c r="T353" s="7"/>
      <c r="U353" s="7" t="s">
        <v>1400</v>
      </c>
      <c r="V353" s="20" t="n">
        <v>45458</v>
      </c>
      <c r="W353" s="7"/>
      <c r="X353" s="7"/>
      <c r="Y353" s="7" t="s">
        <v>706</v>
      </c>
      <c r="Z353" s="7"/>
      <c r="AA353" s="23" t="n">
        <f aca="false">YEAR(C353)</f>
        <v>2024</v>
      </c>
    </row>
    <row r="354" customFormat="false" ht="15" hidden="false" customHeight="false" outlineLevel="0" collapsed="false">
      <c r="A354" s="7" t="s">
        <v>1401</v>
      </c>
      <c r="B354" s="7" t="s">
        <v>137</v>
      </c>
      <c r="C354" s="20" t="n">
        <v>45429</v>
      </c>
      <c r="D354" s="20" t="n">
        <v>45429</v>
      </c>
      <c r="E354" s="20"/>
      <c r="F354" s="7" t="s">
        <v>759</v>
      </c>
      <c r="G354" s="7" t="s">
        <v>149</v>
      </c>
      <c r="H354" s="7" t="s">
        <v>271</v>
      </c>
      <c r="I354" s="7" t="s">
        <v>272</v>
      </c>
      <c r="J354" s="7" t="s">
        <v>221</v>
      </c>
      <c r="K354" s="7" t="s">
        <v>270</v>
      </c>
      <c r="L354" s="7" t="s">
        <v>941</v>
      </c>
      <c r="M354" s="7" t="s">
        <v>541</v>
      </c>
      <c r="N354" s="16"/>
      <c r="O354" s="7"/>
      <c r="P354" s="22"/>
      <c r="Q354" s="8" t="n">
        <v>743.01</v>
      </c>
      <c r="R354" s="8" t="n">
        <v>-743.01</v>
      </c>
      <c r="S354" s="7" t="s">
        <v>744</v>
      </c>
      <c r="T354" s="7"/>
      <c r="U354" s="7"/>
      <c r="V354" s="20"/>
      <c r="W354" s="7"/>
      <c r="X354" s="7"/>
      <c r="Y354" s="7"/>
      <c r="Z354" s="7"/>
      <c r="AA354" s="23" t="n">
        <f aca="false">YEAR(C354)</f>
        <v>2024</v>
      </c>
    </row>
    <row r="355" customFormat="false" ht="15" hidden="false" customHeight="false" outlineLevel="0" collapsed="false">
      <c r="A355" s="7" t="s">
        <v>1402</v>
      </c>
      <c r="B355" s="7" t="s">
        <v>137</v>
      </c>
      <c r="C355" s="20" t="n">
        <v>45429</v>
      </c>
      <c r="D355" s="20" t="n">
        <v>45429</v>
      </c>
      <c r="E355" s="20"/>
      <c r="F355" s="7" t="s">
        <v>759</v>
      </c>
      <c r="G355" s="7" t="s">
        <v>153</v>
      </c>
      <c r="H355" s="7" t="s">
        <v>271</v>
      </c>
      <c r="I355" s="7" t="s">
        <v>272</v>
      </c>
      <c r="J355" s="7" t="s">
        <v>221</v>
      </c>
      <c r="K355" s="7" t="s">
        <v>270</v>
      </c>
      <c r="L355" s="7" t="s">
        <v>544</v>
      </c>
      <c r="M355" s="7" t="s">
        <v>541</v>
      </c>
      <c r="N355" s="16"/>
      <c r="O355" s="7"/>
      <c r="P355" s="22"/>
      <c r="Q355" s="8" t="n">
        <v>495.34</v>
      </c>
      <c r="R355" s="8" t="n">
        <v>-495.34</v>
      </c>
      <c r="S355" s="7" t="s">
        <v>744</v>
      </c>
      <c r="T355" s="7"/>
      <c r="U355" s="7"/>
      <c r="V355" s="20"/>
      <c r="W355" s="7"/>
      <c r="X355" s="7"/>
      <c r="Y355" s="7"/>
      <c r="Z355" s="7"/>
      <c r="AA355" s="23" t="n">
        <f aca="false">YEAR(C355)</f>
        <v>2024</v>
      </c>
    </row>
    <row r="356" customFormat="false" ht="15" hidden="false" customHeight="false" outlineLevel="0" collapsed="false">
      <c r="A356" s="7" t="s">
        <v>1403</v>
      </c>
      <c r="B356" s="7" t="s">
        <v>137</v>
      </c>
      <c r="C356" s="20" t="n">
        <v>45429</v>
      </c>
      <c r="D356" s="20" t="n">
        <v>45458</v>
      </c>
      <c r="E356" s="20"/>
      <c r="F356" s="7" t="s">
        <v>759</v>
      </c>
      <c r="G356" s="7" t="s">
        <v>149</v>
      </c>
      <c r="H356" s="7" t="s">
        <v>273</v>
      </c>
      <c r="I356" s="7" t="s">
        <v>274</v>
      </c>
      <c r="J356" s="7" t="s">
        <v>221</v>
      </c>
      <c r="K356" s="7" t="s">
        <v>270</v>
      </c>
      <c r="L356" s="7" t="s">
        <v>554</v>
      </c>
      <c r="M356" s="7" t="s">
        <v>541</v>
      </c>
      <c r="N356" s="16"/>
      <c r="O356" s="7"/>
      <c r="P356" s="22"/>
      <c r="Q356" s="8" t="n">
        <v>108.97</v>
      </c>
      <c r="R356" s="8" t="n">
        <v>-108.97</v>
      </c>
      <c r="S356" s="7" t="s">
        <v>789</v>
      </c>
      <c r="T356" s="7"/>
      <c r="U356" s="7"/>
      <c r="V356" s="20"/>
      <c r="W356" s="7"/>
      <c r="X356" s="7"/>
      <c r="Y356" s="7"/>
      <c r="Z356" s="7"/>
      <c r="AA356" s="23" t="n">
        <f aca="false">YEAR(C356)</f>
        <v>2024</v>
      </c>
    </row>
    <row r="357" customFormat="false" ht="15" hidden="false" customHeight="false" outlineLevel="0" collapsed="false">
      <c r="A357" s="7" t="s">
        <v>1404</v>
      </c>
      <c r="B357" s="7" t="s">
        <v>137</v>
      </c>
      <c r="C357" s="20" t="n">
        <v>45430</v>
      </c>
      <c r="D357" s="20" t="n">
        <v>45464</v>
      </c>
      <c r="E357" s="20"/>
      <c r="F357" s="7" t="s">
        <v>759</v>
      </c>
      <c r="G357" s="7" t="s">
        <v>136</v>
      </c>
      <c r="H357" s="7" t="s">
        <v>266</v>
      </c>
      <c r="I357" s="7" t="s">
        <v>265</v>
      </c>
      <c r="J357" s="7" t="s">
        <v>221</v>
      </c>
      <c r="K357" s="7" t="s">
        <v>265</v>
      </c>
      <c r="L357" s="7" t="s">
        <v>912</v>
      </c>
      <c r="M357" s="7" t="s">
        <v>591</v>
      </c>
      <c r="N357" s="16" t="n">
        <v>96</v>
      </c>
      <c r="O357" s="7" t="s">
        <v>801</v>
      </c>
      <c r="P357" s="22" t="n">
        <v>84.46</v>
      </c>
      <c r="Q357" s="8" t="n">
        <v>8108.16</v>
      </c>
      <c r="R357" s="8" t="n">
        <v>-8108.16</v>
      </c>
      <c r="S357" s="7" t="s">
        <v>751</v>
      </c>
      <c r="T357" s="7"/>
      <c r="U357" s="7" t="s">
        <v>1405</v>
      </c>
      <c r="V357" s="20" t="n">
        <v>45460</v>
      </c>
      <c r="W357" s="7"/>
      <c r="X357" s="7"/>
      <c r="Y357" s="7" t="s">
        <v>721</v>
      </c>
      <c r="Z357" s="7"/>
      <c r="AA357" s="23" t="n">
        <f aca="false">YEAR(C357)</f>
        <v>2024</v>
      </c>
    </row>
    <row r="358" customFormat="false" ht="15" hidden="false" customHeight="false" outlineLevel="0" collapsed="false">
      <c r="A358" s="7" t="s">
        <v>1406</v>
      </c>
      <c r="B358" s="7" t="s">
        <v>137</v>
      </c>
      <c r="C358" s="20" t="n">
        <v>45430</v>
      </c>
      <c r="D358" s="20" t="n">
        <v>45464</v>
      </c>
      <c r="E358" s="20"/>
      <c r="F358" s="7" t="s">
        <v>759</v>
      </c>
      <c r="G358" s="7" t="s">
        <v>136</v>
      </c>
      <c r="H358" s="7" t="s">
        <v>223</v>
      </c>
      <c r="I358" s="7" t="s">
        <v>224</v>
      </c>
      <c r="J358" s="7" t="s">
        <v>221</v>
      </c>
      <c r="K358" s="7" t="s">
        <v>222</v>
      </c>
      <c r="L358" s="7" t="s">
        <v>915</v>
      </c>
      <c r="M358" s="7" t="s">
        <v>589</v>
      </c>
      <c r="N358" s="16" t="n">
        <v>96</v>
      </c>
      <c r="O358" s="7" t="s">
        <v>801</v>
      </c>
      <c r="P358" s="22" t="n">
        <v>24.72</v>
      </c>
      <c r="Q358" s="8" t="n">
        <v>2373.12</v>
      </c>
      <c r="R358" s="8" t="n">
        <v>-2373.12</v>
      </c>
      <c r="S358" s="7" t="s">
        <v>751</v>
      </c>
      <c r="T358" s="7"/>
      <c r="U358" s="7" t="s">
        <v>1407</v>
      </c>
      <c r="V358" s="20" t="n">
        <v>45460</v>
      </c>
      <c r="W358" s="7"/>
      <c r="X358" s="7"/>
      <c r="Y358" s="7" t="s">
        <v>721</v>
      </c>
      <c r="Z358" s="7"/>
      <c r="AA358" s="23" t="n">
        <f aca="false">YEAR(C358)</f>
        <v>2024</v>
      </c>
    </row>
    <row r="359" customFormat="false" ht="15" hidden="false" customHeight="false" outlineLevel="0" collapsed="false">
      <c r="A359" s="7" t="s">
        <v>1408</v>
      </c>
      <c r="B359" s="7" t="s">
        <v>137</v>
      </c>
      <c r="C359" s="20" t="n">
        <v>45432</v>
      </c>
      <c r="D359" s="20" t="n">
        <v>45462</v>
      </c>
      <c r="E359" s="20"/>
      <c r="F359" s="7" t="s">
        <v>759</v>
      </c>
      <c r="G359" s="7" t="s">
        <v>144</v>
      </c>
      <c r="H359" s="7" t="s">
        <v>268</v>
      </c>
      <c r="I359" s="7" t="s">
        <v>269</v>
      </c>
      <c r="J359" s="7" t="s">
        <v>221</v>
      </c>
      <c r="K359" s="7" t="s">
        <v>267</v>
      </c>
      <c r="L359" s="7" t="s">
        <v>1397</v>
      </c>
      <c r="M359" s="7" t="s">
        <v>563</v>
      </c>
      <c r="N359" s="16"/>
      <c r="O359" s="7"/>
      <c r="P359" s="22"/>
      <c r="Q359" s="8" t="n">
        <v>536.76</v>
      </c>
      <c r="R359" s="8" t="n">
        <v>-536.76</v>
      </c>
      <c r="S359" s="7" t="s">
        <v>751</v>
      </c>
      <c r="T359" s="7"/>
      <c r="U359" s="7" t="s">
        <v>1409</v>
      </c>
      <c r="V359" s="20" t="n">
        <v>45462</v>
      </c>
      <c r="W359" s="7"/>
      <c r="X359" s="7"/>
      <c r="Y359" s="7" t="s">
        <v>708</v>
      </c>
      <c r="Z359" s="7"/>
      <c r="AA359" s="23" t="n">
        <f aca="false">YEAR(C359)</f>
        <v>2024</v>
      </c>
    </row>
    <row r="360" customFormat="false" ht="15" hidden="false" customHeight="false" outlineLevel="0" collapsed="false">
      <c r="A360" s="7" t="s">
        <v>1410</v>
      </c>
      <c r="B360" s="7" t="s">
        <v>137</v>
      </c>
      <c r="C360" s="20" t="n">
        <v>45432</v>
      </c>
      <c r="D360" s="20" t="n">
        <v>45467</v>
      </c>
      <c r="E360" s="20"/>
      <c r="F360" s="7" t="s">
        <v>759</v>
      </c>
      <c r="G360" s="7" t="s">
        <v>136</v>
      </c>
      <c r="H360" s="7" t="s">
        <v>264</v>
      </c>
      <c r="I360" s="7" t="s">
        <v>263</v>
      </c>
      <c r="J360" s="7" t="s">
        <v>221</v>
      </c>
      <c r="K360" s="7" t="s">
        <v>263</v>
      </c>
      <c r="L360" s="7" t="s">
        <v>918</v>
      </c>
      <c r="M360" s="7" t="s">
        <v>591</v>
      </c>
      <c r="N360" s="16" t="n">
        <v>96</v>
      </c>
      <c r="O360" s="7" t="s">
        <v>801</v>
      </c>
      <c r="P360" s="22" t="n">
        <v>18.54</v>
      </c>
      <c r="Q360" s="8" t="n">
        <v>1779.84</v>
      </c>
      <c r="R360" s="8" t="n">
        <v>-1779.84</v>
      </c>
      <c r="S360" s="7" t="s">
        <v>751</v>
      </c>
      <c r="T360" s="7"/>
      <c r="U360" s="7" t="s">
        <v>1411</v>
      </c>
      <c r="V360" s="20" t="n">
        <v>45462</v>
      </c>
      <c r="W360" s="7"/>
      <c r="X360" s="7"/>
      <c r="Y360" s="7" t="s">
        <v>721</v>
      </c>
      <c r="Z360" s="7"/>
      <c r="AA360" s="23" t="n">
        <f aca="false">YEAR(C360)</f>
        <v>2024</v>
      </c>
    </row>
    <row r="361" customFormat="false" ht="15" hidden="false" customHeight="false" outlineLevel="0" collapsed="false">
      <c r="A361" s="7" t="s">
        <v>1412</v>
      </c>
      <c r="B361" s="7" t="s">
        <v>137</v>
      </c>
      <c r="C361" s="20" t="n">
        <v>45434</v>
      </c>
      <c r="D361" s="20" t="n">
        <v>45464</v>
      </c>
      <c r="E361" s="20"/>
      <c r="F361" s="7" t="s">
        <v>759</v>
      </c>
      <c r="G361" s="7" t="s">
        <v>144</v>
      </c>
      <c r="H361" s="7" t="s">
        <v>264</v>
      </c>
      <c r="I361" s="7" t="s">
        <v>263</v>
      </c>
      <c r="J361" s="7" t="s">
        <v>221</v>
      </c>
      <c r="K361" s="7" t="s">
        <v>263</v>
      </c>
      <c r="L361" s="7" t="s">
        <v>885</v>
      </c>
      <c r="M361" s="7" t="s">
        <v>563</v>
      </c>
      <c r="N361" s="16"/>
      <c r="O361" s="7"/>
      <c r="P361" s="22"/>
      <c r="Q361" s="8" t="n">
        <v>2029.5</v>
      </c>
      <c r="R361" s="8" t="n">
        <v>-2029.5</v>
      </c>
      <c r="S361" s="7" t="s">
        <v>751</v>
      </c>
      <c r="T361" s="7"/>
      <c r="U361" s="7" t="s">
        <v>1413</v>
      </c>
      <c r="V361" s="20" t="n">
        <v>45464</v>
      </c>
      <c r="W361" s="7"/>
      <c r="X361" s="7"/>
      <c r="Y361" s="7" t="s">
        <v>708</v>
      </c>
      <c r="Z361" s="7"/>
      <c r="AA361" s="23" t="n">
        <f aca="false">YEAR(C361)</f>
        <v>2024</v>
      </c>
    </row>
    <row r="362" customFormat="false" ht="15" hidden="false" customHeight="false" outlineLevel="0" collapsed="false">
      <c r="A362" s="7" t="s">
        <v>1414</v>
      </c>
      <c r="B362" s="7" t="s">
        <v>137</v>
      </c>
      <c r="C362" s="20" t="n">
        <v>45438</v>
      </c>
      <c r="D362" s="20" t="n">
        <v>45465</v>
      </c>
      <c r="E362" s="20"/>
      <c r="F362" s="7" t="s">
        <v>759</v>
      </c>
      <c r="G362" s="7" t="s">
        <v>153</v>
      </c>
      <c r="H362" s="7" t="s">
        <v>242</v>
      </c>
      <c r="I362" s="7" t="s">
        <v>243</v>
      </c>
      <c r="J362" s="7" t="s">
        <v>229</v>
      </c>
      <c r="K362" s="7" t="s">
        <v>241</v>
      </c>
      <c r="L362" s="7" t="s">
        <v>571</v>
      </c>
      <c r="M362" s="7"/>
      <c r="N362" s="16"/>
      <c r="O362" s="7"/>
      <c r="P362" s="22"/>
      <c r="Q362" s="8" t="n">
        <v>319.23</v>
      </c>
      <c r="R362" s="8" t="n">
        <v>-319.23</v>
      </c>
      <c r="S362" s="7" t="s">
        <v>765</v>
      </c>
      <c r="T362" s="7"/>
      <c r="U362" s="7"/>
      <c r="V362" s="20"/>
      <c r="W362" s="7"/>
      <c r="X362" s="7"/>
      <c r="Y362" s="7"/>
      <c r="Z362" s="7"/>
      <c r="AA362" s="23" t="n">
        <f aca="false">YEAR(C362)</f>
        <v>2024</v>
      </c>
    </row>
    <row r="363" customFormat="false" ht="15" hidden="false" customHeight="false" outlineLevel="0" collapsed="false">
      <c r="A363" s="7" t="s">
        <v>1415</v>
      </c>
      <c r="B363" s="7" t="s">
        <v>137</v>
      </c>
      <c r="C363" s="20" t="n">
        <v>45442</v>
      </c>
      <c r="D363" s="20" t="n">
        <v>45477</v>
      </c>
      <c r="E363" s="20"/>
      <c r="F363" s="7" t="s">
        <v>759</v>
      </c>
      <c r="G363" s="7" t="s">
        <v>149</v>
      </c>
      <c r="H363" s="7" t="s">
        <v>261</v>
      </c>
      <c r="I363" s="7" t="s">
        <v>262</v>
      </c>
      <c r="J363" s="7" t="s">
        <v>221</v>
      </c>
      <c r="K363" s="7" t="s">
        <v>260</v>
      </c>
      <c r="L363" s="7" t="s">
        <v>1416</v>
      </c>
      <c r="M363" s="7" t="s">
        <v>538</v>
      </c>
      <c r="N363" s="16"/>
      <c r="O363" s="7"/>
      <c r="P363" s="22"/>
      <c r="Q363" s="8" t="n">
        <v>6054.4</v>
      </c>
      <c r="R363" s="8" t="n">
        <v>-6054.4</v>
      </c>
      <c r="S363" s="7" t="s">
        <v>751</v>
      </c>
      <c r="T363" s="7"/>
      <c r="U363" s="7" t="s">
        <v>1417</v>
      </c>
      <c r="V363" s="20" t="n">
        <v>45472</v>
      </c>
      <c r="W363" s="7" t="s">
        <v>938</v>
      </c>
      <c r="X363" s="7"/>
      <c r="Y363" s="7"/>
      <c r="Z363" s="7"/>
      <c r="AA363" s="23" t="n">
        <f aca="false">YEAR(C363)</f>
        <v>2024</v>
      </c>
    </row>
    <row r="364" customFormat="false" ht="15" hidden="false" customHeight="false" outlineLevel="0" collapsed="false">
      <c r="A364" s="7" t="s">
        <v>1418</v>
      </c>
      <c r="B364" s="7" t="s">
        <v>137</v>
      </c>
      <c r="C364" s="20" t="n">
        <v>45442</v>
      </c>
      <c r="D364" s="20" t="n">
        <v>45477</v>
      </c>
      <c r="E364" s="20"/>
      <c r="F364" s="7" t="s">
        <v>759</v>
      </c>
      <c r="G364" s="7" t="s">
        <v>141</v>
      </c>
      <c r="H364" s="7" t="s">
        <v>261</v>
      </c>
      <c r="I364" s="7" t="s">
        <v>262</v>
      </c>
      <c r="J364" s="7" t="s">
        <v>221</v>
      </c>
      <c r="K364" s="7" t="s">
        <v>260</v>
      </c>
      <c r="L364" s="7" t="s">
        <v>1419</v>
      </c>
      <c r="M364" s="7" t="s">
        <v>538</v>
      </c>
      <c r="N364" s="16"/>
      <c r="O364" s="7"/>
      <c r="P364" s="22"/>
      <c r="Q364" s="8" t="n">
        <v>825.6</v>
      </c>
      <c r="R364" s="8" t="n">
        <v>-825.6</v>
      </c>
      <c r="S364" s="7" t="s">
        <v>751</v>
      </c>
      <c r="T364" s="7"/>
      <c r="U364" s="7" t="s">
        <v>1420</v>
      </c>
      <c r="V364" s="20" t="n">
        <v>45472</v>
      </c>
      <c r="W364" s="7" t="s">
        <v>938</v>
      </c>
      <c r="X364" s="7"/>
      <c r="Y364" s="7"/>
      <c r="Z364" s="7"/>
      <c r="AA364" s="23" t="n">
        <f aca="false">YEAR(C364)</f>
        <v>2024</v>
      </c>
    </row>
    <row r="365" customFormat="false" ht="15" hidden="false" customHeight="false" outlineLevel="0" collapsed="false">
      <c r="A365" s="7" t="s">
        <v>1421</v>
      </c>
      <c r="B365" s="7" t="s">
        <v>137</v>
      </c>
      <c r="C365" s="20" t="n">
        <v>45443</v>
      </c>
      <c r="D365" s="20" t="n">
        <v>45443</v>
      </c>
      <c r="E365" s="20"/>
      <c r="F365" s="7" t="s">
        <v>759</v>
      </c>
      <c r="G365" s="7" t="s">
        <v>149</v>
      </c>
      <c r="H365" s="7" t="s">
        <v>271</v>
      </c>
      <c r="I365" s="7" t="s">
        <v>272</v>
      </c>
      <c r="J365" s="7" t="s">
        <v>221</v>
      </c>
      <c r="K365" s="7" t="s">
        <v>270</v>
      </c>
      <c r="L365" s="7" t="s">
        <v>1422</v>
      </c>
      <c r="M365" s="7" t="s">
        <v>541</v>
      </c>
      <c r="N365" s="16"/>
      <c r="O365" s="7"/>
      <c r="P365" s="22"/>
      <c r="Q365" s="8" t="n">
        <v>724.74</v>
      </c>
      <c r="R365" s="8" t="n">
        <v>-724.74</v>
      </c>
      <c r="S365" s="7" t="s">
        <v>744</v>
      </c>
      <c r="T365" s="7"/>
      <c r="U365" s="7"/>
      <c r="V365" s="20"/>
      <c r="W365" s="7"/>
      <c r="X365" s="7"/>
      <c r="Y365" s="7"/>
      <c r="Z365" s="7"/>
      <c r="AA365" s="23" t="n">
        <f aca="false">YEAR(C365)</f>
        <v>2024</v>
      </c>
    </row>
    <row r="366" customFormat="false" ht="15" hidden="false" customHeight="false" outlineLevel="0" collapsed="false">
      <c r="A366" s="7" t="s">
        <v>1423</v>
      </c>
      <c r="B366" s="7" t="s">
        <v>137</v>
      </c>
      <c r="C366" s="20" t="n">
        <v>45443</v>
      </c>
      <c r="D366" s="20" t="n">
        <v>45443</v>
      </c>
      <c r="E366" s="20"/>
      <c r="F366" s="7" t="s">
        <v>759</v>
      </c>
      <c r="G366" s="7" t="s">
        <v>153</v>
      </c>
      <c r="H366" s="7" t="s">
        <v>271</v>
      </c>
      <c r="I366" s="7" t="s">
        <v>272</v>
      </c>
      <c r="J366" s="7" t="s">
        <v>221</v>
      </c>
      <c r="K366" s="7" t="s">
        <v>270</v>
      </c>
      <c r="L366" s="7" t="s">
        <v>544</v>
      </c>
      <c r="M366" s="7" t="s">
        <v>541</v>
      </c>
      <c r="N366" s="16"/>
      <c r="O366" s="7"/>
      <c r="P366" s="22"/>
      <c r="Q366" s="8" t="n">
        <v>483.16</v>
      </c>
      <c r="R366" s="8" t="n">
        <v>-483.16</v>
      </c>
      <c r="S366" s="7" t="s">
        <v>744</v>
      </c>
      <c r="T366" s="7"/>
      <c r="U366" s="7"/>
      <c r="V366" s="20"/>
      <c r="W366" s="7"/>
      <c r="X366" s="7"/>
      <c r="Y366" s="7"/>
      <c r="Z366" s="7"/>
      <c r="AA366" s="23" t="n">
        <f aca="false">YEAR(C366)</f>
        <v>2024</v>
      </c>
    </row>
    <row r="367" customFormat="false" ht="15" hidden="false" customHeight="false" outlineLevel="0" collapsed="false">
      <c r="A367" s="7" t="s">
        <v>1424</v>
      </c>
      <c r="B367" s="7" t="s">
        <v>137</v>
      </c>
      <c r="C367" s="20" t="n">
        <v>45443</v>
      </c>
      <c r="D367" s="20" t="n">
        <v>45443</v>
      </c>
      <c r="E367" s="20"/>
      <c r="F367" s="7" t="s">
        <v>759</v>
      </c>
      <c r="G367" s="7" t="s">
        <v>153</v>
      </c>
      <c r="H367" s="7" t="s">
        <v>246</v>
      </c>
      <c r="I367" s="7" t="s">
        <v>247</v>
      </c>
      <c r="J367" s="7" t="s">
        <v>236</v>
      </c>
      <c r="K367" s="7" t="s">
        <v>189</v>
      </c>
      <c r="L367" s="7" t="s">
        <v>1048</v>
      </c>
      <c r="M367" s="7" t="s">
        <v>556</v>
      </c>
      <c r="N367" s="16"/>
      <c r="O367" s="7"/>
      <c r="P367" s="22"/>
      <c r="Q367" s="8" t="n">
        <v>971.08</v>
      </c>
      <c r="R367" s="8" t="n">
        <v>-971.08</v>
      </c>
      <c r="S367" s="7" t="s">
        <v>775</v>
      </c>
      <c r="T367" s="7"/>
      <c r="U367" s="7"/>
      <c r="V367" s="20"/>
      <c r="W367" s="7"/>
      <c r="X367" s="7" t="s">
        <v>784</v>
      </c>
      <c r="Y367" s="7"/>
      <c r="Z367" s="7"/>
      <c r="AA367" s="23" t="n">
        <f aca="false">YEAR(C367)</f>
        <v>2024</v>
      </c>
    </row>
    <row r="368" customFormat="false" ht="15" hidden="false" customHeight="false" outlineLevel="0" collapsed="false">
      <c r="A368" s="7" t="s">
        <v>1425</v>
      </c>
      <c r="B368" s="7" t="s">
        <v>137</v>
      </c>
      <c r="C368" s="20" t="n">
        <v>45443</v>
      </c>
      <c r="D368" s="20" t="n">
        <v>45458</v>
      </c>
      <c r="E368" s="20"/>
      <c r="F368" s="7" t="s">
        <v>759</v>
      </c>
      <c r="G368" s="7" t="s">
        <v>149</v>
      </c>
      <c r="H368" s="7" t="s">
        <v>273</v>
      </c>
      <c r="I368" s="7" t="s">
        <v>274</v>
      </c>
      <c r="J368" s="7" t="s">
        <v>221</v>
      </c>
      <c r="K368" s="7" t="s">
        <v>270</v>
      </c>
      <c r="L368" s="7" t="s">
        <v>554</v>
      </c>
      <c r="M368" s="7" t="s">
        <v>541</v>
      </c>
      <c r="N368" s="16"/>
      <c r="O368" s="7"/>
      <c r="P368" s="22"/>
      <c r="Q368" s="8" t="n">
        <v>106.3</v>
      </c>
      <c r="R368" s="8" t="n">
        <v>-106.3</v>
      </c>
      <c r="S368" s="7" t="s">
        <v>789</v>
      </c>
      <c r="T368" s="7"/>
      <c r="U368" s="7"/>
      <c r="V368" s="20"/>
      <c r="W368" s="7"/>
      <c r="X368" s="7"/>
      <c r="Y368" s="7"/>
      <c r="Z368" s="7"/>
      <c r="AA368" s="23" t="n">
        <f aca="false">YEAR(C368)</f>
        <v>2024</v>
      </c>
    </row>
    <row r="369" customFormat="false" ht="15" hidden="false" customHeight="false" outlineLevel="0" collapsed="false">
      <c r="A369" s="7" t="s">
        <v>1426</v>
      </c>
      <c r="B369" s="7" t="s">
        <v>137</v>
      </c>
      <c r="C369" s="20" t="n">
        <v>45444</v>
      </c>
      <c r="D369" s="20" t="n">
        <v>45444</v>
      </c>
      <c r="E369" s="20"/>
      <c r="F369" s="7" t="s">
        <v>759</v>
      </c>
      <c r="G369" s="7" t="s">
        <v>153</v>
      </c>
      <c r="H369" s="7" t="s">
        <v>545</v>
      </c>
      <c r="I369" s="7" t="s">
        <v>760</v>
      </c>
      <c r="J369" s="7" t="s">
        <v>761</v>
      </c>
      <c r="K369" s="7" t="s">
        <v>762</v>
      </c>
      <c r="L369" s="7" t="s">
        <v>546</v>
      </c>
      <c r="M369" s="7"/>
      <c r="N369" s="16"/>
      <c r="O369" s="7"/>
      <c r="P369" s="22"/>
      <c r="Q369" s="8" t="n">
        <v>4100</v>
      </c>
      <c r="R369" s="8" t="n">
        <v>-4100</v>
      </c>
      <c r="S369" s="7" t="s">
        <v>763</v>
      </c>
      <c r="T369" s="7"/>
      <c r="U369" s="7"/>
      <c r="V369" s="20"/>
      <c r="W369" s="7"/>
      <c r="X369" s="7"/>
      <c r="Y369" s="7"/>
      <c r="Z369" s="7"/>
      <c r="AA369" s="23" t="n">
        <f aca="false">YEAR(C369)</f>
        <v>2024</v>
      </c>
    </row>
    <row r="370" customFormat="false" ht="15" hidden="false" customHeight="false" outlineLevel="0" collapsed="false">
      <c r="A370" s="7" t="s">
        <v>1427</v>
      </c>
      <c r="B370" s="7" t="s">
        <v>137</v>
      </c>
      <c r="C370" s="20" t="n">
        <v>45449</v>
      </c>
      <c r="D370" s="20" t="n">
        <v>45481</v>
      </c>
      <c r="E370" s="20"/>
      <c r="F370" s="7" t="s">
        <v>759</v>
      </c>
      <c r="G370" s="7" t="s">
        <v>149</v>
      </c>
      <c r="H370" s="7" t="s">
        <v>261</v>
      </c>
      <c r="I370" s="7" t="s">
        <v>262</v>
      </c>
      <c r="J370" s="7" t="s">
        <v>221</v>
      </c>
      <c r="K370" s="7" t="s">
        <v>260</v>
      </c>
      <c r="L370" s="7" t="s">
        <v>936</v>
      </c>
      <c r="M370" s="7" t="s">
        <v>538</v>
      </c>
      <c r="N370" s="16"/>
      <c r="O370" s="7"/>
      <c r="P370" s="22"/>
      <c r="Q370" s="8" t="n">
        <v>6753.76</v>
      </c>
      <c r="R370" s="8" t="n">
        <v>-6753.76</v>
      </c>
      <c r="S370" s="7" t="s">
        <v>751</v>
      </c>
      <c r="T370" s="7"/>
      <c r="U370" s="7" t="s">
        <v>1428</v>
      </c>
      <c r="V370" s="20" t="n">
        <v>45479</v>
      </c>
      <c r="W370" s="7" t="s">
        <v>938</v>
      </c>
      <c r="X370" s="7"/>
      <c r="Y370" s="7"/>
      <c r="Z370" s="7"/>
      <c r="AA370" s="23" t="n">
        <f aca="false">YEAR(C370)</f>
        <v>2024</v>
      </c>
    </row>
    <row r="371" customFormat="false" ht="15" hidden="false" customHeight="false" outlineLevel="0" collapsed="false">
      <c r="A371" s="7" t="s">
        <v>1429</v>
      </c>
      <c r="B371" s="7" t="s">
        <v>137</v>
      </c>
      <c r="C371" s="20" t="n">
        <v>45451</v>
      </c>
      <c r="D371" s="20" t="n">
        <v>45495</v>
      </c>
      <c r="E371" s="20"/>
      <c r="F371" s="7" t="s">
        <v>759</v>
      </c>
      <c r="G371" s="7" t="s">
        <v>153</v>
      </c>
      <c r="H371" s="7" t="s">
        <v>244</v>
      </c>
      <c r="I371" s="7" t="s">
        <v>245</v>
      </c>
      <c r="J371" s="7" t="s">
        <v>229</v>
      </c>
      <c r="K371" s="7" t="s">
        <v>233</v>
      </c>
      <c r="L371" s="7" t="s">
        <v>570</v>
      </c>
      <c r="M371" s="7"/>
      <c r="N371" s="16"/>
      <c r="O371" s="7"/>
      <c r="P371" s="22"/>
      <c r="Q371" s="8" t="n">
        <v>165</v>
      </c>
      <c r="R371" s="8" t="n">
        <v>-165</v>
      </c>
      <c r="S371" s="7" t="s">
        <v>765</v>
      </c>
      <c r="T371" s="7"/>
      <c r="U371" s="7"/>
      <c r="V371" s="20"/>
      <c r="W371" s="7"/>
      <c r="X371" s="7"/>
      <c r="Y371" s="7"/>
      <c r="Z371" s="7"/>
      <c r="AA371" s="23" t="n">
        <f aca="false">YEAR(C371)</f>
        <v>2024</v>
      </c>
    </row>
    <row r="372" customFormat="false" ht="15" hidden="false" customHeight="false" outlineLevel="0" collapsed="false">
      <c r="A372" s="7" t="s">
        <v>1430</v>
      </c>
      <c r="B372" s="7" t="s">
        <v>137</v>
      </c>
      <c r="C372" s="20" t="n">
        <v>45453</v>
      </c>
      <c r="D372" s="20" t="n">
        <v>45453</v>
      </c>
      <c r="E372" s="20"/>
      <c r="F372" s="7" t="s">
        <v>759</v>
      </c>
      <c r="G372" s="7" t="s">
        <v>153</v>
      </c>
      <c r="H372" s="7" t="s">
        <v>237</v>
      </c>
      <c r="I372" s="7" t="s">
        <v>238</v>
      </c>
      <c r="J372" s="7" t="s">
        <v>236</v>
      </c>
      <c r="K372" s="7" t="s">
        <v>189</v>
      </c>
      <c r="L372" s="7" t="s">
        <v>1431</v>
      </c>
      <c r="M372" s="7" t="s">
        <v>768</v>
      </c>
      <c r="N372" s="16"/>
      <c r="O372" s="7"/>
      <c r="P372" s="22"/>
      <c r="Q372" s="8" t="n">
        <v>65.84</v>
      </c>
      <c r="R372" s="8" t="n">
        <v>-65.84</v>
      </c>
      <c r="S372" s="7" t="s">
        <v>744</v>
      </c>
      <c r="T372" s="7"/>
      <c r="U372" s="7"/>
      <c r="V372" s="20"/>
      <c r="W372" s="7"/>
      <c r="X372" s="7" t="s">
        <v>769</v>
      </c>
      <c r="Y372" s="7"/>
      <c r="Z372" s="7"/>
      <c r="AA372" s="23" t="n">
        <f aca="false">YEAR(C372)</f>
        <v>2024</v>
      </c>
    </row>
    <row r="373" customFormat="false" ht="15" hidden="false" customHeight="false" outlineLevel="0" collapsed="false">
      <c r="A373" s="7" t="s">
        <v>1432</v>
      </c>
      <c r="B373" s="7" t="s">
        <v>137</v>
      </c>
      <c r="C373" s="20" t="n">
        <v>45453</v>
      </c>
      <c r="D373" s="20" t="n">
        <v>45453</v>
      </c>
      <c r="E373" s="20"/>
      <c r="F373" s="7" t="s">
        <v>759</v>
      </c>
      <c r="G373" s="7" t="s">
        <v>153</v>
      </c>
      <c r="H373" s="7" t="s">
        <v>559</v>
      </c>
      <c r="I373" s="7" t="s">
        <v>771</v>
      </c>
      <c r="J373" s="7" t="s">
        <v>761</v>
      </c>
      <c r="K373" s="7" t="s">
        <v>772</v>
      </c>
      <c r="L373" s="7" t="s">
        <v>1433</v>
      </c>
      <c r="M373" s="7" t="s">
        <v>768</v>
      </c>
      <c r="N373" s="16"/>
      <c r="O373" s="7"/>
      <c r="P373" s="22"/>
      <c r="Q373" s="8" t="n">
        <v>779.25</v>
      </c>
      <c r="R373" s="8" t="n">
        <v>-779.25</v>
      </c>
      <c r="S373" s="7" t="s">
        <v>744</v>
      </c>
      <c r="T373" s="7"/>
      <c r="U373" s="7"/>
      <c r="V373" s="20"/>
      <c r="W373" s="7"/>
      <c r="X373" s="7" t="s">
        <v>769</v>
      </c>
      <c r="Y373" s="7"/>
      <c r="Z373" s="7"/>
      <c r="AA373" s="23" t="n">
        <f aca="false">YEAR(C373)</f>
        <v>2024</v>
      </c>
    </row>
    <row r="374" customFormat="false" ht="15" hidden="false" customHeight="false" outlineLevel="0" collapsed="false">
      <c r="A374" s="7" t="s">
        <v>1434</v>
      </c>
      <c r="B374" s="7" t="s">
        <v>137</v>
      </c>
      <c r="C374" s="20" t="n">
        <v>45454</v>
      </c>
      <c r="D374" s="20" t="n">
        <v>45495</v>
      </c>
      <c r="E374" s="20"/>
      <c r="F374" s="7" t="s">
        <v>759</v>
      </c>
      <c r="G374" s="7" t="s">
        <v>149</v>
      </c>
      <c r="H374" s="7" t="s">
        <v>284</v>
      </c>
      <c r="I374" s="7" t="s">
        <v>285</v>
      </c>
      <c r="J374" s="7" t="s">
        <v>221</v>
      </c>
      <c r="K374" s="7" t="s">
        <v>283</v>
      </c>
      <c r="L374" s="7" t="s">
        <v>949</v>
      </c>
      <c r="M374" s="7"/>
      <c r="N374" s="16"/>
      <c r="O374" s="7"/>
      <c r="P374" s="22"/>
      <c r="Q374" s="8" t="n">
        <v>2000</v>
      </c>
      <c r="R374" s="8" t="n">
        <v>-2000</v>
      </c>
      <c r="S374" s="7" t="s">
        <v>765</v>
      </c>
      <c r="T374" s="7"/>
      <c r="U374" s="7"/>
      <c r="V374" s="20"/>
      <c r="W374" s="7"/>
      <c r="X374" s="7"/>
      <c r="Y374" s="7"/>
      <c r="Z374" s="7"/>
      <c r="AA374" s="23" t="n">
        <f aca="false">YEAR(C374)</f>
        <v>2024</v>
      </c>
    </row>
    <row r="375" customFormat="false" ht="15" hidden="false" customHeight="false" outlineLevel="0" collapsed="false">
      <c r="A375" s="7" t="s">
        <v>1435</v>
      </c>
      <c r="B375" s="7" t="s">
        <v>137</v>
      </c>
      <c r="C375" s="20" t="n">
        <v>45455</v>
      </c>
      <c r="D375" s="20" t="n">
        <v>45455</v>
      </c>
      <c r="E375" s="20"/>
      <c r="F375" s="7" t="s">
        <v>759</v>
      </c>
      <c r="G375" s="7" t="s">
        <v>153</v>
      </c>
      <c r="H375" s="7" t="s">
        <v>240</v>
      </c>
      <c r="I375" s="7" t="s">
        <v>239</v>
      </c>
      <c r="J375" s="7" t="s">
        <v>229</v>
      </c>
      <c r="K375" s="7" t="s">
        <v>239</v>
      </c>
      <c r="L375" s="7" t="s">
        <v>548</v>
      </c>
      <c r="M375" s="7" t="s">
        <v>547</v>
      </c>
      <c r="N375" s="16"/>
      <c r="O375" s="7"/>
      <c r="P375" s="22"/>
      <c r="Q375" s="8" t="n">
        <v>256.22</v>
      </c>
      <c r="R375" s="8" t="n">
        <v>-256.22</v>
      </c>
      <c r="S375" s="7" t="s">
        <v>775</v>
      </c>
      <c r="T375" s="7"/>
      <c r="U375" s="7"/>
      <c r="V375" s="20"/>
      <c r="W375" s="7"/>
      <c r="X375" s="7"/>
      <c r="Y375" s="7"/>
      <c r="Z375" s="7"/>
      <c r="AA375" s="23" t="n">
        <f aca="false">YEAR(C375)</f>
        <v>2024</v>
      </c>
    </row>
    <row r="376" customFormat="false" ht="15" hidden="false" customHeight="false" outlineLevel="0" collapsed="false">
      <c r="A376" s="7" t="s">
        <v>1436</v>
      </c>
      <c r="B376" s="7" t="s">
        <v>137</v>
      </c>
      <c r="C376" s="20" t="n">
        <v>45457</v>
      </c>
      <c r="D376" s="20" t="n">
        <v>45457</v>
      </c>
      <c r="E376" s="20"/>
      <c r="F376" s="7" t="s">
        <v>759</v>
      </c>
      <c r="G376" s="7" t="s">
        <v>149</v>
      </c>
      <c r="H376" s="7" t="s">
        <v>271</v>
      </c>
      <c r="I376" s="7" t="s">
        <v>272</v>
      </c>
      <c r="J376" s="7" t="s">
        <v>221</v>
      </c>
      <c r="K376" s="7" t="s">
        <v>270</v>
      </c>
      <c r="L376" s="7" t="s">
        <v>1437</v>
      </c>
      <c r="M376" s="7" t="s">
        <v>541</v>
      </c>
      <c r="N376" s="16"/>
      <c r="O376" s="7"/>
      <c r="P376" s="22"/>
      <c r="Q376" s="8" t="n">
        <v>1487.91</v>
      </c>
      <c r="R376" s="8" t="n">
        <v>-1487.91</v>
      </c>
      <c r="S376" s="7" t="s">
        <v>744</v>
      </c>
      <c r="T376" s="7"/>
      <c r="U376" s="7"/>
      <c r="V376" s="20"/>
      <c r="W376" s="7"/>
      <c r="X376" s="7"/>
      <c r="Y376" s="7"/>
      <c r="Z376" s="7"/>
      <c r="AA376" s="23" t="n">
        <f aca="false">YEAR(C376)</f>
        <v>2024</v>
      </c>
    </row>
    <row r="377" customFormat="false" ht="15" hidden="false" customHeight="false" outlineLevel="0" collapsed="false">
      <c r="A377" s="7" t="s">
        <v>1438</v>
      </c>
      <c r="B377" s="7" t="s">
        <v>137</v>
      </c>
      <c r="C377" s="20" t="n">
        <v>45457</v>
      </c>
      <c r="D377" s="20" t="n">
        <v>45457</v>
      </c>
      <c r="E377" s="20"/>
      <c r="F377" s="7" t="s">
        <v>759</v>
      </c>
      <c r="G377" s="7" t="s">
        <v>153</v>
      </c>
      <c r="H377" s="7" t="s">
        <v>271</v>
      </c>
      <c r="I377" s="7" t="s">
        <v>272</v>
      </c>
      <c r="J377" s="7" t="s">
        <v>221</v>
      </c>
      <c r="K377" s="7" t="s">
        <v>270</v>
      </c>
      <c r="L377" s="7" t="s">
        <v>544</v>
      </c>
      <c r="M377" s="7" t="s">
        <v>541</v>
      </c>
      <c r="N377" s="16"/>
      <c r="O377" s="7"/>
      <c r="P377" s="22"/>
      <c r="Q377" s="8" t="n">
        <v>991.94</v>
      </c>
      <c r="R377" s="8" t="n">
        <v>-991.94</v>
      </c>
      <c r="S377" s="7" t="s">
        <v>744</v>
      </c>
      <c r="T377" s="7"/>
      <c r="U377" s="7"/>
      <c r="V377" s="20"/>
      <c r="W377" s="7"/>
      <c r="X377" s="7"/>
      <c r="Y377" s="7"/>
      <c r="Z377" s="7"/>
      <c r="AA377" s="23" t="n">
        <f aca="false">YEAR(C377)</f>
        <v>2024</v>
      </c>
    </row>
    <row r="378" customFormat="false" ht="15" hidden="false" customHeight="false" outlineLevel="0" collapsed="false">
      <c r="A378" s="7" t="s">
        <v>1439</v>
      </c>
      <c r="B378" s="7" t="s">
        <v>137</v>
      </c>
      <c r="C378" s="20" t="n">
        <v>45457</v>
      </c>
      <c r="D378" s="20" t="n">
        <v>45488</v>
      </c>
      <c r="E378" s="20"/>
      <c r="F378" s="7" t="s">
        <v>759</v>
      </c>
      <c r="G378" s="7" t="s">
        <v>149</v>
      </c>
      <c r="H378" s="7" t="s">
        <v>273</v>
      </c>
      <c r="I378" s="7" t="s">
        <v>274</v>
      </c>
      <c r="J378" s="7" t="s">
        <v>221</v>
      </c>
      <c r="K378" s="7" t="s">
        <v>270</v>
      </c>
      <c r="L378" s="7" t="s">
        <v>554</v>
      </c>
      <c r="M378" s="7" t="s">
        <v>541</v>
      </c>
      <c r="N378" s="16"/>
      <c r="O378" s="7"/>
      <c r="P378" s="22"/>
      <c r="Q378" s="8" t="n">
        <v>218.23</v>
      </c>
      <c r="R378" s="8" t="n">
        <v>-218.23</v>
      </c>
      <c r="S378" s="7" t="s">
        <v>789</v>
      </c>
      <c r="T378" s="7"/>
      <c r="U378" s="7"/>
      <c r="V378" s="20"/>
      <c r="W378" s="7"/>
      <c r="X378" s="7"/>
      <c r="Y378" s="7"/>
      <c r="Z378" s="7"/>
      <c r="AA378" s="23" t="n">
        <f aca="false">YEAR(C378)</f>
        <v>2024</v>
      </c>
    </row>
    <row r="379" customFormat="false" ht="15" hidden="false" customHeight="false" outlineLevel="0" collapsed="false">
      <c r="A379" s="7" t="s">
        <v>1440</v>
      </c>
      <c r="B379" s="7" t="s">
        <v>137</v>
      </c>
      <c r="C379" s="20" t="n">
        <v>45458</v>
      </c>
      <c r="D379" s="20" t="n">
        <v>45458</v>
      </c>
      <c r="E379" s="20"/>
      <c r="F379" s="7" t="s">
        <v>759</v>
      </c>
      <c r="G379" s="7" t="s">
        <v>153</v>
      </c>
      <c r="H379" s="7" t="s">
        <v>786</v>
      </c>
      <c r="I379" s="7" t="s">
        <v>787</v>
      </c>
      <c r="J379" s="7" t="s">
        <v>761</v>
      </c>
      <c r="K379" s="7" t="s">
        <v>762</v>
      </c>
      <c r="L379" s="7" t="s">
        <v>788</v>
      </c>
      <c r="M379" s="7"/>
      <c r="N379" s="16"/>
      <c r="O379" s="7"/>
      <c r="P379" s="22"/>
      <c r="Q379" s="8" t="n">
        <v>3500</v>
      </c>
      <c r="R379" s="8" t="n">
        <v>-3500</v>
      </c>
      <c r="S379" s="7" t="s">
        <v>789</v>
      </c>
      <c r="T379" s="7"/>
      <c r="U379" s="7"/>
      <c r="V379" s="20"/>
      <c r="W379" s="7"/>
      <c r="X379" s="7"/>
      <c r="Y379" s="7"/>
      <c r="Z379" s="7"/>
      <c r="AA379" s="23" t="n">
        <f aca="false">YEAR(C379)</f>
        <v>2024</v>
      </c>
    </row>
    <row r="380" customFormat="false" ht="15" hidden="false" customHeight="false" outlineLevel="0" collapsed="false">
      <c r="A380" s="7" t="s">
        <v>1441</v>
      </c>
      <c r="B380" s="7" t="s">
        <v>137</v>
      </c>
      <c r="C380" s="20" t="n">
        <v>45464</v>
      </c>
      <c r="D380" s="20" t="n">
        <v>45464</v>
      </c>
      <c r="E380" s="20"/>
      <c r="F380" s="7" t="s">
        <v>759</v>
      </c>
      <c r="G380" s="7" t="s">
        <v>153</v>
      </c>
      <c r="H380" s="7" t="s">
        <v>561</v>
      </c>
      <c r="I380" s="7" t="s">
        <v>363</v>
      </c>
      <c r="J380" s="7" t="s">
        <v>761</v>
      </c>
      <c r="K380" s="7" t="s">
        <v>772</v>
      </c>
      <c r="L380" s="7" t="s">
        <v>562</v>
      </c>
      <c r="M380" s="7" t="s">
        <v>556</v>
      </c>
      <c r="N380" s="16"/>
      <c r="O380" s="7"/>
      <c r="P380" s="22"/>
      <c r="Q380" s="8" t="n">
        <v>16000</v>
      </c>
      <c r="R380" s="8" t="n">
        <v>16000</v>
      </c>
      <c r="S380" s="7" t="s">
        <v>783</v>
      </c>
      <c r="T380" s="7"/>
      <c r="U380" s="7"/>
      <c r="V380" s="20"/>
      <c r="W380" s="7"/>
      <c r="X380" s="7" t="s">
        <v>784</v>
      </c>
      <c r="Y380" s="7"/>
      <c r="Z380" s="7"/>
      <c r="AA380" s="23" t="n">
        <f aca="false">YEAR(C380)</f>
        <v>2024</v>
      </c>
    </row>
    <row r="381" customFormat="false" ht="15" hidden="false" customHeight="false" outlineLevel="0" collapsed="false">
      <c r="A381" s="7" t="s">
        <v>1442</v>
      </c>
      <c r="B381" s="7" t="s">
        <v>137</v>
      </c>
      <c r="C381" s="20" t="n">
        <v>45466</v>
      </c>
      <c r="D381" s="20" t="n">
        <v>45496</v>
      </c>
      <c r="E381" s="20"/>
      <c r="F381" s="7" t="s">
        <v>759</v>
      </c>
      <c r="G381" s="7" t="s">
        <v>144</v>
      </c>
      <c r="H381" s="7" t="s">
        <v>264</v>
      </c>
      <c r="I381" s="7" t="s">
        <v>263</v>
      </c>
      <c r="J381" s="7" t="s">
        <v>221</v>
      </c>
      <c r="K381" s="7" t="s">
        <v>263</v>
      </c>
      <c r="L381" s="7" t="s">
        <v>927</v>
      </c>
      <c r="M381" s="7" t="s">
        <v>563</v>
      </c>
      <c r="N381" s="16"/>
      <c r="O381" s="7"/>
      <c r="P381" s="22"/>
      <c r="Q381" s="8" t="n">
        <v>2767.5</v>
      </c>
      <c r="R381" s="8" t="n">
        <v>-2767.5</v>
      </c>
      <c r="S381" s="7" t="s">
        <v>751</v>
      </c>
      <c r="T381" s="7"/>
      <c r="U381" s="7" t="s">
        <v>1443</v>
      </c>
      <c r="V381" s="20" t="n">
        <v>45496</v>
      </c>
      <c r="W381" s="7"/>
      <c r="X381" s="7"/>
      <c r="Y381" s="7" t="s">
        <v>706</v>
      </c>
      <c r="Z381" s="7"/>
      <c r="AA381" s="23" t="n">
        <f aca="false">YEAR(C381)</f>
        <v>2024</v>
      </c>
    </row>
    <row r="382" customFormat="false" ht="15" hidden="false" customHeight="false" outlineLevel="0" collapsed="false">
      <c r="A382" s="7" t="s">
        <v>1444</v>
      </c>
      <c r="B382" s="7" t="s">
        <v>137</v>
      </c>
      <c r="C382" s="20" t="n">
        <v>45466</v>
      </c>
      <c r="D382" s="20" t="n">
        <v>45547</v>
      </c>
      <c r="E382" s="20"/>
      <c r="F382" s="7" t="s">
        <v>759</v>
      </c>
      <c r="G382" s="7" t="s">
        <v>149</v>
      </c>
      <c r="H382" s="7" t="s">
        <v>279</v>
      </c>
      <c r="I382" s="7" t="s">
        <v>280</v>
      </c>
      <c r="J382" s="7" t="s">
        <v>248</v>
      </c>
      <c r="K382" s="7" t="s">
        <v>278</v>
      </c>
      <c r="L382" s="7" t="s">
        <v>1445</v>
      </c>
      <c r="M382" s="7" t="s">
        <v>600</v>
      </c>
      <c r="N382" s="16" t="n">
        <v>263</v>
      </c>
      <c r="O382" s="7" t="s">
        <v>801</v>
      </c>
      <c r="P382" s="22" t="n">
        <v>40</v>
      </c>
      <c r="Q382" s="8" t="n">
        <v>10520</v>
      </c>
      <c r="R382" s="8" t="n">
        <v>10520</v>
      </c>
      <c r="S382" s="7" t="s">
        <v>33</v>
      </c>
      <c r="T382" s="7" t="s">
        <v>1446</v>
      </c>
      <c r="U382" s="7"/>
      <c r="V382" s="20" t="n">
        <v>45496</v>
      </c>
      <c r="W382" s="7"/>
      <c r="X382" s="7"/>
      <c r="Y382" s="7"/>
      <c r="Z382" s="7"/>
      <c r="AA382" s="23" t="n">
        <f aca="false">YEAR(C382)</f>
        <v>2024</v>
      </c>
    </row>
    <row r="383" customFormat="false" ht="15" hidden="false" customHeight="false" outlineLevel="0" collapsed="false">
      <c r="A383" s="7" t="s">
        <v>1447</v>
      </c>
      <c r="B383" s="7" t="s">
        <v>137</v>
      </c>
      <c r="C383" s="20" t="n">
        <v>45466</v>
      </c>
      <c r="D383" s="20" t="n">
        <v>45547</v>
      </c>
      <c r="E383" s="20"/>
      <c r="F383" s="7" t="s">
        <v>759</v>
      </c>
      <c r="G383" s="7" t="s">
        <v>149</v>
      </c>
      <c r="H383" s="7" t="s">
        <v>281</v>
      </c>
      <c r="I383" s="7" t="s">
        <v>282</v>
      </c>
      <c r="J383" s="7" t="s">
        <v>248</v>
      </c>
      <c r="K383" s="7" t="s">
        <v>278</v>
      </c>
      <c r="L383" s="7" t="s">
        <v>1448</v>
      </c>
      <c r="M383" s="7" t="s">
        <v>600</v>
      </c>
      <c r="N383" s="16" t="n">
        <v>4629</v>
      </c>
      <c r="O383" s="7" t="s">
        <v>798</v>
      </c>
      <c r="P383" s="22" t="n">
        <v>0.19</v>
      </c>
      <c r="Q383" s="8" t="n">
        <v>879.47</v>
      </c>
      <c r="R383" s="8" t="n">
        <v>879.47</v>
      </c>
      <c r="S383" s="7" t="s">
        <v>33</v>
      </c>
      <c r="T383" s="7" t="s">
        <v>1446</v>
      </c>
      <c r="U383" s="7"/>
      <c r="V383" s="20" t="n">
        <v>45496</v>
      </c>
      <c r="W383" s="7"/>
      <c r="X383" s="7"/>
      <c r="Y383" s="7"/>
      <c r="Z383" s="7"/>
      <c r="AA383" s="23" t="n">
        <f aca="false">YEAR(C383)</f>
        <v>2024</v>
      </c>
    </row>
    <row r="384" customFormat="false" ht="15" hidden="false" customHeight="false" outlineLevel="0" collapsed="false">
      <c r="A384" s="7" t="s">
        <v>1449</v>
      </c>
      <c r="B384" s="7" t="s">
        <v>137</v>
      </c>
      <c r="C384" s="20" t="n">
        <v>45467</v>
      </c>
      <c r="D384" s="20" t="n">
        <v>45497</v>
      </c>
      <c r="E384" s="20"/>
      <c r="F384" s="7" t="s">
        <v>759</v>
      </c>
      <c r="G384" s="7" t="s">
        <v>146</v>
      </c>
      <c r="H384" s="7" t="s">
        <v>268</v>
      </c>
      <c r="I384" s="7" t="s">
        <v>269</v>
      </c>
      <c r="J384" s="7" t="s">
        <v>221</v>
      </c>
      <c r="K384" s="7" t="s">
        <v>267</v>
      </c>
      <c r="L384" s="7" t="s">
        <v>978</v>
      </c>
      <c r="M384" s="7" t="s">
        <v>563</v>
      </c>
      <c r="N384" s="16"/>
      <c r="O384" s="7"/>
      <c r="P384" s="22"/>
      <c r="Q384" s="8" t="n">
        <v>593.56</v>
      </c>
      <c r="R384" s="8" t="n">
        <v>-593.56</v>
      </c>
      <c r="S384" s="7" t="s">
        <v>751</v>
      </c>
      <c r="T384" s="7"/>
      <c r="U384" s="7" t="s">
        <v>1450</v>
      </c>
      <c r="V384" s="20" t="n">
        <v>45497</v>
      </c>
      <c r="W384" s="7"/>
      <c r="X384" s="7"/>
      <c r="Y384" s="7" t="s">
        <v>705</v>
      </c>
      <c r="Z384" s="7"/>
      <c r="AA384" s="23" t="n">
        <f aca="false">YEAR(C384)</f>
        <v>2024</v>
      </c>
    </row>
    <row r="385" customFormat="false" ht="15" hidden="false" customHeight="false" outlineLevel="0" collapsed="false">
      <c r="A385" s="7" t="s">
        <v>1451</v>
      </c>
      <c r="B385" s="7" t="s">
        <v>137</v>
      </c>
      <c r="C385" s="20" t="n">
        <v>45467</v>
      </c>
      <c r="D385" s="20" t="n">
        <v>45502</v>
      </c>
      <c r="E385" s="20"/>
      <c r="F385" s="7" t="s">
        <v>759</v>
      </c>
      <c r="G385" s="7" t="s">
        <v>136</v>
      </c>
      <c r="H385" s="7" t="s">
        <v>264</v>
      </c>
      <c r="I385" s="7" t="s">
        <v>263</v>
      </c>
      <c r="J385" s="7" t="s">
        <v>221</v>
      </c>
      <c r="K385" s="7" t="s">
        <v>263</v>
      </c>
      <c r="L385" s="7" t="s">
        <v>961</v>
      </c>
      <c r="M385" s="7" t="s">
        <v>591</v>
      </c>
      <c r="N385" s="16" t="n">
        <v>96</v>
      </c>
      <c r="O385" s="7" t="s">
        <v>801</v>
      </c>
      <c r="P385" s="22" t="n">
        <v>14.42</v>
      </c>
      <c r="Q385" s="8" t="n">
        <v>1384.32</v>
      </c>
      <c r="R385" s="8" t="n">
        <v>-1384.32</v>
      </c>
      <c r="S385" s="7" t="s">
        <v>751</v>
      </c>
      <c r="T385" s="7"/>
      <c r="U385" s="7" t="s">
        <v>1452</v>
      </c>
      <c r="V385" s="20" t="n">
        <v>45497</v>
      </c>
      <c r="W385" s="7"/>
      <c r="X385" s="7"/>
      <c r="Y385" s="7" t="s">
        <v>721</v>
      </c>
      <c r="Z385" s="7"/>
      <c r="AA385" s="23" t="n">
        <f aca="false">YEAR(C385)</f>
        <v>2024</v>
      </c>
    </row>
    <row r="386" customFormat="false" ht="15" hidden="false" customHeight="false" outlineLevel="0" collapsed="false">
      <c r="A386" s="7" t="s">
        <v>1453</v>
      </c>
      <c r="B386" s="7" t="s">
        <v>137</v>
      </c>
      <c r="C386" s="20" t="n">
        <v>45467</v>
      </c>
      <c r="D386" s="20" t="n">
        <v>45502</v>
      </c>
      <c r="E386" s="20"/>
      <c r="F386" s="7" t="s">
        <v>759</v>
      </c>
      <c r="G386" s="7" t="s">
        <v>136</v>
      </c>
      <c r="H386" s="7" t="s">
        <v>223</v>
      </c>
      <c r="I386" s="7" t="s">
        <v>224</v>
      </c>
      <c r="J386" s="7" t="s">
        <v>221</v>
      </c>
      <c r="K386" s="7" t="s">
        <v>222</v>
      </c>
      <c r="L386" s="7" t="s">
        <v>964</v>
      </c>
      <c r="M386" s="7" t="s">
        <v>589</v>
      </c>
      <c r="N386" s="16" t="n">
        <v>96</v>
      </c>
      <c r="O386" s="7" t="s">
        <v>801</v>
      </c>
      <c r="P386" s="22" t="n">
        <v>9.27</v>
      </c>
      <c r="Q386" s="8" t="n">
        <v>889.92</v>
      </c>
      <c r="R386" s="8" t="n">
        <v>-889.92</v>
      </c>
      <c r="S386" s="7" t="s">
        <v>751</v>
      </c>
      <c r="T386" s="7"/>
      <c r="U386" s="7" t="s">
        <v>1454</v>
      </c>
      <c r="V386" s="20" t="n">
        <v>45497</v>
      </c>
      <c r="W386" s="7"/>
      <c r="X386" s="7"/>
      <c r="Y386" s="7" t="s">
        <v>721</v>
      </c>
      <c r="Z386" s="7"/>
      <c r="AA386" s="23" t="n">
        <f aca="false">YEAR(C386)</f>
        <v>2024</v>
      </c>
    </row>
    <row r="387" customFormat="false" ht="15" hidden="false" customHeight="false" outlineLevel="0" collapsed="false">
      <c r="A387" s="7" t="s">
        <v>1455</v>
      </c>
      <c r="B387" s="7" t="s">
        <v>137</v>
      </c>
      <c r="C387" s="20" t="n">
        <v>45468</v>
      </c>
      <c r="D387" s="20" t="n">
        <v>45513</v>
      </c>
      <c r="E387" s="20"/>
      <c r="F387" s="7" t="s">
        <v>759</v>
      </c>
      <c r="G387" s="7" t="s">
        <v>149</v>
      </c>
      <c r="H387" s="7" t="s">
        <v>279</v>
      </c>
      <c r="I387" s="7" t="s">
        <v>280</v>
      </c>
      <c r="J387" s="7" t="s">
        <v>248</v>
      </c>
      <c r="K387" s="7" t="s">
        <v>278</v>
      </c>
      <c r="L387" s="7" t="s">
        <v>1456</v>
      </c>
      <c r="M387" s="7" t="s">
        <v>603</v>
      </c>
      <c r="N387" s="16" t="n">
        <v>187</v>
      </c>
      <c r="O387" s="7" t="s">
        <v>801</v>
      </c>
      <c r="P387" s="22" t="n">
        <v>40</v>
      </c>
      <c r="Q387" s="8" t="n">
        <v>7480</v>
      </c>
      <c r="R387" s="8" t="n">
        <v>7480</v>
      </c>
      <c r="S387" s="7" t="s">
        <v>33</v>
      </c>
      <c r="T387" s="7" t="s">
        <v>1457</v>
      </c>
      <c r="U387" s="7"/>
      <c r="V387" s="20" t="n">
        <v>45498</v>
      </c>
      <c r="W387" s="7"/>
      <c r="X387" s="7"/>
      <c r="Y387" s="7"/>
      <c r="Z387" s="7"/>
      <c r="AA387" s="23" t="n">
        <f aca="false">YEAR(C387)</f>
        <v>2024</v>
      </c>
    </row>
    <row r="388" customFormat="false" ht="15" hidden="false" customHeight="false" outlineLevel="0" collapsed="false">
      <c r="A388" s="7" t="s">
        <v>1458</v>
      </c>
      <c r="B388" s="7" t="s">
        <v>137</v>
      </c>
      <c r="C388" s="20" t="n">
        <v>45468</v>
      </c>
      <c r="D388" s="20" t="n">
        <v>45513</v>
      </c>
      <c r="E388" s="20"/>
      <c r="F388" s="7" t="s">
        <v>759</v>
      </c>
      <c r="G388" s="7" t="s">
        <v>149</v>
      </c>
      <c r="H388" s="7" t="s">
        <v>281</v>
      </c>
      <c r="I388" s="7" t="s">
        <v>282</v>
      </c>
      <c r="J388" s="7" t="s">
        <v>248</v>
      </c>
      <c r="K388" s="7" t="s">
        <v>278</v>
      </c>
      <c r="L388" s="7" t="s">
        <v>1459</v>
      </c>
      <c r="M388" s="7" t="s">
        <v>603</v>
      </c>
      <c r="N388" s="16" t="n">
        <v>3291</v>
      </c>
      <c r="O388" s="7" t="s">
        <v>798</v>
      </c>
      <c r="P388" s="22" t="n">
        <v>0.19</v>
      </c>
      <c r="Q388" s="8" t="n">
        <v>625.33</v>
      </c>
      <c r="R388" s="8" t="n">
        <v>625.33</v>
      </c>
      <c r="S388" s="7" t="s">
        <v>33</v>
      </c>
      <c r="T388" s="7" t="s">
        <v>1457</v>
      </c>
      <c r="U388" s="7"/>
      <c r="V388" s="20" t="n">
        <v>45498</v>
      </c>
      <c r="W388" s="7"/>
      <c r="X388" s="7"/>
      <c r="Y388" s="7"/>
      <c r="Z388" s="7"/>
      <c r="AA388" s="23" t="n">
        <f aca="false">YEAR(C388)</f>
        <v>2024</v>
      </c>
    </row>
    <row r="389" customFormat="false" ht="15" hidden="false" customHeight="false" outlineLevel="0" collapsed="false">
      <c r="A389" s="7" t="s">
        <v>1460</v>
      </c>
      <c r="B389" s="7" t="s">
        <v>137</v>
      </c>
      <c r="C389" s="20" t="n">
        <v>45469</v>
      </c>
      <c r="D389" s="20" t="n">
        <v>45495</v>
      </c>
      <c r="E389" s="20"/>
      <c r="F389" s="7" t="s">
        <v>759</v>
      </c>
      <c r="G389" s="7" t="s">
        <v>153</v>
      </c>
      <c r="H389" s="7" t="s">
        <v>242</v>
      </c>
      <c r="I389" s="7" t="s">
        <v>243</v>
      </c>
      <c r="J389" s="7" t="s">
        <v>229</v>
      </c>
      <c r="K389" s="7" t="s">
        <v>241</v>
      </c>
      <c r="L389" s="7" t="s">
        <v>571</v>
      </c>
      <c r="M389" s="7"/>
      <c r="N389" s="16"/>
      <c r="O389" s="7"/>
      <c r="P389" s="22"/>
      <c r="Q389" s="8" t="n">
        <v>286.19</v>
      </c>
      <c r="R389" s="8" t="n">
        <v>-286.19</v>
      </c>
      <c r="S389" s="7" t="s">
        <v>765</v>
      </c>
      <c r="T389" s="7"/>
      <c r="U389" s="7"/>
      <c r="V389" s="20"/>
      <c r="W389" s="7"/>
      <c r="X389" s="7"/>
      <c r="Y389" s="7"/>
      <c r="Z389" s="7"/>
      <c r="AA389" s="23" t="n">
        <f aca="false">YEAR(C389)</f>
        <v>2024</v>
      </c>
    </row>
    <row r="390" customFormat="false" ht="15" hidden="false" customHeight="false" outlineLevel="0" collapsed="false">
      <c r="A390" s="7" t="s">
        <v>1461</v>
      </c>
      <c r="B390" s="7" t="s">
        <v>137</v>
      </c>
      <c r="C390" s="20" t="n">
        <v>45470</v>
      </c>
      <c r="D390" s="20" t="n">
        <v>45481</v>
      </c>
      <c r="E390" s="20"/>
      <c r="F390" s="7" t="s">
        <v>759</v>
      </c>
      <c r="G390" s="7" t="s">
        <v>146</v>
      </c>
      <c r="H390" s="7" t="s">
        <v>250</v>
      </c>
      <c r="I390" s="7" t="s">
        <v>251</v>
      </c>
      <c r="J390" s="7" t="s">
        <v>248</v>
      </c>
      <c r="K390" s="7" t="s">
        <v>249</v>
      </c>
      <c r="L390" s="7" t="s">
        <v>1462</v>
      </c>
      <c r="M390" s="7" t="s">
        <v>626</v>
      </c>
      <c r="N390" s="16" t="n">
        <v>2208</v>
      </c>
      <c r="O390" s="7" t="s">
        <v>798</v>
      </c>
      <c r="P390" s="22" t="n">
        <v>5.53</v>
      </c>
      <c r="Q390" s="8" t="n">
        <v>12210.24</v>
      </c>
      <c r="R390" s="8" t="n">
        <v>12210.24</v>
      </c>
      <c r="S390" s="7" t="s">
        <v>33</v>
      </c>
      <c r="T390" s="7" t="s">
        <v>1463</v>
      </c>
      <c r="U390" s="7"/>
      <c r="V390" s="20" t="n">
        <v>45470</v>
      </c>
      <c r="W390" s="7"/>
      <c r="X390" s="7"/>
      <c r="Y390" s="7" t="s">
        <v>705</v>
      </c>
      <c r="Z390" s="7"/>
      <c r="AA390" s="23" t="n">
        <f aca="false">YEAR(C390)</f>
        <v>2024</v>
      </c>
    </row>
    <row r="391" customFormat="false" ht="15" hidden="false" customHeight="false" outlineLevel="0" collapsed="false">
      <c r="A391" s="7" t="s">
        <v>1464</v>
      </c>
      <c r="B391" s="7" t="s">
        <v>137</v>
      </c>
      <c r="C391" s="20" t="n">
        <v>45470</v>
      </c>
      <c r="D391" s="20" t="n">
        <v>45531</v>
      </c>
      <c r="E391" s="20"/>
      <c r="F391" s="7" t="s">
        <v>759</v>
      </c>
      <c r="G391" s="7" t="s">
        <v>149</v>
      </c>
      <c r="H391" s="7" t="s">
        <v>279</v>
      </c>
      <c r="I391" s="7" t="s">
        <v>280</v>
      </c>
      <c r="J391" s="7" t="s">
        <v>248</v>
      </c>
      <c r="K391" s="7" t="s">
        <v>278</v>
      </c>
      <c r="L391" s="7" t="s">
        <v>1465</v>
      </c>
      <c r="M391" s="7" t="s">
        <v>1016</v>
      </c>
      <c r="N391" s="16" t="n">
        <v>158</v>
      </c>
      <c r="O391" s="7" t="s">
        <v>801</v>
      </c>
      <c r="P391" s="22" t="n">
        <v>40</v>
      </c>
      <c r="Q391" s="8" t="n">
        <v>6320</v>
      </c>
      <c r="R391" s="8" t="n">
        <v>6320</v>
      </c>
      <c r="S391" s="7" t="s">
        <v>33</v>
      </c>
      <c r="T391" s="7" t="s">
        <v>1466</v>
      </c>
      <c r="U391" s="7"/>
      <c r="V391" s="20" t="n">
        <v>45500</v>
      </c>
      <c r="W391" s="7"/>
      <c r="X391" s="7"/>
      <c r="Y391" s="7"/>
      <c r="Z391" s="7"/>
      <c r="AA391" s="23" t="n">
        <f aca="false">YEAR(C391)</f>
        <v>2024</v>
      </c>
    </row>
    <row r="392" customFormat="false" ht="15" hidden="false" customHeight="false" outlineLevel="0" collapsed="false">
      <c r="A392" s="7" t="s">
        <v>1467</v>
      </c>
      <c r="B392" s="7" t="s">
        <v>137</v>
      </c>
      <c r="C392" s="20" t="n">
        <v>45470</v>
      </c>
      <c r="D392" s="20" t="n">
        <v>45531</v>
      </c>
      <c r="E392" s="20"/>
      <c r="F392" s="7" t="s">
        <v>759</v>
      </c>
      <c r="G392" s="7" t="s">
        <v>149</v>
      </c>
      <c r="H392" s="7" t="s">
        <v>281</v>
      </c>
      <c r="I392" s="7" t="s">
        <v>282</v>
      </c>
      <c r="J392" s="7" t="s">
        <v>248</v>
      </c>
      <c r="K392" s="7" t="s">
        <v>278</v>
      </c>
      <c r="L392" s="7" t="s">
        <v>1468</v>
      </c>
      <c r="M392" s="7" t="s">
        <v>1016</v>
      </c>
      <c r="N392" s="16" t="n">
        <v>2781</v>
      </c>
      <c r="O392" s="7" t="s">
        <v>798</v>
      </c>
      <c r="P392" s="22" t="n">
        <v>0.19</v>
      </c>
      <c r="Q392" s="8" t="n">
        <v>528.35</v>
      </c>
      <c r="R392" s="8" t="n">
        <v>528.35</v>
      </c>
      <c r="S392" s="7" t="s">
        <v>33</v>
      </c>
      <c r="T392" s="7" t="s">
        <v>1466</v>
      </c>
      <c r="U392" s="7"/>
      <c r="V392" s="20" t="n">
        <v>45500</v>
      </c>
      <c r="W392" s="7"/>
      <c r="X392" s="7"/>
      <c r="Y392" s="7"/>
      <c r="Z392" s="7"/>
      <c r="AA392" s="23" t="n">
        <f aca="false">YEAR(C392)</f>
        <v>2024</v>
      </c>
    </row>
    <row r="393" customFormat="false" ht="15" hidden="false" customHeight="false" outlineLevel="0" collapsed="false">
      <c r="A393" s="7" t="s">
        <v>1469</v>
      </c>
      <c r="B393" s="7" t="s">
        <v>137</v>
      </c>
      <c r="C393" s="20" t="n">
        <v>45471</v>
      </c>
      <c r="D393" s="20" t="n">
        <v>45471</v>
      </c>
      <c r="E393" s="20"/>
      <c r="F393" s="7" t="s">
        <v>759</v>
      </c>
      <c r="G393" s="7" t="s">
        <v>149</v>
      </c>
      <c r="H393" s="7" t="s">
        <v>271</v>
      </c>
      <c r="I393" s="7" t="s">
        <v>272</v>
      </c>
      <c r="J393" s="7" t="s">
        <v>221</v>
      </c>
      <c r="K393" s="7" t="s">
        <v>270</v>
      </c>
      <c r="L393" s="7" t="s">
        <v>1470</v>
      </c>
      <c r="M393" s="7" t="s">
        <v>541</v>
      </c>
      <c r="N393" s="16"/>
      <c r="O393" s="7"/>
      <c r="P393" s="22"/>
      <c r="Q393" s="8" t="n">
        <v>1515.34</v>
      </c>
      <c r="R393" s="8" t="n">
        <v>-1515.34</v>
      </c>
      <c r="S393" s="7" t="s">
        <v>744</v>
      </c>
      <c r="T393" s="7"/>
      <c r="U393" s="7"/>
      <c r="V393" s="20"/>
      <c r="W393" s="7"/>
      <c r="X393" s="7"/>
      <c r="Y393" s="7"/>
      <c r="Z393" s="7"/>
      <c r="AA393" s="23" t="n">
        <f aca="false">YEAR(C393)</f>
        <v>2024</v>
      </c>
    </row>
    <row r="394" customFormat="false" ht="15" hidden="false" customHeight="false" outlineLevel="0" collapsed="false">
      <c r="A394" s="7" t="s">
        <v>1471</v>
      </c>
      <c r="B394" s="7" t="s">
        <v>137</v>
      </c>
      <c r="C394" s="20" t="n">
        <v>45471</v>
      </c>
      <c r="D394" s="20" t="n">
        <v>45471</v>
      </c>
      <c r="E394" s="20"/>
      <c r="F394" s="7" t="s">
        <v>759</v>
      </c>
      <c r="G394" s="7" t="s">
        <v>153</v>
      </c>
      <c r="H394" s="7" t="s">
        <v>271</v>
      </c>
      <c r="I394" s="7" t="s">
        <v>272</v>
      </c>
      <c r="J394" s="7" t="s">
        <v>221</v>
      </c>
      <c r="K394" s="7" t="s">
        <v>270</v>
      </c>
      <c r="L394" s="7" t="s">
        <v>544</v>
      </c>
      <c r="M394" s="7" t="s">
        <v>541</v>
      </c>
      <c r="N394" s="16"/>
      <c r="O394" s="7"/>
      <c r="P394" s="22"/>
      <c r="Q394" s="8" t="n">
        <v>1010.22</v>
      </c>
      <c r="R394" s="8" t="n">
        <v>-1010.22</v>
      </c>
      <c r="S394" s="7" t="s">
        <v>744</v>
      </c>
      <c r="T394" s="7"/>
      <c r="U394" s="7"/>
      <c r="V394" s="20"/>
      <c r="W394" s="7"/>
      <c r="X394" s="7"/>
      <c r="Y394" s="7"/>
      <c r="Z394" s="7"/>
      <c r="AA394" s="23" t="n">
        <f aca="false">YEAR(C394)</f>
        <v>2024</v>
      </c>
    </row>
    <row r="395" customFormat="false" ht="15" hidden="false" customHeight="false" outlineLevel="0" collapsed="false">
      <c r="A395" s="7" t="s">
        <v>1472</v>
      </c>
      <c r="B395" s="7" t="s">
        <v>137</v>
      </c>
      <c r="C395" s="20" t="n">
        <v>45471</v>
      </c>
      <c r="D395" s="20" t="n">
        <v>45488</v>
      </c>
      <c r="E395" s="20"/>
      <c r="F395" s="7" t="s">
        <v>759</v>
      </c>
      <c r="G395" s="7" t="s">
        <v>149</v>
      </c>
      <c r="H395" s="7" t="s">
        <v>273</v>
      </c>
      <c r="I395" s="7" t="s">
        <v>274</v>
      </c>
      <c r="J395" s="7" t="s">
        <v>221</v>
      </c>
      <c r="K395" s="7" t="s">
        <v>270</v>
      </c>
      <c r="L395" s="7" t="s">
        <v>554</v>
      </c>
      <c r="M395" s="7" t="s">
        <v>541</v>
      </c>
      <c r="N395" s="16"/>
      <c r="O395" s="7"/>
      <c r="P395" s="22"/>
      <c r="Q395" s="8" t="n">
        <v>222.25</v>
      </c>
      <c r="R395" s="8" t="n">
        <v>-222.25</v>
      </c>
      <c r="S395" s="7" t="s">
        <v>789</v>
      </c>
      <c r="T395" s="7"/>
      <c r="U395" s="7"/>
      <c r="V395" s="20"/>
      <c r="W395" s="7"/>
      <c r="X395" s="7"/>
      <c r="Y395" s="7"/>
      <c r="Z395" s="7"/>
      <c r="AA395" s="23" t="n">
        <f aca="false">YEAR(C395)</f>
        <v>2024</v>
      </c>
    </row>
    <row r="396" customFormat="false" ht="15" hidden="false" customHeight="false" outlineLevel="0" collapsed="false">
      <c r="A396" s="7" t="s">
        <v>1473</v>
      </c>
      <c r="B396" s="7" t="s">
        <v>137</v>
      </c>
      <c r="C396" s="20" t="n">
        <v>45471</v>
      </c>
      <c r="D396" s="20" t="n">
        <v>45530</v>
      </c>
      <c r="E396" s="20"/>
      <c r="F396" s="7" t="s">
        <v>759</v>
      </c>
      <c r="G396" s="7" t="s">
        <v>149</v>
      </c>
      <c r="H396" s="7" t="s">
        <v>279</v>
      </c>
      <c r="I396" s="7" t="s">
        <v>280</v>
      </c>
      <c r="J396" s="7" t="s">
        <v>248</v>
      </c>
      <c r="K396" s="7" t="s">
        <v>278</v>
      </c>
      <c r="L396" s="7" t="s">
        <v>1474</v>
      </c>
      <c r="M396" s="7" t="s">
        <v>614</v>
      </c>
      <c r="N396" s="16" t="n">
        <v>132</v>
      </c>
      <c r="O396" s="7" t="s">
        <v>801</v>
      </c>
      <c r="P396" s="22" t="n">
        <v>40</v>
      </c>
      <c r="Q396" s="8" t="n">
        <v>5280</v>
      </c>
      <c r="R396" s="8" t="n">
        <v>5280</v>
      </c>
      <c r="S396" s="7" t="s">
        <v>33</v>
      </c>
      <c r="T396" s="7" t="s">
        <v>1475</v>
      </c>
      <c r="U396" s="7"/>
      <c r="V396" s="20" t="n">
        <v>45501</v>
      </c>
      <c r="W396" s="7"/>
      <c r="X396" s="7"/>
      <c r="Y396" s="7"/>
      <c r="Z396" s="7"/>
      <c r="AA396" s="23" t="n">
        <f aca="false">YEAR(C396)</f>
        <v>2024</v>
      </c>
    </row>
    <row r="397" customFormat="false" ht="15" hidden="false" customHeight="false" outlineLevel="0" collapsed="false">
      <c r="A397" s="7" t="s">
        <v>1476</v>
      </c>
      <c r="B397" s="7" t="s">
        <v>137</v>
      </c>
      <c r="C397" s="20" t="n">
        <v>45471</v>
      </c>
      <c r="D397" s="20" t="n">
        <v>45530</v>
      </c>
      <c r="E397" s="20"/>
      <c r="F397" s="7" t="s">
        <v>759</v>
      </c>
      <c r="G397" s="7" t="s">
        <v>149</v>
      </c>
      <c r="H397" s="7" t="s">
        <v>281</v>
      </c>
      <c r="I397" s="7" t="s">
        <v>282</v>
      </c>
      <c r="J397" s="7" t="s">
        <v>248</v>
      </c>
      <c r="K397" s="7" t="s">
        <v>278</v>
      </c>
      <c r="L397" s="7" t="s">
        <v>1477</v>
      </c>
      <c r="M397" s="7" t="s">
        <v>614</v>
      </c>
      <c r="N397" s="16" t="n">
        <v>2323</v>
      </c>
      <c r="O397" s="7" t="s">
        <v>798</v>
      </c>
      <c r="P397" s="22" t="n">
        <v>0.19</v>
      </c>
      <c r="Q397" s="8" t="n">
        <v>441.41</v>
      </c>
      <c r="R397" s="8" t="n">
        <v>441.41</v>
      </c>
      <c r="S397" s="7" t="s">
        <v>33</v>
      </c>
      <c r="T397" s="7" t="s">
        <v>1475</v>
      </c>
      <c r="U397" s="7"/>
      <c r="V397" s="20" t="n">
        <v>45501</v>
      </c>
      <c r="W397" s="7"/>
      <c r="X397" s="7"/>
      <c r="Y397" s="7"/>
      <c r="Z397" s="7"/>
      <c r="AA397" s="23" t="n">
        <f aca="false">YEAR(C397)</f>
        <v>2024</v>
      </c>
    </row>
    <row r="398" customFormat="false" ht="15" hidden="false" customHeight="false" outlineLevel="0" collapsed="false">
      <c r="A398" s="7" t="s">
        <v>1478</v>
      </c>
      <c r="B398" s="7" t="s">
        <v>137</v>
      </c>
      <c r="C398" s="20" t="n">
        <v>45472</v>
      </c>
      <c r="D398" s="20" t="n">
        <v>45502</v>
      </c>
      <c r="E398" s="20"/>
      <c r="F398" s="7" t="s">
        <v>759</v>
      </c>
      <c r="G398" s="7" t="s">
        <v>144</v>
      </c>
      <c r="H398" s="7" t="s">
        <v>264</v>
      </c>
      <c r="I398" s="7" t="s">
        <v>263</v>
      </c>
      <c r="J398" s="7" t="s">
        <v>221</v>
      </c>
      <c r="K398" s="7" t="s">
        <v>263</v>
      </c>
      <c r="L398" s="7" t="s">
        <v>927</v>
      </c>
      <c r="M398" s="7" t="s">
        <v>563</v>
      </c>
      <c r="N398" s="16"/>
      <c r="O398" s="7"/>
      <c r="P398" s="22"/>
      <c r="Q398" s="8" t="n">
        <v>1660.5</v>
      </c>
      <c r="R398" s="8" t="n">
        <v>-1660.5</v>
      </c>
      <c r="S398" s="7" t="s">
        <v>751</v>
      </c>
      <c r="T398" s="7"/>
      <c r="U398" s="7" t="s">
        <v>1479</v>
      </c>
      <c r="V398" s="20" t="n">
        <v>45502</v>
      </c>
      <c r="W398" s="7"/>
      <c r="X398" s="7"/>
      <c r="Y398" s="7" t="s">
        <v>708</v>
      </c>
      <c r="Z398" s="7"/>
      <c r="AA398" s="23" t="n">
        <f aca="false">YEAR(C398)</f>
        <v>2024</v>
      </c>
    </row>
    <row r="399" customFormat="false" ht="15" hidden="false" customHeight="false" outlineLevel="0" collapsed="false">
      <c r="A399" s="7" t="s">
        <v>1480</v>
      </c>
      <c r="B399" s="7" t="s">
        <v>137</v>
      </c>
      <c r="C399" s="20" t="n">
        <v>45472</v>
      </c>
      <c r="D399" s="20" t="n">
        <v>45502</v>
      </c>
      <c r="E399" s="20"/>
      <c r="F399" s="7" t="s">
        <v>759</v>
      </c>
      <c r="G399" s="7" t="s">
        <v>146</v>
      </c>
      <c r="H399" s="7" t="s">
        <v>261</v>
      </c>
      <c r="I399" s="7" t="s">
        <v>262</v>
      </c>
      <c r="J399" s="7" t="s">
        <v>221</v>
      </c>
      <c r="K399" s="7" t="s">
        <v>260</v>
      </c>
      <c r="L399" s="7" t="s">
        <v>1006</v>
      </c>
      <c r="M399" s="7" t="s">
        <v>538</v>
      </c>
      <c r="N399" s="16"/>
      <c r="O399" s="7"/>
      <c r="P399" s="22"/>
      <c r="Q399" s="8" t="n">
        <v>1318.4</v>
      </c>
      <c r="R399" s="8" t="n">
        <v>-1318.4</v>
      </c>
      <c r="S399" s="7" t="s">
        <v>751</v>
      </c>
      <c r="T399" s="7"/>
      <c r="U399" s="7" t="s">
        <v>1481</v>
      </c>
      <c r="V399" s="20" t="n">
        <v>45502</v>
      </c>
      <c r="W399" s="7"/>
      <c r="X399" s="7"/>
      <c r="Y399" s="7" t="s">
        <v>705</v>
      </c>
      <c r="Z399" s="7"/>
      <c r="AA399" s="23" t="n">
        <f aca="false">YEAR(C399)</f>
        <v>2024</v>
      </c>
    </row>
    <row r="400" customFormat="false" ht="15" hidden="false" customHeight="false" outlineLevel="0" collapsed="false">
      <c r="A400" s="7" t="s">
        <v>1482</v>
      </c>
      <c r="B400" s="7" t="s">
        <v>137</v>
      </c>
      <c r="C400" s="20" t="n">
        <v>45473</v>
      </c>
      <c r="D400" s="20" t="n">
        <v>45473</v>
      </c>
      <c r="E400" s="20"/>
      <c r="F400" s="7" t="s">
        <v>759</v>
      </c>
      <c r="G400" s="7" t="s">
        <v>153</v>
      </c>
      <c r="H400" s="7" t="s">
        <v>246</v>
      </c>
      <c r="I400" s="7" t="s">
        <v>247</v>
      </c>
      <c r="J400" s="7" t="s">
        <v>236</v>
      </c>
      <c r="K400" s="7" t="s">
        <v>189</v>
      </c>
      <c r="L400" s="7" t="s">
        <v>1048</v>
      </c>
      <c r="M400" s="7" t="s">
        <v>556</v>
      </c>
      <c r="N400" s="16"/>
      <c r="O400" s="7"/>
      <c r="P400" s="22"/>
      <c r="Q400" s="8" t="n">
        <v>1017.67</v>
      </c>
      <c r="R400" s="8" t="n">
        <v>-1017.67</v>
      </c>
      <c r="S400" s="7" t="s">
        <v>775</v>
      </c>
      <c r="T400" s="7"/>
      <c r="U400" s="7"/>
      <c r="V400" s="20"/>
      <c r="W400" s="7"/>
      <c r="X400" s="7" t="s">
        <v>784</v>
      </c>
      <c r="Y400" s="7"/>
      <c r="Z400" s="7"/>
      <c r="AA400" s="23" t="n">
        <f aca="false">YEAR(C400)</f>
        <v>2024</v>
      </c>
    </row>
    <row r="401" customFormat="false" ht="15" hidden="false" customHeight="false" outlineLevel="0" collapsed="false">
      <c r="A401" s="7" t="s">
        <v>1483</v>
      </c>
      <c r="B401" s="7" t="s">
        <v>137</v>
      </c>
      <c r="C401" s="20" t="n">
        <v>45474</v>
      </c>
      <c r="D401" s="20" t="n">
        <v>45474</v>
      </c>
      <c r="E401" s="20"/>
      <c r="F401" s="7" t="s">
        <v>759</v>
      </c>
      <c r="G401" s="7" t="s">
        <v>153</v>
      </c>
      <c r="H401" s="7" t="s">
        <v>561</v>
      </c>
      <c r="I401" s="7" t="s">
        <v>363</v>
      </c>
      <c r="J401" s="7" t="s">
        <v>761</v>
      </c>
      <c r="K401" s="7" t="s">
        <v>772</v>
      </c>
      <c r="L401" s="7" t="s">
        <v>562</v>
      </c>
      <c r="M401" s="7" t="s">
        <v>556</v>
      </c>
      <c r="N401" s="16"/>
      <c r="O401" s="7"/>
      <c r="P401" s="22"/>
      <c r="Q401" s="8" t="n">
        <v>14000</v>
      </c>
      <c r="R401" s="8" t="n">
        <v>14000</v>
      </c>
      <c r="S401" s="7" t="s">
        <v>783</v>
      </c>
      <c r="T401" s="7"/>
      <c r="U401" s="7"/>
      <c r="V401" s="20"/>
      <c r="W401" s="7"/>
      <c r="X401" s="7" t="s">
        <v>784</v>
      </c>
      <c r="Y401" s="7"/>
      <c r="Z401" s="7"/>
      <c r="AA401" s="23" t="n">
        <f aca="false">YEAR(C401)</f>
        <v>2024</v>
      </c>
    </row>
    <row r="402" customFormat="false" ht="15" hidden="false" customHeight="false" outlineLevel="0" collapsed="false">
      <c r="A402" s="7" t="s">
        <v>1484</v>
      </c>
      <c r="B402" s="7" t="s">
        <v>137</v>
      </c>
      <c r="C402" s="20" t="n">
        <v>45474</v>
      </c>
      <c r="D402" s="20" t="n">
        <v>45474</v>
      </c>
      <c r="E402" s="20"/>
      <c r="F402" s="7" t="s">
        <v>759</v>
      </c>
      <c r="G402" s="7" t="s">
        <v>153</v>
      </c>
      <c r="H402" s="7" t="s">
        <v>545</v>
      </c>
      <c r="I402" s="7" t="s">
        <v>760</v>
      </c>
      <c r="J402" s="7" t="s">
        <v>761</v>
      </c>
      <c r="K402" s="7" t="s">
        <v>762</v>
      </c>
      <c r="L402" s="7" t="s">
        <v>546</v>
      </c>
      <c r="M402" s="7"/>
      <c r="N402" s="16"/>
      <c r="O402" s="7"/>
      <c r="P402" s="22"/>
      <c r="Q402" s="8" t="n">
        <v>4100</v>
      </c>
      <c r="R402" s="8" t="n">
        <v>-4100</v>
      </c>
      <c r="S402" s="7" t="s">
        <v>763</v>
      </c>
      <c r="T402" s="7"/>
      <c r="U402" s="7"/>
      <c r="V402" s="20"/>
      <c r="W402" s="7"/>
      <c r="X402" s="7"/>
      <c r="Y402" s="7"/>
      <c r="Z402" s="7"/>
      <c r="AA402" s="23" t="n">
        <f aca="false">YEAR(C402)</f>
        <v>2024</v>
      </c>
    </row>
    <row r="403" customFormat="false" ht="15" hidden="false" customHeight="false" outlineLevel="0" collapsed="false">
      <c r="A403" s="7" t="s">
        <v>1485</v>
      </c>
      <c r="B403" s="7" t="s">
        <v>137</v>
      </c>
      <c r="C403" s="20" t="n">
        <v>45475</v>
      </c>
      <c r="D403" s="20" t="n">
        <v>45519</v>
      </c>
      <c r="E403" s="20"/>
      <c r="F403" s="7" t="s">
        <v>759</v>
      </c>
      <c r="G403" s="7" t="s">
        <v>149</v>
      </c>
      <c r="H403" s="7" t="s">
        <v>279</v>
      </c>
      <c r="I403" s="7" t="s">
        <v>280</v>
      </c>
      <c r="J403" s="7" t="s">
        <v>248</v>
      </c>
      <c r="K403" s="7" t="s">
        <v>278</v>
      </c>
      <c r="L403" s="7" t="s">
        <v>1486</v>
      </c>
      <c r="M403" s="7" t="s">
        <v>606</v>
      </c>
      <c r="N403" s="16" t="n">
        <v>163</v>
      </c>
      <c r="O403" s="7" t="s">
        <v>801</v>
      </c>
      <c r="P403" s="22" t="n">
        <v>40</v>
      </c>
      <c r="Q403" s="8" t="n">
        <v>6520</v>
      </c>
      <c r="R403" s="8" t="n">
        <v>6520</v>
      </c>
      <c r="S403" s="7" t="s">
        <v>33</v>
      </c>
      <c r="T403" s="7" t="s">
        <v>1487</v>
      </c>
      <c r="U403" s="7"/>
      <c r="V403" s="20" t="n">
        <v>45505</v>
      </c>
      <c r="W403" s="7"/>
      <c r="X403" s="7"/>
      <c r="Y403" s="7"/>
      <c r="Z403" s="7"/>
      <c r="AA403" s="23" t="n">
        <f aca="false">YEAR(C403)</f>
        <v>2024</v>
      </c>
    </row>
    <row r="404" customFormat="false" ht="15" hidden="false" customHeight="false" outlineLevel="0" collapsed="false">
      <c r="A404" s="7" t="s">
        <v>1488</v>
      </c>
      <c r="B404" s="7" t="s">
        <v>137</v>
      </c>
      <c r="C404" s="20" t="n">
        <v>45475</v>
      </c>
      <c r="D404" s="20" t="n">
        <v>45519</v>
      </c>
      <c r="E404" s="20"/>
      <c r="F404" s="7" t="s">
        <v>759</v>
      </c>
      <c r="G404" s="7" t="s">
        <v>149</v>
      </c>
      <c r="H404" s="7" t="s">
        <v>281</v>
      </c>
      <c r="I404" s="7" t="s">
        <v>282</v>
      </c>
      <c r="J404" s="7" t="s">
        <v>248</v>
      </c>
      <c r="K404" s="7" t="s">
        <v>278</v>
      </c>
      <c r="L404" s="7" t="s">
        <v>1489</v>
      </c>
      <c r="M404" s="7" t="s">
        <v>606</v>
      </c>
      <c r="N404" s="16" t="n">
        <v>2869</v>
      </c>
      <c r="O404" s="7" t="s">
        <v>798</v>
      </c>
      <c r="P404" s="22" t="n">
        <v>0.19</v>
      </c>
      <c r="Q404" s="8" t="n">
        <v>545.07</v>
      </c>
      <c r="R404" s="8" t="n">
        <v>545.07</v>
      </c>
      <c r="S404" s="7" t="s">
        <v>33</v>
      </c>
      <c r="T404" s="7" t="s">
        <v>1487</v>
      </c>
      <c r="U404" s="7"/>
      <c r="V404" s="20" t="n">
        <v>45505</v>
      </c>
      <c r="W404" s="7"/>
      <c r="X404" s="7"/>
      <c r="Y404" s="7"/>
      <c r="Z404" s="7"/>
      <c r="AA404" s="23" t="n">
        <f aca="false">YEAR(C404)</f>
        <v>2024</v>
      </c>
    </row>
    <row r="405" customFormat="false" ht="15" hidden="false" customHeight="false" outlineLevel="0" collapsed="false">
      <c r="A405" s="7" t="s">
        <v>1490</v>
      </c>
      <c r="B405" s="7" t="s">
        <v>137</v>
      </c>
      <c r="C405" s="20" t="n">
        <v>45477</v>
      </c>
      <c r="D405" s="20" t="n">
        <v>45532</v>
      </c>
      <c r="E405" s="20"/>
      <c r="F405" s="7" t="s">
        <v>759</v>
      </c>
      <c r="G405" s="7" t="s">
        <v>149</v>
      </c>
      <c r="H405" s="7" t="s">
        <v>279</v>
      </c>
      <c r="I405" s="7" t="s">
        <v>280</v>
      </c>
      <c r="J405" s="7" t="s">
        <v>248</v>
      </c>
      <c r="K405" s="7" t="s">
        <v>278</v>
      </c>
      <c r="L405" s="7" t="s">
        <v>1491</v>
      </c>
      <c r="M405" s="7" t="s">
        <v>593</v>
      </c>
      <c r="N405" s="16" t="n">
        <v>242</v>
      </c>
      <c r="O405" s="7" t="s">
        <v>801</v>
      </c>
      <c r="P405" s="22" t="n">
        <v>40</v>
      </c>
      <c r="Q405" s="8" t="n">
        <v>9680</v>
      </c>
      <c r="R405" s="8" t="n">
        <v>9680</v>
      </c>
      <c r="S405" s="7" t="s">
        <v>33</v>
      </c>
      <c r="T405" s="7" t="s">
        <v>1492</v>
      </c>
      <c r="U405" s="7"/>
      <c r="V405" s="20" t="n">
        <v>45507</v>
      </c>
      <c r="W405" s="7"/>
      <c r="X405" s="7"/>
      <c r="Y405" s="7"/>
      <c r="Z405" s="7"/>
      <c r="AA405" s="23" t="n">
        <f aca="false">YEAR(C405)</f>
        <v>2024</v>
      </c>
    </row>
    <row r="406" customFormat="false" ht="15" hidden="false" customHeight="false" outlineLevel="0" collapsed="false">
      <c r="A406" s="7" t="s">
        <v>1493</v>
      </c>
      <c r="B406" s="7" t="s">
        <v>137</v>
      </c>
      <c r="C406" s="20" t="n">
        <v>45477</v>
      </c>
      <c r="D406" s="20" t="n">
        <v>45532</v>
      </c>
      <c r="E406" s="20"/>
      <c r="F406" s="7" t="s">
        <v>759</v>
      </c>
      <c r="G406" s="7" t="s">
        <v>149</v>
      </c>
      <c r="H406" s="7" t="s">
        <v>281</v>
      </c>
      <c r="I406" s="7" t="s">
        <v>282</v>
      </c>
      <c r="J406" s="7" t="s">
        <v>248</v>
      </c>
      <c r="K406" s="7" t="s">
        <v>278</v>
      </c>
      <c r="L406" s="7" t="s">
        <v>1494</v>
      </c>
      <c r="M406" s="7" t="s">
        <v>593</v>
      </c>
      <c r="N406" s="16" t="n">
        <v>4259</v>
      </c>
      <c r="O406" s="7" t="s">
        <v>798</v>
      </c>
      <c r="P406" s="22" t="n">
        <v>0.19</v>
      </c>
      <c r="Q406" s="8" t="n">
        <v>809.25</v>
      </c>
      <c r="R406" s="8" t="n">
        <v>809.25</v>
      </c>
      <c r="S406" s="7" t="s">
        <v>33</v>
      </c>
      <c r="T406" s="7" t="s">
        <v>1492</v>
      </c>
      <c r="U406" s="7"/>
      <c r="V406" s="20" t="n">
        <v>45507</v>
      </c>
      <c r="W406" s="7"/>
      <c r="X406" s="7"/>
      <c r="Y406" s="7"/>
      <c r="Z406" s="7"/>
      <c r="AA406" s="23" t="n">
        <f aca="false">YEAR(C406)</f>
        <v>2024</v>
      </c>
    </row>
    <row r="407" customFormat="false" ht="15" hidden="false" customHeight="false" outlineLevel="0" collapsed="false">
      <c r="A407" s="7" t="s">
        <v>1495</v>
      </c>
      <c r="B407" s="7" t="s">
        <v>137</v>
      </c>
      <c r="C407" s="20" t="n">
        <v>45479</v>
      </c>
      <c r="D407" s="20" t="n">
        <v>45509</v>
      </c>
      <c r="E407" s="20"/>
      <c r="F407" s="7" t="s">
        <v>759</v>
      </c>
      <c r="G407" s="7" t="s">
        <v>149</v>
      </c>
      <c r="H407" s="7" t="s">
        <v>268</v>
      </c>
      <c r="I407" s="7" t="s">
        <v>269</v>
      </c>
      <c r="J407" s="7" t="s">
        <v>221</v>
      </c>
      <c r="K407" s="7" t="s">
        <v>267</v>
      </c>
      <c r="L407" s="7" t="s">
        <v>1496</v>
      </c>
      <c r="M407" s="7" t="s">
        <v>563</v>
      </c>
      <c r="N407" s="16"/>
      <c r="O407" s="7"/>
      <c r="P407" s="22"/>
      <c r="Q407" s="8" t="n">
        <v>9153.67</v>
      </c>
      <c r="R407" s="8" t="n">
        <v>-9153.67</v>
      </c>
      <c r="S407" s="7" t="s">
        <v>751</v>
      </c>
      <c r="T407" s="7"/>
      <c r="U407" s="7" t="s">
        <v>1497</v>
      </c>
      <c r="V407" s="20" t="n">
        <v>45509</v>
      </c>
      <c r="W407" s="7"/>
      <c r="X407" s="7"/>
      <c r="Y407" s="7"/>
      <c r="Z407" s="7"/>
      <c r="AA407" s="23" t="n">
        <f aca="false">YEAR(C407)</f>
        <v>2024</v>
      </c>
    </row>
    <row r="408" customFormat="false" ht="15" hidden="false" customHeight="false" outlineLevel="0" collapsed="false">
      <c r="A408" s="7" t="s">
        <v>1498</v>
      </c>
      <c r="B408" s="7" t="s">
        <v>137</v>
      </c>
      <c r="C408" s="20" t="n">
        <v>45479</v>
      </c>
      <c r="D408" s="20" t="n">
        <v>45509</v>
      </c>
      <c r="E408" s="20"/>
      <c r="F408" s="7" t="s">
        <v>759</v>
      </c>
      <c r="G408" s="7" t="s">
        <v>149</v>
      </c>
      <c r="H408" s="7" t="s">
        <v>268</v>
      </c>
      <c r="I408" s="7" t="s">
        <v>269</v>
      </c>
      <c r="J408" s="7" t="s">
        <v>221</v>
      </c>
      <c r="K408" s="7" t="s">
        <v>267</v>
      </c>
      <c r="L408" s="7" t="s">
        <v>1025</v>
      </c>
      <c r="M408" s="7" t="s">
        <v>563</v>
      </c>
      <c r="N408" s="16"/>
      <c r="O408" s="7"/>
      <c r="P408" s="22"/>
      <c r="Q408" s="8" t="n">
        <v>574.58</v>
      </c>
      <c r="R408" s="8" t="n">
        <v>-574.58</v>
      </c>
      <c r="S408" s="7" t="s">
        <v>751</v>
      </c>
      <c r="T408" s="7"/>
      <c r="U408" s="7" t="s">
        <v>1499</v>
      </c>
      <c r="V408" s="20" t="n">
        <v>45509</v>
      </c>
      <c r="W408" s="7"/>
      <c r="X408" s="7"/>
      <c r="Y408" s="7"/>
      <c r="Z408" s="7"/>
      <c r="AA408" s="23" t="n">
        <f aca="false">YEAR(C408)</f>
        <v>2024</v>
      </c>
    </row>
    <row r="409" customFormat="false" ht="15" hidden="false" customHeight="false" outlineLevel="0" collapsed="false">
      <c r="A409" s="7" t="s">
        <v>1500</v>
      </c>
      <c r="B409" s="7" t="s">
        <v>137</v>
      </c>
      <c r="C409" s="20" t="n">
        <v>45480</v>
      </c>
      <c r="D409" s="20" t="n">
        <v>45534</v>
      </c>
      <c r="E409" s="20"/>
      <c r="F409" s="7" t="s">
        <v>759</v>
      </c>
      <c r="G409" s="7" t="s">
        <v>149</v>
      </c>
      <c r="H409" s="7" t="s">
        <v>279</v>
      </c>
      <c r="I409" s="7" t="s">
        <v>280</v>
      </c>
      <c r="J409" s="7" t="s">
        <v>248</v>
      </c>
      <c r="K409" s="7" t="s">
        <v>278</v>
      </c>
      <c r="L409" s="7" t="s">
        <v>1501</v>
      </c>
      <c r="M409" s="7" t="s">
        <v>583</v>
      </c>
      <c r="N409" s="16" t="n">
        <v>480</v>
      </c>
      <c r="O409" s="7" t="s">
        <v>801</v>
      </c>
      <c r="P409" s="22" t="n">
        <v>40</v>
      </c>
      <c r="Q409" s="8" t="n">
        <v>19200</v>
      </c>
      <c r="R409" s="8" t="n">
        <v>19200</v>
      </c>
      <c r="S409" s="7" t="s">
        <v>33</v>
      </c>
      <c r="T409" s="7" t="s">
        <v>1502</v>
      </c>
      <c r="U409" s="7"/>
      <c r="V409" s="20" t="n">
        <v>45510</v>
      </c>
      <c r="W409" s="7"/>
      <c r="X409" s="7"/>
      <c r="Y409" s="7"/>
      <c r="Z409" s="7"/>
      <c r="AA409" s="23" t="n">
        <f aca="false">YEAR(C409)</f>
        <v>2024</v>
      </c>
    </row>
    <row r="410" customFormat="false" ht="15" hidden="false" customHeight="false" outlineLevel="0" collapsed="false">
      <c r="A410" s="7" t="s">
        <v>1503</v>
      </c>
      <c r="B410" s="7" t="s">
        <v>137</v>
      </c>
      <c r="C410" s="20" t="n">
        <v>45480</v>
      </c>
      <c r="D410" s="20" t="n">
        <v>45534</v>
      </c>
      <c r="E410" s="20"/>
      <c r="F410" s="7" t="s">
        <v>759</v>
      </c>
      <c r="G410" s="7" t="s">
        <v>149</v>
      </c>
      <c r="H410" s="7" t="s">
        <v>281</v>
      </c>
      <c r="I410" s="7" t="s">
        <v>282</v>
      </c>
      <c r="J410" s="7" t="s">
        <v>248</v>
      </c>
      <c r="K410" s="7" t="s">
        <v>278</v>
      </c>
      <c r="L410" s="7" t="s">
        <v>1504</v>
      </c>
      <c r="M410" s="7" t="s">
        <v>583</v>
      </c>
      <c r="N410" s="16" t="n">
        <v>8448</v>
      </c>
      <c r="O410" s="7" t="s">
        <v>798</v>
      </c>
      <c r="P410" s="22" t="n">
        <v>0.19</v>
      </c>
      <c r="Q410" s="8" t="n">
        <v>1605.12</v>
      </c>
      <c r="R410" s="8" t="n">
        <v>1605.12</v>
      </c>
      <c r="S410" s="7" t="s">
        <v>33</v>
      </c>
      <c r="T410" s="7" t="s">
        <v>1502</v>
      </c>
      <c r="U410" s="7"/>
      <c r="V410" s="20" t="n">
        <v>45510</v>
      </c>
      <c r="W410" s="7"/>
      <c r="X410" s="7"/>
      <c r="Y410" s="7"/>
      <c r="Z410" s="7"/>
      <c r="AA410" s="23" t="n">
        <f aca="false">YEAR(C410)</f>
        <v>2024</v>
      </c>
    </row>
    <row r="411" customFormat="false" ht="15" hidden="false" customHeight="false" outlineLevel="0" collapsed="false">
      <c r="A411" s="7" t="s">
        <v>1505</v>
      </c>
      <c r="B411" s="7" t="s">
        <v>137</v>
      </c>
      <c r="C411" s="20" t="n">
        <v>45481</v>
      </c>
      <c r="D411" s="20" t="n">
        <v>45526</v>
      </c>
      <c r="E411" s="20"/>
      <c r="F411" s="7" t="s">
        <v>759</v>
      </c>
      <c r="G411" s="7" t="s">
        <v>153</v>
      </c>
      <c r="H411" s="7" t="s">
        <v>244</v>
      </c>
      <c r="I411" s="7" t="s">
        <v>245</v>
      </c>
      <c r="J411" s="7" t="s">
        <v>229</v>
      </c>
      <c r="K411" s="7" t="s">
        <v>233</v>
      </c>
      <c r="L411" s="7" t="s">
        <v>570</v>
      </c>
      <c r="M411" s="7"/>
      <c r="N411" s="16"/>
      <c r="O411" s="7"/>
      <c r="P411" s="22"/>
      <c r="Q411" s="8" t="n">
        <v>165</v>
      </c>
      <c r="R411" s="8" t="n">
        <v>-165</v>
      </c>
      <c r="S411" s="7" t="s">
        <v>765</v>
      </c>
      <c r="T411" s="7"/>
      <c r="U411" s="7"/>
      <c r="V411" s="20"/>
      <c r="W411" s="7"/>
      <c r="X411" s="7"/>
      <c r="Y411" s="7"/>
      <c r="Z411" s="7"/>
      <c r="AA411" s="23" t="n">
        <f aca="false">YEAR(C411)</f>
        <v>2024</v>
      </c>
    </row>
    <row r="412" customFormat="false" ht="15" hidden="false" customHeight="false" outlineLevel="0" collapsed="false">
      <c r="A412" s="7" t="s">
        <v>1506</v>
      </c>
      <c r="B412" s="7" t="s">
        <v>137</v>
      </c>
      <c r="C412" s="20" t="n">
        <v>45481</v>
      </c>
      <c r="D412" s="20" t="n">
        <v>45562</v>
      </c>
      <c r="E412" s="20"/>
      <c r="F412" s="7" t="s">
        <v>759</v>
      </c>
      <c r="G412" s="7" t="s">
        <v>149</v>
      </c>
      <c r="H412" s="7" t="s">
        <v>279</v>
      </c>
      <c r="I412" s="7" t="s">
        <v>280</v>
      </c>
      <c r="J412" s="7" t="s">
        <v>248</v>
      </c>
      <c r="K412" s="7" t="s">
        <v>278</v>
      </c>
      <c r="L412" s="7" t="s">
        <v>1507</v>
      </c>
      <c r="M412" s="7" t="s">
        <v>1010</v>
      </c>
      <c r="N412" s="16" t="n">
        <v>321</v>
      </c>
      <c r="O412" s="7" t="s">
        <v>801</v>
      </c>
      <c r="P412" s="22" t="n">
        <v>40</v>
      </c>
      <c r="Q412" s="8" t="n">
        <v>12840</v>
      </c>
      <c r="R412" s="8" t="n">
        <v>12840</v>
      </c>
      <c r="S412" s="7" t="s">
        <v>33</v>
      </c>
      <c r="T412" s="7" t="s">
        <v>1508</v>
      </c>
      <c r="U412" s="7"/>
      <c r="V412" s="20" t="n">
        <v>45511</v>
      </c>
      <c r="W412" s="7"/>
      <c r="X412" s="7"/>
      <c r="Y412" s="7"/>
      <c r="Z412" s="7"/>
      <c r="AA412" s="23" t="n">
        <f aca="false">YEAR(C412)</f>
        <v>2024</v>
      </c>
    </row>
    <row r="413" customFormat="false" ht="15" hidden="false" customHeight="false" outlineLevel="0" collapsed="false">
      <c r="A413" s="7" t="s">
        <v>1509</v>
      </c>
      <c r="B413" s="7" t="s">
        <v>137</v>
      </c>
      <c r="C413" s="20" t="n">
        <v>45481</v>
      </c>
      <c r="D413" s="20" t="n">
        <v>45562</v>
      </c>
      <c r="E413" s="20"/>
      <c r="F413" s="7" t="s">
        <v>759</v>
      </c>
      <c r="G413" s="7" t="s">
        <v>149</v>
      </c>
      <c r="H413" s="7" t="s">
        <v>281</v>
      </c>
      <c r="I413" s="7" t="s">
        <v>282</v>
      </c>
      <c r="J413" s="7" t="s">
        <v>248</v>
      </c>
      <c r="K413" s="7" t="s">
        <v>278</v>
      </c>
      <c r="L413" s="7" t="s">
        <v>1510</v>
      </c>
      <c r="M413" s="7" t="s">
        <v>1010</v>
      </c>
      <c r="N413" s="16" t="n">
        <v>5650</v>
      </c>
      <c r="O413" s="7" t="s">
        <v>798</v>
      </c>
      <c r="P413" s="22" t="n">
        <v>0.19</v>
      </c>
      <c r="Q413" s="8" t="n">
        <v>1073.42</v>
      </c>
      <c r="R413" s="8" t="n">
        <v>1073.42</v>
      </c>
      <c r="S413" s="7" t="s">
        <v>33</v>
      </c>
      <c r="T413" s="7" t="s">
        <v>1508</v>
      </c>
      <c r="U413" s="7"/>
      <c r="V413" s="20" t="n">
        <v>45511</v>
      </c>
      <c r="W413" s="7"/>
      <c r="X413" s="7"/>
      <c r="Y413" s="7"/>
      <c r="Z413" s="7"/>
      <c r="AA413" s="23" t="n">
        <f aca="false">YEAR(C413)</f>
        <v>2024</v>
      </c>
    </row>
    <row r="414" customFormat="false" ht="15" hidden="false" customHeight="false" outlineLevel="0" collapsed="false">
      <c r="A414" s="7" t="s">
        <v>1511</v>
      </c>
      <c r="B414" s="7" t="s">
        <v>137</v>
      </c>
      <c r="C414" s="20" t="n">
        <v>45483</v>
      </c>
      <c r="D414" s="20" t="n">
        <v>45483</v>
      </c>
      <c r="E414" s="20"/>
      <c r="F414" s="7" t="s">
        <v>759</v>
      </c>
      <c r="G414" s="7" t="s">
        <v>153</v>
      </c>
      <c r="H414" s="7" t="s">
        <v>237</v>
      </c>
      <c r="I414" s="7" t="s">
        <v>238</v>
      </c>
      <c r="J414" s="7" t="s">
        <v>236</v>
      </c>
      <c r="K414" s="7" t="s">
        <v>189</v>
      </c>
      <c r="L414" s="7" t="s">
        <v>1512</v>
      </c>
      <c r="M414" s="7" t="s">
        <v>768</v>
      </c>
      <c r="N414" s="16"/>
      <c r="O414" s="7"/>
      <c r="P414" s="22"/>
      <c r="Q414" s="8" t="n">
        <v>63.31</v>
      </c>
      <c r="R414" s="8" t="n">
        <v>-63.31</v>
      </c>
      <c r="S414" s="7" t="s">
        <v>744</v>
      </c>
      <c r="T414" s="7"/>
      <c r="U414" s="7"/>
      <c r="V414" s="20"/>
      <c r="W414" s="7"/>
      <c r="X414" s="7" t="s">
        <v>769</v>
      </c>
      <c r="Y414" s="7"/>
      <c r="Z414" s="7"/>
      <c r="AA414" s="23" t="n">
        <f aca="false">YEAR(C414)</f>
        <v>2024</v>
      </c>
    </row>
    <row r="415" customFormat="false" ht="15" hidden="false" customHeight="false" outlineLevel="0" collapsed="false">
      <c r="A415" s="7" t="s">
        <v>1513</v>
      </c>
      <c r="B415" s="7" t="s">
        <v>137</v>
      </c>
      <c r="C415" s="20" t="n">
        <v>45483</v>
      </c>
      <c r="D415" s="20" t="n">
        <v>45483</v>
      </c>
      <c r="E415" s="20"/>
      <c r="F415" s="7" t="s">
        <v>759</v>
      </c>
      <c r="G415" s="7" t="s">
        <v>153</v>
      </c>
      <c r="H415" s="7" t="s">
        <v>559</v>
      </c>
      <c r="I415" s="7" t="s">
        <v>771</v>
      </c>
      <c r="J415" s="7" t="s">
        <v>761</v>
      </c>
      <c r="K415" s="7" t="s">
        <v>772</v>
      </c>
      <c r="L415" s="7" t="s">
        <v>1514</v>
      </c>
      <c r="M415" s="7" t="s">
        <v>768</v>
      </c>
      <c r="N415" s="16"/>
      <c r="O415" s="7"/>
      <c r="P415" s="22"/>
      <c r="Q415" s="8" t="n">
        <v>781.78</v>
      </c>
      <c r="R415" s="8" t="n">
        <v>-781.78</v>
      </c>
      <c r="S415" s="7" t="s">
        <v>744</v>
      </c>
      <c r="T415" s="7"/>
      <c r="U415" s="7"/>
      <c r="V415" s="20"/>
      <c r="W415" s="7"/>
      <c r="X415" s="7" t="s">
        <v>769</v>
      </c>
      <c r="Y415" s="7"/>
      <c r="Z415" s="7"/>
      <c r="AA415" s="23" t="n">
        <f aca="false">YEAR(C415)</f>
        <v>2024</v>
      </c>
    </row>
    <row r="416" customFormat="false" ht="15" hidden="false" customHeight="false" outlineLevel="0" collapsed="false">
      <c r="A416" s="7" t="s">
        <v>1515</v>
      </c>
      <c r="B416" s="7" t="s">
        <v>137</v>
      </c>
      <c r="C416" s="20" t="n">
        <v>45485</v>
      </c>
      <c r="D416" s="20" t="n">
        <v>45485</v>
      </c>
      <c r="E416" s="20"/>
      <c r="F416" s="7" t="s">
        <v>759</v>
      </c>
      <c r="G416" s="7" t="s">
        <v>149</v>
      </c>
      <c r="H416" s="7" t="s">
        <v>271</v>
      </c>
      <c r="I416" s="7" t="s">
        <v>272</v>
      </c>
      <c r="J416" s="7" t="s">
        <v>221</v>
      </c>
      <c r="K416" s="7" t="s">
        <v>270</v>
      </c>
      <c r="L416" s="7" t="s">
        <v>1109</v>
      </c>
      <c r="M416" s="7" t="s">
        <v>541</v>
      </c>
      <c r="N416" s="16"/>
      <c r="O416" s="7"/>
      <c r="P416" s="22"/>
      <c r="Q416" s="8" t="n">
        <v>1317.98</v>
      </c>
      <c r="R416" s="8" t="n">
        <v>-1317.98</v>
      </c>
      <c r="S416" s="7" t="s">
        <v>744</v>
      </c>
      <c r="T416" s="7"/>
      <c r="U416" s="7"/>
      <c r="V416" s="20"/>
      <c r="W416" s="7"/>
      <c r="X416" s="7"/>
      <c r="Y416" s="7"/>
      <c r="Z416" s="7"/>
      <c r="AA416" s="23" t="n">
        <f aca="false">YEAR(C416)</f>
        <v>2024</v>
      </c>
    </row>
    <row r="417" customFormat="false" ht="15" hidden="false" customHeight="false" outlineLevel="0" collapsed="false">
      <c r="A417" s="7" t="s">
        <v>1516</v>
      </c>
      <c r="B417" s="7" t="s">
        <v>137</v>
      </c>
      <c r="C417" s="20" t="n">
        <v>45485</v>
      </c>
      <c r="D417" s="20" t="n">
        <v>45485</v>
      </c>
      <c r="E417" s="20"/>
      <c r="F417" s="7" t="s">
        <v>759</v>
      </c>
      <c r="G417" s="7" t="s">
        <v>153</v>
      </c>
      <c r="H417" s="7" t="s">
        <v>271</v>
      </c>
      <c r="I417" s="7" t="s">
        <v>272</v>
      </c>
      <c r="J417" s="7" t="s">
        <v>221</v>
      </c>
      <c r="K417" s="7" t="s">
        <v>270</v>
      </c>
      <c r="L417" s="7" t="s">
        <v>544</v>
      </c>
      <c r="M417" s="7" t="s">
        <v>541</v>
      </c>
      <c r="N417" s="16"/>
      <c r="O417" s="7"/>
      <c r="P417" s="22"/>
      <c r="Q417" s="8" t="n">
        <v>878.65</v>
      </c>
      <c r="R417" s="8" t="n">
        <v>-878.65</v>
      </c>
      <c r="S417" s="7" t="s">
        <v>744</v>
      </c>
      <c r="T417" s="7"/>
      <c r="U417" s="7"/>
      <c r="V417" s="20"/>
      <c r="W417" s="7"/>
      <c r="X417" s="7"/>
      <c r="Y417" s="7"/>
      <c r="Z417" s="7"/>
      <c r="AA417" s="23" t="n">
        <f aca="false">YEAR(C417)</f>
        <v>2024</v>
      </c>
    </row>
    <row r="418" customFormat="false" ht="15" hidden="false" customHeight="false" outlineLevel="0" collapsed="false">
      <c r="A418" s="7" t="s">
        <v>1517</v>
      </c>
      <c r="B418" s="7" t="s">
        <v>137</v>
      </c>
      <c r="C418" s="20" t="n">
        <v>45485</v>
      </c>
      <c r="D418" s="20" t="n">
        <v>45485</v>
      </c>
      <c r="E418" s="20"/>
      <c r="F418" s="7" t="s">
        <v>759</v>
      </c>
      <c r="G418" s="7" t="s">
        <v>153</v>
      </c>
      <c r="H418" s="7" t="s">
        <v>240</v>
      </c>
      <c r="I418" s="7" t="s">
        <v>239</v>
      </c>
      <c r="J418" s="7" t="s">
        <v>229</v>
      </c>
      <c r="K418" s="7" t="s">
        <v>239</v>
      </c>
      <c r="L418" s="7" t="s">
        <v>548</v>
      </c>
      <c r="M418" s="7" t="s">
        <v>547</v>
      </c>
      <c r="N418" s="16"/>
      <c r="O418" s="7"/>
      <c r="P418" s="22"/>
      <c r="Q418" s="8" t="n">
        <v>235.28</v>
      </c>
      <c r="R418" s="8" t="n">
        <v>-235.28</v>
      </c>
      <c r="S418" s="7" t="s">
        <v>775</v>
      </c>
      <c r="T418" s="7"/>
      <c r="U418" s="7"/>
      <c r="V418" s="20"/>
      <c r="W418" s="7"/>
      <c r="X418" s="7"/>
      <c r="Y418" s="7"/>
      <c r="Z418" s="7"/>
      <c r="AA418" s="23" t="n">
        <f aca="false">YEAR(C418)</f>
        <v>2024</v>
      </c>
    </row>
    <row r="419" customFormat="false" ht="15" hidden="false" customHeight="false" outlineLevel="0" collapsed="false">
      <c r="A419" s="7" t="s">
        <v>1518</v>
      </c>
      <c r="B419" s="7" t="s">
        <v>137</v>
      </c>
      <c r="C419" s="20" t="n">
        <v>45485</v>
      </c>
      <c r="D419" s="20" t="n">
        <v>45519</v>
      </c>
      <c r="E419" s="20"/>
      <c r="F419" s="7" t="s">
        <v>759</v>
      </c>
      <c r="G419" s="7" t="s">
        <v>149</v>
      </c>
      <c r="H419" s="7" t="s">
        <v>273</v>
      </c>
      <c r="I419" s="7" t="s">
        <v>274</v>
      </c>
      <c r="J419" s="7" t="s">
        <v>221</v>
      </c>
      <c r="K419" s="7" t="s">
        <v>270</v>
      </c>
      <c r="L419" s="7" t="s">
        <v>554</v>
      </c>
      <c r="M419" s="7" t="s">
        <v>541</v>
      </c>
      <c r="N419" s="16"/>
      <c r="O419" s="7"/>
      <c r="P419" s="22"/>
      <c r="Q419" s="8" t="n">
        <v>193.3</v>
      </c>
      <c r="R419" s="8" t="n">
        <v>-193.3</v>
      </c>
      <c r="S419" s="7" t="s">
        <v>789</v>
      </c>
      <c r="T419" s="7"/>
      <c r="U419" s="7"/>
      <c r="V419" s="20"/>
      <c r="W419" s="7"/>
      <c r="X419" s="7"/>
      <c r="Y419" s="7"/>
      <c r="Z419" s="7"/>
      <c r="AA419" s="23" t="n">
        <f aca="false">YEAR(C419)</f>
        <v>2024</v>
      </c>
    </row>
    <row r="420" customFormat="false" ht="15" hidden="false" customHeight="false" outlineLevel="0" collapsed="false">
      <c r="A420" s="7" t="s">
        <v>1519</v>
      </c>
      <c r="B420" s="7" t="s">
        <v>137</v>
      </c>
      <c r="C420" s="20" t="n">
        <v>45491</v>
      </c>
      <c r="D420" s="20" t="n">
        <v>45506</v>
      </c>
      <c r="E420" s="20"/>
      <c r="F420" s="7" t="s">
        <v>759</v>
      </c>
      <c r="G420" s="7" t="s">
        <v>144</v>
      </c>
      <c r="H420" s="7" t="s">
        <v>276</v>
      </c>
      <c r="I420" s="7" t="s">
        <v>277</v>
      </c>
      <c r="J420" s="7" t="s">
        <v>221</v>
      </c>
      <c r="K420" s="7" t="s">
        <v>275</v>
      </c>
      <c r="L420" s="7" t="s">
        <v>1520</v>
      </c>
      <c r="M420" s="7" t="s">
        <v>547</v>
      </c>
      <c r="N420" s="16"/>
      <c r="O420" s="7"/>
      <c r="P420" s="22"/>
      <c r="Q420" s="8" t="n">
        <v>3995</v>
      </c>
      <c r="R420" s="8" t="n">
        <v>-3995</v>
      </c>
      <c r="S420" s="7" t="s">
        <v>751</v>
      </c>
      <c r="T420" s="7"/>
      <c r="U420" s="7" t="s">
        <v>1521</v>
      </c>
      <c r="V420" s="20" t="n">
        <v>45506</v>
      </c>
      <c r="W420" s="7"/>
      <c r="X420" s="7"/>
      <c r="Y420" s="7" t="s">
        <v>706</v>
      </c>
      <c r="Z420" s="7"/>
      <c r="AA420" s="23" t="n">
        <f aca="false">YEAR(C420)</f>
        <v>2024</v>
      </c>
    </row>
    <row r="421" customFormat="false" ht="15" hidden="false" customHeight="false" outlineLevel="0" collapsed="false">
      <c r="A421" s="7" t="s">
        <v>1522</v>
      </c>
      <c r="B421" s="7" t="s">
        <v>137</v>
      </c>
      <c r="C421" s="20" t="n">
        <v>45495</v>
      </c>
      <c r="D421" s="20" t="n">
        <v>45525</v>
      </c>
      <c r="E421" s="20"/>
      <c r="F421" s="7" t="s">
        <v>759</v>
      </c>
      <c r="G421" s="7" t="s">
        <v>144</v>
      </c>
      <c r="H421" s="7" t="s">
        <v>264</v>
      </c>
      <c r="I421" s="7" t="s">
        <v>263</v>
      </c>
      <c r="J421" s="7" t="s">
        <v>221</v>
      </c>
      <c r="K421" s="7" t="s">
        <v>263</v>
      </c>
      <c r="L421" s="7" t="s">
        <v>1044</v>
      </c>
      <c r="M421" s="7" t="s">
        <v>563</v>
      </c>
      <c r="N421" s="16"/>
      <c r="O421" s="7"/>
      <c r="P421" s="22"/>
      <c r="Q421" s="8" t="n">
        <v>2818.75</v>
      </c>
      <c r="R421" s="8" t="n">
        <v>-2818.75</v>
      </c>
      <c r="S421" s="7" t="s">
        <v>751</v>
      </c>
      <c r="T421" s="7"/>
      <c r="U421" s="7" t="s">
        <v>1523</v>
      </c>
      <c r="V421" s="20" t="n">
        <v>45525</v>
      </c>
      <c r="W421" s="7"/>
      <c r="X421" s="7"/>
      <c r="Y421" s="7" t="s">
        <v>706</v>
      </c>
      <c r="Z421" s="7"/>
      <c r="AA421" s="23" t="n">
        <f aca="false">YEAR(C421)</f>
        <v>2024</v>
      </c>
    </row>
    <row r="422" customFormat="false" ht="15" hidden="false" customHeight="false" outlineLevel="0" collapsed="false">
      <c r="A422" s="7" t="s">
        <v>1524</v>
      </c>
      <c r="B422" s="7" t="s">
        <v>137</v>
      </c>
      <c r="C422" s="20" t="n">
        <v>45495</v>
      </c>
      <c r="D422" s="20" t="n">
        <v>45530</v>
      </c>
      <c r="E422" s="20"/>
      <c r="F422" s="7" t="s">
        <v>759</v>
      </c>
      <c r="G422" s="7" t="s">
        <v>136</v>
      </c>
      <c r="H422" s="7" t="s">
        <v>264</v>
      </c>
      <c r="I422" s="7" t="s">
        <v>263</v>
      </c>
      <c r="J422" s="7" t="s">
        <v>221</v>
      </c>
      <c r="K422" s="7" t="s">
        <v>263</v>
      </c>
      <c r="L422" s="7" t="s">
        <v>1525</v>
      </c>
      <c r="M422" s="7" t="s">
        <v>591</v>
      </c>
      <c r="N422" s="16" t="n">
        <v>96</v>
      </c>
      <c r="O422" s="7" t="s">
        <v>801</v>
      </c>
      <c r="P422" s="22" t="n">
        <v>14.42</v>
      </c>
      <c r="Q422" s="8" t="n">
        <v>1384.32</v>
      </c>
      <c r="R422" s="8" t="n">
        <v>-1384.32</v>
      </c>
      <c r="S422" s="7" t="s">
        <v>751</v>
      </c>
      <c r="T422" s="7"/>
      <c r="U422" s="7" t="s">
        <v>1526</v>
      </c>
      <c r="V422" s="20" t="n">
        <v>45525</v>
      </c>
      <c r="W422" s="7"/>
      <c r="X422" s="7"/>
      <c r="Y422" s="7" t="s">
        <v>721</v>
      </c>
      <c r="Z422" s="7"/>
      <c r="AA422" s="23" t="n">
        <f aca="false">YEAR(C422)</f>
        <v>2024</v>
      </c>
    </row>
    <row r="423" customFormat="false" ht="15" hidden="false" customHeight="false" outlineLevel="0" collapsed="false">
      <c r="A423" s="7" t="s">
        <v>1527</v>
      </c>
      <c r="B423" s="7" t="s">
        <v>137</v>
      </c>
      <c r="C423" s="20" t="n">
        <v>45495</v>
      </c>
      <c r="D423" s="20" t="n">
        <v>45530</v>
      </c>
      <c r="E423" s="20"/>
      <c r="F423" s="7" t="s">
        <v>759</v>
      </c>
      <c r="G423" s="7" t="s">
        <v>136</v>
      </c>
      <c r="H423" s="7" t="s">
        <v>223</v>
      </c>
      <c r="I423" s="7" t="s">
        <v>224</v>
      </c>
      <c r="J423" s="7" t="s">
        <v>221</v>
      </c>
      <c r="K423" s="7" t="s">
        <v>222</v>
      </c>
      <c r="L423" s="7" t="s">
        <v>1528</v>
      </c>
      <c r="M423" s="7" t="s">
        <v>589</v>
      </c>
      <c r="N423" s="16" t="n">
        <v>96</v>
      </c>
      <c r="O423" s="7" t="s">
        <v>801</v>
      </c>
      <c r="P423" s="22" t="n">
        <v>9.27</v>
      </c>
      <c r="Q423" s="8" t="n">
        <v>889.92</v>
      </c>
      <c r="R423" s="8" t="n">
        <v>-889.92</v>
      </c>
      <c r="S423" s="7" t="s">
        <v>751</v>
      </c>
      <c r="T423" s="7"/>
      <c r="U423" s="7" t="s">
        <v>1529</v>
      </c>
      <c r="V423" s="20" t="n">
        <v>45525</v>
      </c>
      <c r="W423" s="7"/>
      <c r="X423" s="7"/>
      <c r="Y423" s="7" t="s">
        <v>721</v>
      </c>
      <c r="Z423" s="7"/>
      <c r="AA423" s="23" t="n">
        <f aca="false">YEAR(C423)</f>
        <v>2024</v>
      </c>
    </row>
    <row r="424" customFormat="false" ht="15" hidden="false" customHeight="false" outlineLevel="0" collapsed="false">
      <c r="A424" s="7" t="s">
        <v>1530</v>
      </c>
      <c r="B424" s="7" t="s">
        <v>137</v>
      </c>
      <c r="C424" s="20" t="n">
        <v>45499</v>
      </c>
      <c r="D424" s="20" t="n">
        <v>45499</v>
      </c>
      <c r="E424" s="20"/>
      <c r="F424" s="7" t="s">
        <v>759</v>
      </c>
      <c r="G424" s="7" t="s">
        <v>149</v>
      </c>
      <c r="H424" s="7" t="s">
        <v>271</v>
      </c>
      <c r="I424" s="7" t="s">
        <v>272</v>
      </c>
      <c r="J424" s="7" t="s">
        <v>221</v>
      </c>
      <c r="K424" s="7" t="s">
        <v>270</v>
      </c>
      <c r="L424" s="7" t="s">
        <v>1422</v>
      </c>
      <c r="M424" s="7" t="s">
        <v>541</v>
      </c>
      <c r="N424" s="16"/>
      <c r="O424" s="7"/>
      <c r="P424" s="22"/>
      <c r="Q424" s="8" t="n">
        <v>716</v>
      </c>
      <c r="R424" s="8" t="n">
        <v>-716</v>
      </c>
      <c r="S424" s="7" t="s">
        <v>744</v>
      </c>
      <c r="T424" s="7"/>
      <c r="U424" s="7"/>
      <c r="V424" s="20"/>
      <c r="W424" s="7"/>
      <c r="X424" s="7"/>
      <c r="Y424" s="7"/>
      <c r="Z424" s="7"/>
      <c r="AA424" s="23" t="n">
        <f aca="false">YEAR(C424)</f>
        <v>2024</v>
      </c>
    </row>
    <row r="425" customFormat="false" ht="15" hidden="false" customHeight="false" outlineLevel="0" collapsed="false">
      <c r="A425" s="7" t="s">
        <v>1531</v>
      </c>
      <c r="B425" s="7" t="s">
        <v>137</v>
      </c>
      <c r="C425" s="20" t="n">
        <v>45499</v>
      </c>
      <c r="D425" s="20" t="n">
        <v>45499</v>
      </c>
      <c r="E425" s="20"/>
      <c r="F425" s="7" t="s">
        <v>759</v>
      </c>
      <c r="G425" s="7" t="s">
        <v>153</v>
      </c>
      <c r="H425" s="7" t="s">
        <v>271</v>
      </c>
      <c r="I425" s="7" t="s">
        <v>272</v>
      </c>
      <c r="J425" s="7" t="s">
        <v>221</v>
      </c>
      <c r="K425" s="7" t="s">
        <v>270</v>
      </c>
      <c r="L425" s="7" t="s">
        <v>544</v>
      </c>
      <c r="M425" s="7" t="s">
        <v>541</v>
      </c>
      <c r="N425" s="16"/>
      <c r="O425" s="7"/>
      <c r="P425" s="22"/>
      <c r="Q425" s="8" t="n">
        <v>477.33</v>
      </c>
      <c r="R425" s="8" t="n">
        <v>-477.33</v>
      </c>
      <c r="S425" s="7" t="s">
        <v>744</v>
      </c>
      <c r="T425" s="7"/>
      <c r="U425" s="7"/>
      <c r="V425" s="20"/>
      <c r="W425" s="7"/>
      <c r="X425" s="7"/>
      <c r="Y425" s="7"/>
      <c r="Z425" s="7"/>
      <c r="AA425" s="23" t="n">
        <f aca="false">YEAR(C425)</f>
        <v>2024</v>
      </c>
    </row>
    <row r="426" customFormat="false" ht="15" hidden="false" customHeight="false" outlineLevel="0" collapsed="false">
      <c r="A426" s="7" t="s">
        <v>1532</v>
      </c>
      <c r="B426" s="7" t="s">
        <v>137</v>
      </c>
      <c r="C426" s="20" t="n">
        <v>45499</v>
      </c>
      <c r="D426" s="20" t="n">
        <v>45519</v>
      </c>
      <c r="E426" s="20"/>
      <c r="F426" s="7" t="s">
        <v>759</v>
      </c>
      <c r="G426" s="7" t="s">
        <v>149</v>
      </c>
      <c r="H426" s="7" t="s">
        <v>273</v>
      </c>
      <c r="I426" s="7" t="s">
        <v>274</v>
      </c>
      <c r="J426" s="7" t="s">
        <v>221</v>
      </c>
      <c r="K426" s="7" t="s">
        <v>270</v>
      </c>
      <c r="L426" s="7" t="s">
        <v>554</v>
      </c>
      <c r="M426" s="7" t="s">
        <v>541</v>
      </c>
      <c r="N426" s="16"/>
      <c r="O426" s="7"/>
      <c r="P426" s="22"/>
      <c r="Q426" s="8" t="n">
        <v>105.01</v>
      </c>
      <c r="R426" s="8" t="n">
        <v>-105.01</v>
      </c>
      <c r="S426" s="7" t="s">
        <v>789</v>
      </c>
      <c r="T426" s="7"/>
      <c r="U426" s="7"/>
      <c r="V426" s="20"/>
      <c r="W426" s="7"/>
      <c r="X426" s="7"/>
      <c r="Y426" s="7"/>
      <c r="Z426" s="7"/>
      <c r="AA426" s="23" t="n">
        <f aca="false">YEAR(C426)</f>
        <v>2024</v>
      </c>
    </row>
    <row r="427" customFormat="false" ht="15" hidden="false" customHeight="false" outlineLevel="0" collapsed="false">
      <c r="A427" s="7" t="s">
        <v>1533</v>
      </c>
      <c r="B427" s="7" t="s">
        <v>137</v>
      </c>
      <c r="C427" s="20" t="n">
        <v>45499</v>
      </c>
      <c r="D427" s="20" t="n">
        <v>45526</v>
      </c>
      <c r="E427" s="20"/>
      <c r="F427" s="7" t="s">
        <v>759</v>
      </c>
      <c r="G427" s="7" t="s">
        <v>153</v>
      </c>
      <c r="H427" s="7" t="s">
        <v>242</v>
      </c>
      <c r="I427" s="7" t="s">
        <v>243</v>
      </c>
      <c r="J427" s="7" t="s">
        <v>229</v>
      </c>
      <c r="K427" s="7" t="s">
        <v>241</v>
      </c>
      <c r="L427" s="7" t="s">
        <v>571</v>
      </c>
      <c r="M427" s="7"/>
      <c r="N427" s="16"/>
      <c r="O427" s="7"/>
      <c r="P427" s="22"/>
      <c r="Q427" s="8" t="n">
        <v>419.32</v>
      </c>
      <c r="R427" s="8" t="n">
        <v>-419.32</v>
      </c>
      <c r="S427" s="7" t="s">
        <v>765</v>
      </c>
      <c r="T427" s="7"/>
      <c r="U427" s="7"/>
      <c r="V427" s="20"/>
      <c r="W427" s="7"/>
      <c r="X427" s="7"/>
      <c r="Y427" s="7"/>
      <c r="Z427" s="7"/>
      <c r="AA427" s="23" t="n">
        <f aca="false">YEAR(C427)</f>
        <v>2024</v>
      </c>
    </row>
    <row r="428" customFormat="false" ht="15" hidden="false" customHeight="false" outlineLevel="0" collapsed="false">
      <c r="A428" s="7" t="s">
        <v>1534</v>
      </c>
      <c r="B428" s="7" t="s">
        <v>137</v>
      </c>
      <c r="C428" s="20" t="n">
        <v>45502</v>
      </c>
      <c r="D428" s="20" t="n">
        <v>45502</v>
      </c>
      <c r="E428" s="20"/>
      <c r="F428" s="7" t="s">
        <v>759</v>
      </c>
      <c r="G428" s="7" t="s">
        <v>153</v>
      </c>
      <c r="H428" s="7" t="s">
        <v>561</v>
      </c>
      <c r="I428" s="7" t="s">
        <v>363</v>
      </c>
      <c r="J428" s="7" t="s">
        <v>761</v>
      </c>
      <c r="K428" s="7" t="s">
        <v>772</v>
      </c>
      <c r="L428" s="7" t="s">
        <v>562</v>
      </c>
      <c r="M428" s="7" t="s">
        <v>556</v>
      </c>
      <c r="N428" s="16"/>
      <c r="O428" s="7"/>
      <c r="P428" s="22"/>
      <c r="Q428" s="8" t="n">
        <v>15000</v>
      </c>
      <c r="R428" s="8" t="n">
        <v>15000</v>
      </c>
      <c r="S428" s="7" t="s">
        <v>783</v>
      </c>
      <c r="T428" s="7"/>
      <c r="U428" s="7"/>
      <c r="V428" s="20"/>
      <c r="W428" s="7"/>
      <c r="X428" s="7" t="s">
        <v>784</v>
      </c>
      <c r="Y428" s="7"/>
      <c r="Z428" s="7"/>
      <c r="AA428" s="23" t="n">
        <f aca="false">YEAR(C428)</f>
        <v>2024</v>
      </c>
    </row>
    <row r="429" customFormat="false" ht="15" hidden="false" customHeight="false" outlineLevel="0" collapsed="false">
      <c r="A429" s="7" t="s">
        <v>1535</v>
      </c>
      <c r="B429" s="7" t="s">
        <v>137</v>
      </c>
      <c r="C429" s="20" t="n">
        <v>45504</v>
      </c>
      <c r="D429" s="20" t="n">
        <v>45504</v>
      </c>
      <c r="E429" s="20"/>
      <c r="F429" s="7" t="s">
        <v>759</v>
      </c>
      <c r="G429" s="7" t="s">
        <v>153</v>
      </c>
      <c r="H429" s="7" t="s">
        <v>246</v>
      </c>
      <c r="I429" s="7" t="s">
        <v>247</v>
      </c>
      <c r="J429" s="7" t="s">
        <v>236</v>
      </c>
      <c r="K429" s="7" t="s">
        <v>189</v>
      </c>
      <c r="L429" s="7" t="s">
        <v>1048</v>
      </c>
      <c r="M429" s="7" t="s">
        <v>556</v>
      </c>
      <c r="N429" s="16"/>
      <c r="O429" s="7"/>
      <c r="P429" s="22"/>
      <c r="Q429" s="8" t="n">
        <v>1262.33</v>
      </c>
      <c r="R429" s="8" t="n">
        <v>-1262.33</v>
      </c>
      <c r="S429" s="7" t="s">
        <v>775</v>
      </c>
      <c r="T429" s="7"/>
      <c r="U429" s="7"/>
      <c r="V429" s="20"/>
      <c r="W429" s="7"/>
      <c r="X429" s="7" t="s">
        <v>784</v>
      </c>
      <c r="Y429" s="7"/>
      <c r="Z429" s="7"/>
      <c r="AA429" s="23" t="n">
        <f aca="false">YEAR(C429)</f>
        <v>2024</v>
      </c>
    </row>
    <row r="430" customFormat="false" ht="15" hidden="false" customHeight="false" outlineLevel="0" collapsed="false">
      <c r="A430" s="7" t="s">
        <v>1536</v>
      </c>
      <c r="B430" s="7" t="s">
        <v>137</v>
      </c>
      <c r="C430" s="20" t="n">
        <v>45505</v>
      </c>
      <c r="D430" s="20" t="n">
        <v>45505</v>
      </c>
      <c r="E430" s="20"/>
      <c r="F430" s="7" t="s">
        <v>759</v>
      </c>
      <c r="G430" s="7" t="s">
        <v>153</v>
      </c>
      <c r="H430" s="7" t="s">
        <v>545</v>
      </c>
      <c r="I430" s="7" t="s">
        <v>760</v>
      </c>
      <c r="J430" s="7" t="s">
        <v>761</v>
      </c>
      <c r="K430" s="7" t="s">
        <v>762</v>
      </c>
      <c r="L430" s="7" t="s">
        <v>546</v>
      </c>
      <c r="M430" s="7"/>
      <c r="N430" s="16"/>
      <c r="O430" s="7"/>
      <c r="P430" s="22"/>
      <c r="Q430" s="8" t="n">
        <v>4100</v>
      </c>
      <c r="R430" s="8" t="n">
        <v>-4100</v>
      </c>
      <c r="S430" s="7" t="s">
        <v>763</v>
      </c>
      <c r="T430" s="7"/>
      <c r="U430" s="7"/>
      <c r="V430" s="20"/>
      <c r="W430" s="7"/>
      <c r="X430" s="7"/>
      <c r="Y430" s="7"/>
      <c r="Z430" s="7"/>
      <c r="AA430" s="23" t="n">
        <f aca="false">YEAR(C430)</f>
        <v>2024</v>
      </c>
    </row>
    <row r="431" customFormat="false" ht="15" hidden="false" customHeight="false" outlineLevel="0" collapsed="false">
      <c r="A431" s="7" t="s">
        <v>1537</v>
      </c>
      <c r="B431" s="7" t="s">
        <v>137</v>
      </c>
      <c r="C431" s="20" t="n">
        <v>45509</v>
      </c>
      <c r="D431" s="20" t="n">
        <v>45509</v>
      </c>
      <c r="E431" s="20"/>
      <c r="F431" s="7" t="s">
        <v>759</v>
      </c>
      <c r="G431" s="7" t="s">
        <v>153</v>
      </c>
      <c r="H431" s="7" t="s">
        <v>561</v>
      </c>
      <c r="I431" s="7" t="s">
        <v>363</v>
      </c>
      <c r="J431" s="7" t="s">
        <v>761</v>
      </c>
      <c r="K431" s="7" t="s">
        <v>772</v>
      </c>
      <c r="L431" s="7" t="s">
        <v>562</v>
      </c>
      <c r="M431" s="7" t="s">
        <v>556</v>
      </c>
      <c r="N431" s="16"/>
      <c r="O431" s="7"/>
      <c r="P431" s="22"/>
      <c r="Q431" s="8" t="n">
        <v>19000</v>
      </c>
      <c r="R431" s="8" t="n">
        <v>19000</v>
      </c>
      <c r="S431" s="7" t="s">
        <v>783</v>
      </c>
      <c r="T431" s="7"/>
      <c r="U431" s="7"/>
      <c r="V431" s="20"/>
      <c r="W431" s="7"/>
      <c r="X431" s="7" t="s">
        <v>784</v>
      </c>
      <c r="Y431" s="7"/>
      <c r="Z431" s="7"/>
      <c r="AA431" s="23" t="n">
        <f aca="false">YEAR(C431)</f>
        <v>2024</v>
      </c>
    </row>
    <row r="432" customFormat="false" ht="15" hidden="false" customHeight="false" outlineLevel="0" collapsed="false">
      <c r="A432" s="7" t="s">
        <v>1538</v>
      </c>
      <c r="B432" s="7" t="s">
        <v>137</v>
      </c>
      <c r="C432" s="20" t="n">
        <v>45512</v>
      </c>
      <c r="D432" s="20" t="n">
        <v>45557</v>
      </c>
      <c r="E432" s="20"/>
      <c r="F432" s="7" t="s">
        <v>759</v>
      </c>
      <c r="G432" s="7" t="s">
        <v>153</v>
      </c>
      <c r="H432" s="7" t="s">
        <v>244</v>
      </c>
      <c r="I432" s="7" t="s">
        <v>245</v>
      </c>
      <c r="J432" s="7" t="s">
        <v>229</v>
      </c>
      <c r="K432" s="7" t="s">
        <v>233</v>
      </c>
      <c r="L432" s="7" t="s">
        <v>570</v>
      </c>
      <c r="M432" s="7"/>
      <c r="N432" s="16"/>
      <c r="O432" s="7"/>
      <c r="P432" s="22"/>
      <c r="Q432" s="8" t="n">
        <v>165</v>
      </c>
      <c r="R432" s="8" t="n">
        <v>-165</v>
      </c>
      <c r="S432" s="7" t="s">
        <v>765</v>
      </c>
      <c r="T432" s="7"/>
      <c r="U432" s="7"/>
      <c r="V432" s="20"/>
      <c r="W432" s="7"/>
      <c r="X432" s="7"/>
      <c r="Y432" s="7"/>
      <c r="Z432" s="7"/>
      <c r="AA432" s="23" t="n">
        <f aca="false">YEAR(C432)</f>
        <v>2024</v>
      </c>
    </row>
    <row r="433" customFormat="false" ht="15" hidden="false" customHeight="false" outlineLevel="0" collapsed="false">
      <c r="A433" s="7" t="s">
        <v>1539</v>
      </c>
      <c r="B433" s="7" t="s">
        <v>137</v>
      </c>
      <c r="C433" s="20" t="n">
        <v>45513</v>
      </c>
      <c r="D433" s="20" t="n">
        <v>45513</v>
      </c>
      <c r="E433" s="20"/>
      <c r="F433" s="7" t="s">
        <v>759</v>
      </c>
      <c r="G433" s="7" t="s">
        <v>149</v>
      </c>
      <c r="H433" s="7" t="s">
        <v>271</v>
      </c>
      <c r="I433" s="7" t="s">
        <v>272</v>
      </c>
      <c r="J433" s="7" t="s">
        <v>221</v>
      </c>
      <c r="K433" s="7" t="s">
        <v>270</v>
      </c>
      <c r="L433" s="7" t="s">
        <v>1422</v>
      </c>
      <c r="M433" s="7" t="s">
        <v>541</v>
      </c>
      <c r="N433" s="16"/>
      <c r="O433" s="7"/>
      <c r="P433" s="22"/>
      <c r="Q433" s="8" t="n">
        <v>718.34</v>
      </c>
      <c r="R433" s="8" t="n">
        <v>-718.34</v>
      </c>
      <c r="S433" s="7" t="s">
        <v>744</v>
      </c>
      <c r="T433" s="7"/>
      <c r="U433" s="7"/>
      <c r="V433" s="20"/>
      <c r="W433" s="7"/>
      <c r="X433" s="7"/>
      <c r="Y433" s="7"/>
      <c r="Z433" s="7"/>
      <c r="AA433" s="23" t="n">
        <f aca="false">YEAR(C433)</f>
        <v>2024</v>
      </c>
    </row>
    <row r="434" customFormat="false" ht="15" hidden="false" customHeight="false" outlineLevel="0" collapsed="false">
      <c r="A434" s="7" t="s">
        <v>1540</v>
      </c>
      <c r="B434" s="7" t="s">
        <v>137</v>
      </c>
      <c r="C434" s="20" t="n">
        <v>45513</v>
      </c>
      <c r="D434" s="20" t="n">
        <v>45513</v>
      </c>
      <c r="E434" s="20"/>
      <c r="F434" s="7" t="s">
        <v>759</v>
      </c>
      <c r="G434" s="7" t="s">
        <v>153</v>
      </c>
      <c r="H434" s="7" t="s">
        <v>271</v>
      </c>
      <c r="I434" s="7" t="s">
        <v>272</v>
      </c>
      <c r="J434" s="7" t="s">
        <v>221</v>
      </c>
      <c r="K434" s="7" t="s">
        <v>270</v>
      </c>
      <c r="L434" s="7" t="s">
        <v>544</v>
      </c>
      <c r="M434" s="7" t="s">
        <v>541</v>
      </c>
      <c r="N434" s="16"/>
      <c r="O434" s="7"/>
      <c r="P434" s="22"/>
      <c r="Q434" s="8" t="n">
        <v>478.89</v>
      </c>
      <c r="R434" s="8" t="n">
        <v>-478.89</v>
      </c>
      <c r="S434" s="7" t="s">
        <v>744</v>
      </c>
      <c r="T434" s="7"/>
      <c r="U434" s="7"/>
      <c r="V434" s="20"/>
      <c r="W434" s="7"/>
      <c r="X434" s="7"/>
      <c r="Y434" s="7"/>
      <c r="Z434" s="7"/>
      <c r="AA434" s="23" t="n">
        <f aca="false">YEAR(C434)</f>
        <v>2024</v>
      </c>
    </row>
    <row r="435" customFormat="false" ht="15" hidden="false" customHeight="false" outlineLevel="0" collapsed="false">
      <c r="A435" s="7" t="s">
        <v>1541</v>
      </c>
      <c r="B435" s="7" t="s">
        <v>137</v>
      </c>
      <c r="C435" s="20" t="n">
        <v>45513</v>
      </c>
      <c r="D435" s="20" t="n">
        <v>45550</v>
      </c>
      <c r="E435" s="20"/>
      <c r="F435" s="7" t="s">
        <v>759</v>
      </c>
      <c r="G435" s="7" t="s">
        <v>149</v>
      </c>
      <c r="H435" s="7" t="s">
        <v>273</v>
      </c>
      <c r="I435" s="7" t="s">
        <v>274</v>
      </c>
      <c r="J435" s="7" t="s">
        <v>221</v>
      </c>
      <c r="K435" s="7" t="s">
        <v>270</v>
      </c>
      <c r="L435" s="7" t="s">
        <v>554</v>
      </c>
      <c r="M435" s="7" t="s">
        <v>541</v>
      </c>
      <c r="N435" s="16"/>
      <c r="O435" s="7"/>
      <c r="P435" s="22"/>
      <c r="Q435" s="8" t="n">
        <v>105.36</v>
      </c>
      <c r="R435" s="8" t="n">
        <v>-105.36</v>
      </c>
      <c r="S435" s="7" t="s">
        <v>789</v>
      </c>
      <c r="T435" s="7"/>
      <c r="U435" s="7"/>
      <c r="V435" s="20"/>
      <c r="W435" s="7"/>
      <c r="X435" s="7"/>
      <c r="Y435" s="7"/>
      <c r="Z435" s="7"/>
      <c r="AA435" s="23" t="n">
        <f aca="false">YEAR(C435)</f>
        <v>2024</v>
      </c>
    </row>
    <row r="436" customFormat="false" ht="15" hidden="false" customHeight="false" outlineLevel="0" collapsed="false">
      <c r="A436" s="7" t="s">
        <v>1542</v>
      </c>
      <c r="B436" s="7" t="s">
        <v>137</v>
      </c>
      <c r="C436" s="20" t="n">
        <v>45514</v>
      </c>
      <c r="D436" s="20" t="n">
        <v>45514</v>
      </c>
      <c r="E436" s="20"/>
      <c r="F436" s="7" t="s">
        <v>759</v>
      </c>
      <c r="G436" s="7" t="s">
        <v>153</v>
      </c>
      <c r="H436" s="7" t="s">
        <v>237</v>
      </c>
      <c r="I436" s="7" t="s">
        <v>238</v>
      </c>
      <c r="J436" s="7" t="s">
        <v>236</v>
      </c>
      <c r="K436" s="7" t="s">
        <v>189</v>
      </c>
      <c r="L436" s="7" t="s">
        <v>1543</v>
      </c>
      <c r="M436" s="7" t="s">
        <v>768</v>
      </c>
      <c r="N436" s="16"/>
      <c r="O436" s="7"/>
      <c r="P436" s="22"/>
      <c r="Q436" s="8" t="n">
        <v>60.77</v>
      </c>
      <c r="R436" s="8" t="n">
        <v>-60.77</v>
      </c>
      <c r="S436" s="7" t="s">
        <v>744</v>
      </c>
      <c r="T436" s="7"/>
      <c r="U436" s="7"/>
      <c r="V436" s="20"/>
      <c r="W436" s="7"/>
      <c r="X436" s="7" t="s">
        <v>769</v>
      </c>
      <c r="Y436" s="7"/>
      <c r="Z436" s="7"/>
      <c r="AA436" s="23" t="n">
        <f aca="false">YEAR(C436)</f>
        <v>2024</v>
      </c>
    </row>
    <row r="437" customFormat="false" ht="15" hidden="false" customHeight="false" outlineLevel="0" collapsed="false">
      <c r="A437" s="7" t="s">
        <v>1544</v>
      </c>
      <c r="B437" s="7" t="s">
        <v>137</v>
      </c>
      <c r="C437" s="20" t="n">
        <v>45514</v>
      </c>
      <c r="D437" s="20" t="n">
        <v>45514</v>
      </c>
      <c r="E437" s="20"/>
      <c r="F437" s="7" t="s">
        <v>759</v>
      </c>
      <c r="G437" s="7" t="s">
        <v>153</v>
      </c>
      <c r="H437" s="7" t="s">
        <v>559</v>
      </c>
      <c r="I437" s="7" t="s">
        <v>771</v>
      </c>
      <c r="J437" s="7" t="s">
        <v>761</v>
      </c>
      <c r="K437" s="7" t="s">
        <v>772</v>
      </c>
      <c r="L437" s="7" t="s">
        <v>1545</v>
      </c>
      <c r="M437" s="7" t="s">
        <v>768</v>
      </c>
      <c r="N437" s="16"/>
      <c r="O437" s="7"/>
      <c r="P437" s="22"/>
      <c r="Q437" s="8" t="n">
        <v>784.32</v>
      </c>
      <c r="R437" s="8" t="n">
        <v>-784.32</v>
      </c>
      <c r="S437" s="7" t="s">
        <v>744</v>
      </c>
      <c r="T437" s="7"/>
      <c r="U437" s="7"/>
      <c r="V437" s="20"/>
      <c r="W437" s="7"/>
      <c r="X437" s="7" t="s">
        <v>769</v>
      </c>
      <c r="Y437" s="7"/>
      <c r="Z437" s="7"/>
      <c r="AA437" s="23" t="n">
        <f aca="false">YEAR(C437)</f>
        <v>2024</v>
      </c>
    </row>
    <row r="438" customFormat="false" ht="15" hidden="false" customHeight="false" outlineLevel="0" collapsed="false">
      <c r="A438" s="7" t="s">
        <v>1546</v>
      </c>
      <c r="B438" s="7" t="s">
        <v>137</v>
      </c>
      <c r="C438" s="20" t="n">
        <v>45516</v>
      </c>
      <c r="D438" s="20" t="n">
        <v>45516</v>
      </c>
      <c r="E438" s="20"/>
      <c r="F438" s="7" t="s">
        <v>759</v>
      </c>
      <c r="G438" s="7" t="s">
        <v>153</v>
      </c>
      <c r="H438" s="7" t="s">
        <v>240</v>
      </c>
      <c r="I438" s="7" t="s">
        <v>239</v>
      </c>
      <c r="J438" s="7" t="s">
        <v>229</v>
      </c>
      <c r="K438" s="7" t="s">
        <v>239</v>
      </c>
      <c r="L438" s="7" t="s">
        <v>548</v>
      </c>
      <c r="M438" s="7" t="s">
        <v>547</v>
      </c>
      <c r="N438" s="16"/>
      <c r="O438" s="7"/>
      <c r="P438" s="22"/>
      <c r="Q438" s="8" t="n">
        <v>252.33</v>
      </c>
      <c r="R438" s="8" t="n">
        <v>-252.33</v>
      </c>
      <c r="S438" s="7" t="s">
        <v>775</v>
      </c>
      <c r="T438" s="7"/>
      <c r="U438" s="7"/>
      <c r="V438" s="20"/>
      <c r="W438" s="7"/>
      <c r="X438" s="7"/>
      <c r="Y438" s="7"/>
      <c r="Z438" s="7"/>
      <c r="AA438" s="23" t="n">
        <f aca="false">YEAR(C438)</f>
        <v>2024</v>
      </c>
    </row>
    <row r="439" customFormat="false" ht="15" hidden="false" customHeight="false" outlineLevel="0" collapsed="false">
      <c r="A439" s="7" t="s">
        <v>1547</v>
      </c>
      <c r="B439" s="7" t="s">
        <v>137</v>
      </c>
      <c r="C439" s="20" t="n">
        <v>45519</v>
      </c>
      <c r="D439" s="20" t="n">
        <v>45519</v>
      </c>
      <c r="E439" s="20"/>
      <c r="F439" s="7" t="s">
        <v>759</v>
      </c>
      <c r="G439" s="7" t="s">
        <v>136</v>
      </c>
      <c r="H439" s="7" t="s">
        <v>258</v>
      </c>
      <c r="I439" s="7" t="s">
        <v>259</v>
      </c>
      <c r="J439" s="7" t="s">
        <v>221</v>
      </c>
      <c r="K439" s="7" t="s">
        <v>257</v>
      </c>
      <c r="L439" s="7" t="s">
        <v>1061</v>
      </c>
      <c r="M439" s="7" t="s">
        <v>840</v>
      </c>
      <c r="N439" s="16" t="n">
        <v>96</v>
      </c>
      <c r="O439" s="7" t="s">
        <v>801</v>
      </c>
      <c r="P439" s="22" t="n">
        <v>14.94</v>
      </c>
      <c r="Q439" s="8" t="n">
        <v>1433.76</v>
      </c>
      <c r="R439" s="8" t="n">
        <v>-1433.76</v>
      </c>
      <c r="S439" s="7" t="s">
        <v>33</v>
      </c>
      <c r="T439" s="7"/>
      <c r="U439" s="7"/>
      <c r="V439" s="20"/>
      <c r="W439" s="7"/>
      <c r="X439" s="7"/>
      <c r="Y439" s="7" t="s">
        <v>721</v>
      </c>
      <c r="Z439" s="7"/>
      <c r="AA439" s="23" t="n">
        <f aca="false">YEAR(C439)</f>
        <v>2024</v>
      </c>
    </row>
    <row r="440" customFormat="false" ht="15" hidden="false" customHeight="false" outlineLevel="0" collapsed="false">
      <c r="A440" s="7" t="s">
        <v>1548</v>
      </c>
      <c r="B440" s="7" t="s">
        <v>137</v>
      </c>
      <c r="C440" s="20" t="n">
        <v>45520</v>
      </c>
      <c r="D440" s="20" t="n">
        <v>45520</v>
      </c>
      <c r="E440" s="20"/>
      <c r="F440" s="7" t="s">
        <v>759</v>
      </c>
      <c r="G440" s="7" t="s">
        <v>149</v>
      </c>
      <c r="H440" s="7" t="s">
        <v>1549</v>
      </c>
      <c r="I440" s="7" t="s">
        <v>529</v>
      </c>
      <c r="J440" s="7" t="s">
        <v>761</v>
      </c>
      <c r="K440" s="7" t="s">
        <v>772</v>
      </c>
      <c r="L440" s="7" t="s">
        <v>1550</v>
      </c>
      <c r="M440" s="7" t="s">
        <v>556</v>
      </c>
      <c r="N440" s="16"/>
      <c r="O440" s="7"/>
      <c r="P440" s="22"/>
      <c r="Q440" s="8" t="n">
        <v>72000</v>
      </c>
      <c r="R440" s="8" t="n">
        <v>72000</v>
      </c>
      <c r="S440" s="7" t="s">
        <v>1551</v>
      </c>
      <c r="T440" s="7"/>
      <c r="U440" s="7"/>
      <c r="V440" s="20"/>
      <c r="W440" s="7"/>
      <c r="X440" s="7" t="s">
        <v>1552</v>
      </c>
      <c r="Y440" s="7"/>
      <c r="Z440" s="7"/>
      <c r="AA440" s="23" t="n">
        <f aca="false">YEAR(C440)</f>
        <v>2024</v>
      </c>
    </row>
    <row r="441" customFormat="false" ht="15" hidden="false" customHeight="false" outlineLevel="0" collapsed="false">
      <c r="A441" s="7" t="s">
        <v>1553</v>
      </c>
      <c r="B441" s="7" t="s">
        <v>137</v>
      </c>
      <c r="C441" s="20" t="n">
        <v>45520</v>
      </c>
      <c r="D441" s="20" t="n">
        <v>45520</v>
      </c>
      <c r="E441" s="20"/>
      <c r="F441" s="7" t="s">
        <v>759</v>
      </c>
      <c r="G441" s="7" t="s">
        <v>153</v>
      </c>
      <c r="H441" s="7" t="s">
        <v>561</v>
      </c>
      <c r="I441" s="7" t="s">
        <v>363</v>
      </c>
      <c r="J441" s="7" t="s">
        <v>761</v>
      </c>
      <c r="K441" s="7" t="s">
        <v>772</v>
      </c>
      <c r="L441" s="7" t="s">
        <v>562</v>
      </c>
      <c r="M441" s="7" t="s">
        <v>556</v>
      </c>
      <c r="N441" s="16"/>
      <c r="O441" s="7"/>
      <c r="P441" s="22"/>
      <c r="Q441" s="8" t="n">
        <v>15000</v>
      </c>
      <c r="R441" s="8" t="n">
        <v>15000</v>
      </c>
      <c r="S441" s="7" t="s">
        <v>783</v>
      </c>
      <c r="T441" s="7"/>
      <c r="U441" s="7"/>
      <c r="V441" s="20"/>
      <c r="W441" s="7"/>
      <c r="X441" s="7" t="s">
        <v>784</v>
      </c>
      <c r="Y441" s="7"/>
      <c r="Z441" s="7"/>
      <c r="AA441" s="23" t="n">
        <f aca="false">YEAR(C441)</f>
        <v>2024</v>
      </c>
    </row>
    <row r="442" customFormat="false" ht="15" hidden="false" customHeight="false" outlineLevel="0" collapsed="false">
      <c r="A442" s="7" t="s">
        <v>1554</v>
      </c>
      <c r="B442" s="7" t="s">
        <v>137</v>
      </c>
      <c r="C442" s="20" t="n">
        <v>45520</v>
      </c>
      <c r="D442" s="20" t="n">
        <v>45520</v>
      </c>
      <c r="E442" s="20"/>
      <c r="F442" s="7" t="s">
        <v>759</v>
      </c>
      <c r="G442" s="7" t="s">
        <v>149</v>
      </c>
      <c r="H442" s="7" t="s">
        <v>1555</v>
      </c>
      <c r="I442" s="7" t="s">
        <v>1556</v>
      </c>
      <c r="J442" s="7" t="s">
        <v>761</v>
      </c>
      <c r="K442" s="7" t="s">
        <v>1557</v>
      </c>
      <c r="L442" s="7" t="s">
        <v>1558</v>
      </c>
      <c r="M442" s="7" t="s">
        <v>1559</v>
      </c>
      <c r="N442" s="16"/>
      <c r="O442" s="7"/>
      <c r="P442" s="22"/>
      <c r="Q442" s="8" t="n">
        <v>98500</v>
      </c>
      <c r="R442" s="8" t="n">
        <v>-98500</v>
      </c>
      <c r="S442" s="7" t="s">
        <v>1560</v>
      </c>
      <c r="T442" s="7"/>
      <c r="U442" s="7"/>
      <c r="V442" s="20"/>
      <c r="W442" s="7" t="s">
        <v>1561</v>
      </c>
      <c r="X442" s="7"/>
      <c r="Y442" s="7"/>
      <c r="Z442" s="7"/>
      <c r="AA442" s="23" t="n">
        <f aca="false">YEAR(C442)</f>
        <v>2024</v>
      </c>
    </row>
    <row r="443" customFormat="false" ht="15" hidden="false" customHeight="false" outlineLevel="0" collapsed="false">
      <c r="A443" s="7" t="s">
        <v>1562</v>
      </c>
      <c r="B443" s="7" t="s">
        <v>137</v>
      </c>
      <c r="C443" s="20" t="n">
        <v>45522</v>
      </c>
      <c r="D443" s="20" t="n">
        <v>45537</v>
      </c>
      <c r="E443" s="20"/>
      <c r="F443" s="7" t="s">
        <v>759</v>
      </c>
      <c r="G443" s="7" t="s">
        <v>144</v>
      </c>
      <c r="H443" s="7" t="s">
        <v>276</v>
      </c>
      <c r="I443" s="7" t="s">
        <v>277</v>
      </c>
      <c r="J443" s="7" t="s">
        <v>221</v>
      </c>
      <c r="K443" s="7" t="s">
        <v>275</v>
      </c>
      <c r="L443" s="7" t="s">
        <v>1520</v>
      </c>
      <c r="M443" s="7" t="s">
        <v>547</v>
      </c>
      <c r="N443" s="16"/>
      <c r="O443" s="7"/>
      <c r="P443" s="22"/>
      <c r="Q443" s="8" t="n">
        <v>3995</v>
      </c>
      <c r="R443" s="8" t="n">
        <v>-3995</v>
      </c>
      <c r="S443" s="7" t="s">
        <v>751</v>
      </c>
      <c r="T443" s="7"/>
      <c r="U443" s="7" t="s">
        <v>1563</v>
      </c>
      <c r="V443" s="20" t="n">
        <v>45537</v>
      </c>
      <c r="W443" s="7"/>
      <c r="X443" s="7"/>
      <c r="Y443" s="7" t="s">
        <v>706</v>
      </c>
      <c r="Z443" s="7"/>
      <c r="AA443" s="23" t="n">
        <f aca="false">YEAR(C443)</f>
        <v>2024</v>
      </c>
    </row>
    <row r="444" customFormat="false" ht="15" hidden="false" customHeight="false" outlineLevel="0" collapsed="false">
      <c r="A444" s="7" t="s">
        <v>1564</v>
      </c>
      <c r="B444" s="7" t="s">
        <v>137</v>
      </c>
      <c r="C444" s="20" t="n">
        <v>45527</v>
      </c>
      <c r="D444" s="20" t="n">
        <v>45527</v>
      </c>
      <c r="E444" s="20"/>
      <c r="F444" s="7" t="s">
        <v>759</v>
      </c>
      <c r="G444" s="7" t="s">
        <v>149</v>
      </c>
      <c r="H444" s="7" t="s">
        <v>271</v>
      </c>
      <c r="I444" s="7" t="s">
        <v>272</v>
      </c>
      <c r="J444" s="7" t="s">
        <v>221</v>
      </c>
      <c r="K444" s="7" t="s">
        <v>270</v>
      </c>
      <c r="L444" s="7" t="s">
        <v>1565</v>
      </c>
      <c r="M444" s="7" t="s">
        <v>541</v>
      </c>
      <c r="N444" s="16"/>
      <c r="O444" s="7"/>
      <c r="P444" s="22"/>
      <c r="Q444" s="8" t="n">
        <v>732.37</v>
      </c>
      <c r="R444" s="8" t="n">
        <v>-732.37</v>
      </c>
      <c r="S444" s="7" t="s">
        <v>744</v>
      </c>
      <c r="T444" s="7"/>
      <c r="U444" s="7"/>
      <c r="V444" s="20"/>
      <c r="W444" s="7"/>
      <c r="X444" s="7"/>
      <c r="Y444" s="7"/>
      <c r="Z444" s="7"/>
      <c r="AA444" s="23" t="n">
        <f aca="false">YEAR(C444)</f>
        <v>2024</v>
      </c>
    </row>
    <row r="445" customFormat="false" ht="15" hidden="false" customHeight="false" outlineLevel="0" collapsed="false">
      <c r="A445" s="7" t="s">
        <v>1566</v>
      </c>
      <c r="B445" s="7" t="s">
        <v>137</v>
      </c>
      <c r="C445" s="20" t="n">
        <v>45527</v>
      </c>
      <c r="D445" s="20" t="n">
        <v>45527</v>
      </c>
      <c r="E445" s="20"/>
      <c r="F445" s="7" t="s">
        <v>759</v>
      </c>
      <c r="G445" s="7" t="s">
        <v>153</v>
      </c>
      <c r="H445" s="7" t="s">
        <v>271</v>
      </c>
      <c r="I445" s="7" t="s">
        <v>272</v>
      </c>
      <c r="J445" s="7" t="s">
        <v>221</v>
      </c>
      <c r="K445" s="7" t="s">
        <v>270</v>
      </c>
      <c r="L445" s="7" t="s">
        <v>544</v>
      </c>
      <c r="M445" s="7" t="s">
        <v>541</v>
      </c>
      <c r="N445" s="16"/>
      <c r="O445" s="7"/>
      <c r="P445" s="22"/>
      <c r="Q445" s="8" t="n">
        <v>488.24</v>
      </c>
      <c r="R445" s="8" t="n">
        <v>-488.24</v>
      </c>
      <c r="S445" s="7" t="s">
        <v>744</v>
      </c>
      <c r="T445" s="7"/>
      <c r="U445" s="7"/>
      <c r="V445" s="20"/>
      <c r="W445" s="7"/>
      <c r="X445" s="7"/>
      <c r="Y445" s="7"/>
      <c r="Z445" s="7"/>
      <c r="AA445" s="23" t="n">
        <f aca="false">YEAR(C445)</f>
        <v>2024</v>
      </c>
    </row>
    <row r="446" customFormat="false" ht="15" hidden="false" customHeight="false" outlineLevel="0" collapsed="false">
      <c r="A446" s="7" t="s">
        <v>1567</v>
      </c>
      <c r="B446" s="7" t="s">
        <v>137</v>
      </c>
      <c r="C446" s="20" t="n">
        <v>45527</v>
      </c>
      <c r="D446" s="20" t="n">
        <v>45550</v>
      </c>
      <c r="E446" s="20"/>
      <c r="F446" s="7" t="s">
        <v>759</v>
      </c>
      <c r="G446" s="7" t="s">
        <v>149</v>
      </c>
      <c r="H446" s="7" t="s">
        <v>273</v>
      </c>
      <c r="I446" s="7" t="s">
        <v>274</v>
      </c>
      <c r="J446" s="7" t="s">
        <v>221</v>
      </c>
      <c r="K446" s="7" t="s">
        <v>270</v>
      </c>
      <c r="L446" s="7" t="s">
        <v>554</v>
      </c>
      <c r="M446" s="7" t="s">
        <v>541</v>
      </c>
      <c r="N446" s="16"/>
      <c r="O446" s="7"/>
      <c r="P446" s="22"/>
      <c r="Q446" s="8" t="n">
        <v>107.41</v>
      </c>
      <c r="R446" s="8" t="n">
        <v>-107.41</v>
      </c>
      <c r="S446" s="7" t="s">
        <v>789</v>
      </c>
      <c r="T446" s="7"/>
      <c r="U446" s="7"/>
      <c r="V446" s="20"/>
      <c r="W446" s="7"/>
      <c r="X446" s="7"/>
      <c r="Y446" s="7"/>
      <c r="Z446" s="7"/>
      <c r="AA446" s="23" t="n">
        <f aca="false">YEAR(C446)</f>
        <v>2024</v>
      </c>
    </row>
    <row r="447" customFormat="false" ht="15" hidden="false" customHeight="false" outlineLevel="0" collapsed="false">
      <c r="A447" s="7" t="s">
        <v>1568</v>
      </c>
      <c r="B447" s="7" t="s">
        <v>137</v>
      </c>
      <c r="C447" s="20" t="n">
        <v>45530</v>
      </c>
      <c r="D447" s="20" t="n">
        <v>45557</v>
      </c>
      <c r="E447" s="20"/>
      <c r="F447" s="7" t="s">
        <v>759</v>
      </c>
      <c r="G447" s="7" t="s">
        <v>153</v>
      </c>
      <c r="H447" s="7" t="s">
        <v>242</v>
      </c>
      <c r="I447" s="7" t="s">
        <v>243</v>
      </c>
      <c r="J447" s="7" t="s">
        <v>229</v>
      </c>
      <c r="K447" s="7" t="s">
        <v>241</v>
      </c>
      <c r="L447" s="7" t="s">
        <v>571</v>
      </c>
      <c r="M447" s="7"/>
      <c r="N447" s="16"/>
      <c r="O447" s="7"/>
      <c r="P447" s="22"/>
      <c r="Q447" s="8" t="n">
        <v>270.56</v>
      </c>
      <c r="R447" s="8" t="n">
        <v>-270.56</v>
      </c>
      <c r="S447" s="7" t="s">
        <v>765</v>
      </c>
      <c r="T447" s="7"/>
      <c r="U447" s="7"/>
      <c r="V447" s="20"/>
      <c r="W447" s="7"/>
      <c r="X447" s="7"/>
      <c r="Y447" s="7"/>
      <c r="Z447" s="7"/>
      <c r="AA447" s="23" t="n">
        <f aca="false">YEAR(C447)</f>
        <v>2024</v>
      </c>
    </row>
    <row r="448" customFormat="false" ht="15" hidden="false" customHeight="false" outlineLevel="0" collapsed="false">
      <c r="A448" s="7" t="s">
        <v>1569</v>
      </c>
      <c r="B448" s="7" t="s">
        <v>137</v>
      </c>
      <c r="C448" s="20" t="n">
        <v>45535</v>
      </c>
      <c r="D448" s="20" t="n">
        <v>45535</v>
      </c>
      <c r="E448" s="20"/>
      <c r="F448" s="7" t="s">
        <v>759</v>
      </c>
      <c r="G448" s="7" t="s">
        <v>153</v>
      </c>
      <c r="H448" s="7" t="s">
        <v>246</v>
      </c>
      <c r="I448" s="7" t="s">
        <v>247</v>
      </c>
      <c r="J448" s="7" t="s">
        <v>236</v>
      </c>
      <c r="K448" s="7" t="s">
        <v>189</v>
      </c>
      <c r="L448" s="7" t="s">
        <v>1048</v>
      </c>
      <c r="M448" s="7" t="s">
        <v>556</v>
      </c>
      <c r="N448" s="16"/>
      <c r="O448" s="7"/>
      <c r="P448" s="22"/>
      <c r="Q448" s="8" t="n">
        <v>1567.63</v>
      </c>
      <c r="R448" s="8" t="n">
        <v>-1567.63</v>
      </c>
      <c r="S448" s="7" t="s">
        <v>775</v>
      </c>
      <c r="T448" s="7"/>
      <c r="U448" s="7"/>
      <c r="V448" s="20"/>
      <c r="W448" s="7"/>
      <c r="X448" s="7" t="s">
        <v>784</v>
      </c>
      <c r="Y448" s="7"/>
      <c r="Z448" s="7"/>
      <c r="AA448" s="23" t="n">
        <f aca="false">YEAR(C448)</f>
        <v>2024</v>
      </c>
    </row>
    <row r="449" customFormat="false" ht="15" hidden="false" customHeight="false" outlineLevel="0" collapsed="false">
      <c r="A449" s="7" t="s">
        <v>1570</v>
      </c>
      <c r="B449" s="7" t="s">
        <v>137</v>
      </c>
      <c r="C449" s="20" t="n">
        <v>45535</v>
      </c>
      <c r="D449" s="20" t="n">
        <v>45535</v>
      </c>
      <c r="E449" s="20"/>
      <c r="F449" s="7" t="s">
        <v>759</v>
      </c>
      <c r="G449" s="7" t="s">
        <v>153</v>
      </c>
      <c r="H449" s="7" t="s">
        <v>574</v>
      </c>
      <c r="I449" s="7" t="s">
        <v>364</v>
      </c>
      <c r="J449" s="7" t="s">
        <v>761</v>
      </c>
      <c r="K449" s="7" t="s">
        <v>772</v>
      </c>
      <c r="L449" s="7" t="s">
        <v>575</v>
      </c>
      <c r="M449" s="7" t="s">
        <v>556</v>
      </c>
      <c r="N449" s="16"/>
      <c r="O449" s="7"/>
      <c r="P449" s="22"/>
      <c r="Q449" s="8" t="n">
        <v>27000</v>
      </c>
      <c r="R449" s="8" t="n">
        <v>-27000</v>
      </c>
      <c r="S449" s="7" t="s">
        <v>783</v>
      </c>
      <c r="T449" s="7"/>
      <c r="U449" s="7"/>
      <c r="V449" s="20"/>
      <c r="W449" s="7"/>
      <c r="X449" s="7" t="s">
        <v>784</v>
      </c>
      <c r="Y449" s="7"/>
      <c r="Z449" s="7"/>
      <c r="AA449" s="23" t="n">
        <f aca="false">YEAR(C449)</f>
        <v>2024</v>
      </c>
    </row>
    <row r="450" customFormat="false" ht="15" hidden="false" customHeight="false" outlineLevel="0" collapsed="false">
      <c r="A450" s="7" t="s">
        <v>1571</v>
      </c>
      <c r="B450" s="7" t="s">
        <v>137</v>
      </c>
      <c r="C450" s="20" t="n">
        <v>45536</v>
      </c>
      <c r="D450" s="20" t="n">
        <v>45536</v>
      </c>
      <c r="E450" s="20"/>
      <c r="F450" s="7" t="s">
        <v>759</v>
      </c>
      <c r="G450" s="7" t="s">
        <v>153</v>
      </c>
      <c r="H450" s="7" t="s">
        <v>545</v>
      </c>
      <c r="I450" s="7" t="s">
        <v>760</v>
      </c>
      <c r="J450" s="7" t="s">
        <v>761</v>
      </c>
      <c r="K450" s="7" t="s">
        <v>762</v>
      </c>
      <c r="L450" s="7" t="s">
        <v>546</v>
      </c>
      <c r="M450" s="7"/>
      <c r="N450" s="16"/>
      <c r="O450" s="7"/>
      <c r="P450" s="22"/>
      <c r="Q450" s="8" t="n">
        <v>4100</v>
      </c>
      <c r="R450" s="8" t="n">
        <v>-4100</v>
      </c>
      <c r="S450" s="7" t="s">
        <v>763</v>
      </c>
      <c r="T450" s="7"/>
      <c r="U450" s="7"/>
      <c r="V450" s="20"/>
      <c r="W450" s="7"/>
      <c r="X450" s="7"/>
      <c r="Y450" s="7"/>
      <c r="Z450" s="7"/>
      <c r="AA450" s="23" t="n">
        <f aca="false">YEAR(C450)</f>
        <v>2024</v>
      </c>
    </row>
    <row r="451" customFormat="false" ht="15" hidden="false" customHeight="false" outlineLevel="0" collapsed="false">
      <c r="A451" s="7" t="s">
        <v>1572</v>
      </c>
      <c r="B451" s="7" t="s">
        <v>137</v>
      </c>
      <c r="C451" s="20" t="n">
        <v>45537</v>
      </c>
      <c r="D451" s="20" t="n">
        <v>45567</v>
      </c>
      <c r="E451" s="20"/>
      <c r="F451" s="7" t="s">
        <v>759</v>
      </c>
      <c r="G451" s="7" t="s">
        <v>149</v>
      </c>
      <c r="H451" s="7" t="s">
        <v>261</v>
      </c>
      <c r="I451" s="7" t="s">
        <v>262</v>
      </c>
      <c r="J451" s="7" t="s">
        <v>221</v>
      </c>
      <c r="K451" s="7" t="s">
        <v>260</v>
      </c>
      <c r="L451" s="7" t="s">
        <v>539</v>
      </c>
      <c r="M451" s="7" t="s">
        <v>538</v>
      </c>
      <c r="N451" s="16"/>
      <c r="O451" s="7"/>
      <c r="P451" s="22"/>
      <c r="Q451" s="8" t="n">
        <v>6027.84</v>
      </c>
      <c r="R451" s="8" t="n">
        <v>-6027.84</v>
      </c>
      <c r="S451" s="7" t="s">
        <v>751</v>
      </c>
      <c r="T451" s="7"/>
      <c r="U451" s="7" t="s">
        <v>1573</v>
      </c>
      <c r="V451" s="20" t="n">
        <v>45567</v>
      </c>
      <c r="W451" s="7" t="s">
        <v>938</v>
      </c>
      <c r="X451" s="7"/>
      <c r="Y451" s="7"/>
      <c r="Z451" s="7"/>
      <c r="AA451" s="23" t="n">
        <f aca="false">YEAR(C451)</f>
        <v>2024</v>
      </c>
    </row>
    <row r="452" customFormat="false" ht="15" hidden="false" customHeight="false" outlineLevel="0" collapsed="false">
      <c r="A452" s="7" t="s">
        <v>1574</v>
      </c>
      <c r="B452" s="7" t="s">
        <v>137</v>
      </c>
      <c r="C452" s="20" t="n">
        <v>45541</v>
      </c>
      <c r="D452" s="20" t="n">
        <v>45541</v>
      </c>
      <c r="E452" s="20"/>
      <c r="F452" s="7" t="s">
        <v>759</v>
      </c>
      <c r="G452" s="7" t="s">
        <v>149</v>
      </c>
      <c r="H452" s="7" t="s">
        <v>271</v>
      </c>
      <c r="I452" s="7" t="s">
        <v>272</v>
      </c>
      <c r="J452" s="7" t="s">
        <v>221</v>
      </c>
      <c r="K452" s="7" t="s">
        <v>270</v>
      </c>
      <c r="L452" s="7" t="s">
        <v>921</v>
      </c>
      <c r="M452" s="7" t="s">
        <v>541</v>
      </c>
      <c r="N452" s="16"/>
      <c r="O452" s="7"/>
      <c r="P452" s="22"/>
      <c r="Q452" s="8" t="n">
        <v>704.39</v>
      </c>
      <c r="R452" s="8" t="n">
        <v>-704.39</v>
      </c>
      <c r="S452" s="7" t="s">
        <v>744</v>
      </c>
      <c r="T452" s="7"/>
      <c r="U452" s="7"/>
      <c r="V452" s="20"/>
      <c r="W452" s="7"/>
      <c r="X452" s="7"/>
      <c r="Y452" s="7"/>
      <c r="Z452" s="7"/>
      <c r="AA452" s="23" t="n">
        <f aca="false">YEAR(C452)</f>
        <v>2024</v>
      </c>
    </row>
    <row r="453" customFormat="false" ht="15" hidden="false" customHeight="false" outlineLevel="0" collapsed="false">
      <c r="A453" s="7" t="s">
        <v>1575</v>
      </c>
      <c r="B453" s="7" t="s">
        <v>137</v>
      </c>
      <c r="C453" s="20" t="n">
        <v>45541</v>
      </c>
      <c r="D453" s="20" t="n">
        <v>45541</v>
      </c>
      <c r="E453" s="20"/>
      <c r="F453" s="7" t="s">
        <v>759</v>
      </c>
      <c r="G453" s="7" t="s">
        <v>153</v>
      </c>
      <c r="H453" s="7" t="s">
        <v>271</v>
      </c>
      <c r="I453" s="7" t="s">
        <v>272</v>
      </c>
      <c r="J453" s="7" t="s">
        <v>221</v>
      </c>
      <c r="K453" s="7" t="s">
        <v>270</v>
      </c>
      <c r="L453" s="7" t="s">
        <v>544</v>
      </c>
      <c r="M453" s="7" t="s">
        <v>541</v>
      </c>
      <c r="N453" s="16"/>
      <c r="O453" s="7"/>
      <c r="P453" s="22"/>
      <c r="Q453" s="8" t="n">
        <v>469.59</v>
      </c>
      <c r="R453" s="8" t="n">
        <v>-469.59</v>
      </c>
      <c r="S453" s="7" t="s">
        <v>744</v>
      </c>
      <c r="T453" s="7"/>
      <c r="U453" s="7"/>
      <c r="V453" s="20"/>
      <c r="W453" s="7"/>
      <c r="X453" s="7"/>
      <c r="Y453" s="7"/>
      <c r="Z453" s="7"/>
      <c r="AA453" s="23" t="n">
        <f aca="false">YEAR(C453)</f>
        <v>2024</v>
      </c>
    </row>
    <row r="454" customFormat="false" ht="15" hidden="false" customHeight="false" outlineLevel="0" collapsed="false">
      <c r="A454" s="7" t="s">
        <v>1576</v>
      </c>
      <c r="B454" s="7" t="s">
        <v>137</v>
      </c>
      <c r="C454" s="20" t="n">
        <v>45541</v>
      </c>
      <c r="D454" s="20" t="n">
        <v>45580</v>
      </c>
      <c r="E454" s="20"/>
      <c r="F454" s="7" t="s">
        <v>759</v>
      </c>
      <c r="G454" s="7" t="s">
        <v>149</v>
      </c>
      <c r="H454" s="7" t="s">
        <v>273</v>
      </c>
      <c r="I454" s="7" t="s">
        <v>274</v>
      </c>
      <c r="J454" s="7" t="s">
        <v>221</v>
      </c>
      <c r="K454" s="7" t="s">
        <v>270</v>
      </c>
      <c r="L454" s="7" t="s">
        <v>554</v>
      </c>
      <c r="M454" s="7" t="s">
        <v>541</v>
      </c>
      <c r="N454" s="16"/>
      <c r="O454" s="7"/>
      <c r="P454" s="22"/>
      <c r="Q454" s="8" t="n">
        <v>103.31</v>
      </c>
      <c r="R454" s="8" t="n">
        <v>-103.31</v>
      </c>
      <c r="S454" s="7" t="s">
        <v>789</v>
      </c>
      <c r="T454" s="7"/>
      <c r="U454" s="7"/>
      <c r="V454" s="20"/>
      <c r="W454" s="7"/>
      <c r="X454" s="7"/>
      <c r="Y454" s="7"/>
      <c r="Z454" s="7"/>
      <c r="AA454" s="23" t="n">
        <f aca="false">YEAR(C454)</f>
        <v>2024</v>
      </c>
    </row>
    <row r="455" customFormat="false" ht="15" hidden="false" customHeight="false" outlineLevel="0" collapsed="false">
      <c r="A455" s="7" t="s">
        <v>1577</v>
      </c>
      <c r="B455" s="7" t="s">
        <v>137</v>
      </c>
      <c r="C455" s="20" t="n">
        <v>45542</v>
      </c>
      <c r="D455" s="20" t="n">
        <v>45587</v>
      </c>
      <c r="E455" s="20"/>
      <c r="F455" s="7" t="s">
        <v>759</v>
      </c>
      <c r="G455" s="7" t="s">
        <v>149</v>
      </c>
      <c r="H455" s="7" t="s">
        <v>284</v>
      </c>
      <c r="I455" s="7" t="s">
        <v>285</v>
      </c>
      <c r="J455" s="7" t="s">
        <v>221</v>
      </c>
      <c r="K455" s="7" t="s">
        <v>283</v>
      </c>
      <c r="L455" s="7" t="s">
        <v>569</v>
      </c>
      <c r="M455" s="7"/>
      <c r="N455" s="16"/>
      <c r="O455" s="7"/>
      <c r="P455" s="22"/>
      <c r="Q455" s="8" t="n">
        <v>2000</v>
      </c>
      <c r="R455" s="8" t="n">
        <v>-2000</v>
      </c>
      <c r="S455" s="7" t="s">
        <v>765</v>
      </c>
      <c r="T455" s="7"/>
      <c r="U455" s="7"/>
      <c r="V455" s="20"/>
      <c r="W455" s="7"/>
      <c r="X455" s="7"/>
      <c r="Y455" s="7"/>
      <c r="Z455" s="7"/>
      <c r="AA455" s="23" t="n">
        <f aca="false">YEAR(C455)</f>
        <v>2024</v>
      </c>
    </row>
    <row r="456" customFormat="false" ht="15" hidden="false" customHeight="false" outlineLevel="0" collapsed="false">
      <c r="A456" s="7" t="s">
        <v>1578</v>
      </c>
      <c r="B456" s="7" t="s">
        <v>137</v>
      </c>
      <c r="C456" s="20" t="n">
        <v>45543</v>
      </c>
      <c r="D456" s="20" t="n">
        <v>45587</v>
      </c>
      <c r="E456" s="20"/>
      <c r="F456" s="7" t="s">
        <v>759</v>
      </c>
      <c r="G456" s="7" t="s">
        <v>153</v>
      </c>
      <c r="H456" s="7" t="s">
        <v>244</v>
      </c>
      <c r="I456" s="7" t="s">
        <v>245</v>
      </c>
      <c r="J456" s="7" t="s">
        <v>229</v>
      </c>
      <c r="K456" s="7" t="s">
        <v>233</v>
      </c>
      <c r="L456" s="7" t="s">
        <v>570</v>
      </c>
      <c r="M456" s="7"/>
      <c r="N456" s="16"/>
      <c r="O456" s="7"/>
      <c r="P456" s="22"/>
      <c r="Q456" s="8" t="n">
        <v>165</v>
      </c>
      <c r="R456" s="8" t="n">
        <v>-165</v>
      </c>
      <c r="S456" s="7" t="s">
        <v>765</v>
      </c>
      <c r="T456" s="7"/>
      <c r="U456" s="7"/>
      <c r="V456" s="20"/>
      <c r="W456" s="7"/>
      <c r="X456" s="7"/>
      <c r="Y456" s="7"/>
      <c r="Z456" s="7"/>
      <c r="AA456" s="23" t="n">
        <f aca="false">YEAR(C456)</f>
        <v>2024</v>
      </c>
    </row>
    <row r="457" customFormat="false" ht="15" hidden="false" customHeight="false" outlineLevel="0" collapsed="false">
      <c r="A457" s="7" t="s">
        <v>1579</v>
      </c>
      <c r="B457" s="7" t="s">
        <v>137</v>
      </c>
      <c r="C457" s="20" t="n">
        <v>45545</v>
      </c>
      <c r="D457" s="20" t="n">
        <v>45545</v>
      </c>
      <c r="E457" s="20"/>
      <c r="F457" s="7" t="s">
        <v>759</v>
      </c>
      <c r="G457" s="7" t="s">
        <v>153</v>
      </c>
      <c r="H457" s="7" t="s">
        <v>237</v>
      </c>
      <c r="I457" s="7" t="s">
        <v>238</v>
      </c>
      <c r="J457" s="7" t="s">
        <v>236</v>
      </c>
      <c r="K457" s="7" t="s">
        <v>189</v>
      </c>
      <c r="L457" s="7" t="s">
        <v>1580</v>
      </c>
      <c r="M457" s="7" t="s">
        <v>768</v>
      </c>
      <c r="N457" s="16"/>
      <c r="O457" s="7"/>
      <c r="P457" s="22"/>
      <c r="Q457" s="8" t="n">
        <v>58.22</v>
      </c>
      <c r="R457" s="8" t="n">
        <v>-58.22</v>
      </c>
      <c r="S457" s="7" t="s">
        <v>744</v>
      </c>
      <c r="T457" s="7"/>
      <c r="U457" s="7"/>
      <c r="V457" s="20"/>
      <c r="W457" s="7"/>
      <c r="X457" s="7" t="s">
        <v>769</v>
      </c>
      <c r="Y457" s="7"/>
      <c r="Z457" s="7"/>
      <c r="AA457" s="23" t="n">
        <f aca="false">YEAR(C457)</f>
        <v>2024</v>
      </c>
    </row>
    <row r="458" customFormat="false" ht="15" hidden="false" customHeight="false" outlineLevel="0" collapsed="false">
      <c r="A458" s="7" t="s">
        <v>1581</v>
      </c>
      <c r="B458" s="7" t="s">
        <v>137</v>
      </c>
      <c r="C458" s="20" t="n">
        <v>45545</v>
      </c>
      <c r="D458" s="20" t="n">
        <v>45545</v>
      </c>
      <c r="E458" s="20"/>
      <c r="F458" s="7" t="s">
        <v>759</v>
      </c>
      <c r="G458" s="7" t="s">
        <v>153</v>
      </c>
      <c r="H458" s="7" t="s">
        <v>559</v>
      </c>
      <c r="I458" s="7" t="s">
        <v>771</v>
      </c>
      <c r="J458" s="7" t="s">
        <v>761</v>
      </c>
      <c r="K458" s="7" t="s">
        <v>772</v>
      </c>
      <c r="L458" s="7" t="s">
        <v>1582</v>
      </c>
      <c r="M458" s="7" t="s">
        <v>768</v>
      </c>
      <c r="N458" s="16"/>
      <c r="O458" s="7"/>
      <c r="P458" s="22"/>
      <c r="Q458" s="8" t="n">
        <v>786.87</v>
      </c>
      <c r="R458" s="8" t="n">
        <v>-786.87</v>
      </c>
      <c r="S458" s="7" t="s">
        <v>744</v>
      </c>
      <c r="T458" s="7"/>
      <c r="U458" s="7"/>
      <c r="V458" s="20"/>
      <c r="W458" s="7"/>
      <c r="X458" s="7" t="s">
        <v>769</v>
      </c>
      <c r="Y458" s="7"/>
      <c r="Z458" s="7"/>
      <c r="AA458" s="23" t="n">
        <f aca="false">YEAR(C458)</f>
        <v>2024</v>
      </c>
    </row>
    <row r="459" customFormat="false" ht="15" hidden="false" customHeight="false" outlineLevel="0" collapsed="false">
      <c r="A459" s="7" t="s">
        <v>1583</v>
      </c>
      <c r="B459" s="7" t="s">
        <v>137</v>
      </c>
      <c r="C459" s="20" t="n">
        <v>45547</v>
      </c>
      <c r="D459" s="20" t="n">
        <v>45547</v>
      </c>
      <c r="E459" s="20"/>
      <c r="F459" s="7" t="s">
        <v>759</v>
      </c>
      <c r="G459" s="7" t="s">
        <v>153</v>
      </c>
      <c r="H459" s="7" t="s">
        <v>240</v>
      </c>
      <c r="I459" s="7" t="s">
        <v>239</v>
      </c>
      <c r="J459" s="7" t="s">
        <v>229</v>
      </c>
      <c r="K459" s="7" t="s">
        <v>239</v>
      </c>
      <c r="L459" s="7" t="s">
        <v>548</v>
      </c>
      <c r="M459" s="7" t="s">
        <v>547</v>
      </c>
      <c r="N459" s="16"/>
      <c r="O459" s="7"/>
      <c r="P459" s="22"/>
      <c r="Q459" s="8" t="n">
        <v>266.75</v>
      </c>
      <c r="R459" s="8" t="n">
        <v>-266.75</v>
      </c>
      <c r="S459" s="7" t="s">
        <v>775</v>
      </c>
      <c r="T459" s="7"/>
      <c r="U459" s="7"/>
      <c r="V459" s="20"/>
      <c r="W459" s="7"/>
      <c r="X459" s="7"/>
      <c r="Y459" s="7"/>
      <c r="Z459" s="7"/>
      <c r="AA459" s="23" t="n">
        <f aca="false">YEAR(C459)</f>
        <v>2024</v>
      </c>
    </row>
    <row r="460" customFormat="false" ht="15" hidden="false" customHeight="false" outlineLevel="0" collapsed="false">
      <c r="A460" s="7" t="s">
        <v>1584</v>
      </c>
      <c r="B460" s="7" t="s">
        <v>137</v>
      </c>
      <c r="C460" s="20" t="n">
        <v>45547</v>
      </c>
      <c r="D460" s="20" t="n">
        <v>45547</v>
      </c>
      <c r="E460" s="20"/>
      <c r="F460" s="7" t="s">
        <v>759</v>
      </c>
      <c r="G460" s="7" t="s">
        <v>149</v>
      </c>
      <c r="H460" s="7" t="s">
        <v>1585</v>
      </c>
      <c r="I460" s="7" t="s">
        <v>1586</v>
      </c>
      <c r="J460" s="7" t="s">
        <v>761</v>
      </c>
      <c r="K460" s="7" t="s">
        <v>1557</v>
      </c>
      <c r="L460" s="7" t="s">
        <v>1587</v>
      </c>
      <c r="M460" s="7"/>
      <c r="N460" s="16"/>
      <c r="O460" s="7"/>
      <c r="P460" s="22"/>
      <c r="Q460" s="8" t="n">
        <v>14500</v>
      </c>
      <c r="R460" s="8" t="n">
        <v>14500</v>
      </c>
      <c r="S460" s="7" t="s">
        <v>33</v>
      </c>
      <c r="T460" s="7"/>
      <c r="U460" s="7"/>
      <c r="V460" s="20"/>
      <c r="W460" s="7" t="s">
        <v>1588</v>
      </c>
      <c r="X460" s="7"/>
      <c r="Y460" s="7"/>
      <c r="Z460" s="7"/>
      <c r="AA460" s="23" t="n">
        <f aca="false">YEAR(C460)</f>
        <v>2024</v>
      </c>
    </row>
    <row r="461" customFormat="false" ht="15" hidden="false" customHeight="false" outlineLevel="0" collapsed="false">
      <c r="A461" s="7" t="s">
        <v>1589</v>
      </c>
      <c r="B461" s="7" t="s">
        <v>137</v>
      </c>
      <c r="C461" s="20" t="n">
        <v>45550</v>
      </c>
      <c r="D461" s="20" t="n">
        <v>45550</v>
      </c>
      <c r="E461" s="20"/>
      <c r="F461" s="7" t="s">
        <v>759</v>
      </c>
      <c r="G461" s="7" t="s">
        <v>153</v>
      </c>
      <c r="H461" s="7" t="s">
        <v>786</v>
      </c>
      <c r="I461" s="7" t="s">
        <v>787</v>
      </c>
      <c r="J461" s="7" t="s">
        <v>761</v>
      </c>
      <c r="K461" s="7" t="s">
        <v>762</v>
      </c>
      <c r="L461" s="7" t="s">
        <v>788</v>
      </c>
      <c r="M461" s="7"/>
      <c r="N461" s="16"/>
      <c r="O461" s="7"/>
      <c r="P461" s="22"/>
      <c r="Q461" s="8" t="n">
        <v>3500</v>
      </c>
      <c r="R461" s="8" t="n">
        <v>-3500</v>
      </c>
      <c r="S461" s="7" t="s">
        <v>789</v>
      </c>
      <c r="T461" s="7"/>
      <c r="U461" s="7"/>
      <c r="V461" s="20"/>
      <c r="W461" s="7"/>
      <c r="X461" s="7"/>
      <c r="Y461" s="7"/>
      <c r="Z461" s="7"/>
      <c r="AA461" s="23" t="n">
        <f aca="false">YEAR(C461)</f>
        <v>2024</v>
      </c>
    </row>
    <row r="462" customFormat="false" ht="15" hidden="false" customHeight="false" outlineLevel="0" collapsed="false">
      <c r="A462" s="7" t="s">
        <v>1590</v>
      </c>
      <c r="B462" s="7" t="s">
        <v>137</v>
      </c>
      <c r="C462" s="20" t="n">
        <v>45551</v>
      </c>
      <c r="D462" s="20" t="n">
        <v>45551</v>
      </c>
      <c r="E462" s="20"/>
      <c r="F462" s="7" t="s">
        <v>759</v>
      </c>
      <c r="G462" s="7" t="s">
        <v>149</v>
      </c>
      <c r="H462" s="7" t="s">
        <v>237</v>
      </c>
      <c r="I462" s="7" t="s">
        <v>238</v>
      </c>
      <c r="J462" s="7" t="s">
        <v>236</v>
      </c>
      <c r="K462" s="7" t="s">
        <v>189</v>
      </c>
      <c r="L462" s="7" t="s">
        <v>1591</v>
      </c>
      <c r="M462" s="7" t="s">
        <v>556</v>
      </c>
      <c r="N462" s="16"/>
      <c r="O462" s="7"/>
      <c r="P462" s="22"/>
      <c r="Q462" s="8" t="n">
        <v>435</v>
      </c>
      <c r="R462" s="8" t="n">
        <v>-435</v>
      </c>
      <c r="S462" s="7" t="s">
        <v>744</v>
      </c>
      <c r="T462" s="7"/>
      <c r="U462" s="7"/>
      <c r="V462" s="20"/>
      <c r="W462" s="7"/>
      <c r="X462" s="7" t="s">
        <v>1552</v>
      </c>
      <c r="Y462" s="7"/>
      <c r="Z462" s="7"/>
      <c r="AA462" s="23" t="n">
        <f aca="false">YEAR(C462)</f>
        <v>2024</v>
      </c>
    </row>
    <row r="463" customFormat="false" ht="15" hidden="false" customHeight="false" outlineLevel="0" collapsed="false">
      <c r="A463" s="7" t="s">
        <v>1592</v>
      </c>
      <c r="B463" s="7" t="s">
        <v>137</v>
      </c>
      <c r="C463" s="20" t="n">
        <v>45551</v>
      </c>
      <c r="D463" s="20" t="n">
        <v>45551</v>
      </c>
      <c r="E463" s="20"/>
      <c r="F463" s="7" t="s">
        <v>759</v>
      </c>
      <c r="G463" s="7" t="s">
        <v>149</v>
      </c>
      <c r="H463" s="7" t="s">
        <v>559</v>
      </c>
      <c r="I463" s="7" t="s">
        <v>771</v>
      </c>
      <c r="J463" s="7" t="s">
        <v>761</v>
      </c>
      <c r="K463" s="7" t="s">
        <v>772</v>
      </c>
      <c r="L463" s="7" t="s">
        <v>1593</v>
      </c>
      <c r="M463" s="7" t="s">
        <v>556</v>
      </c>
      <c r="N463" s="16"/>
      <c r="O463" s="7"/>
      <c r="P463" s="22"/>
      <c r="Q463" s="8" t="n">
        <v>1297.49</v>
      </c>
      <c r="R463" s="8" t="n">
        <v>-1297.49</v>
      </c>
      <c r="S463" s="7" t="s">
        <v>744</v>
      </c>
      <c r="T463" s="7"/>
      <c r="U463" s="7"/>
      <c r="V463" s="20"/>
      <c r="W463" s="7"/>
      <c r="X463" s="7" t="s">
        <v>1552</v>
      </c>
      <c r="Y463" s="7"/>
      <c r="Z463" s="7"/>
      <c r="AA463" s="23" t="n">
        <f aca="false">YEAR(C463)</f>
        <v>2024</v>
      </c>
    </row>
    <row r="464" customFormat="false" ht="15" hidden="false" customHeight="false" outlineLevel="0" collapsed="false">
      <c r="A464" s="7" t="s">
        <v>1594</v>
      </c>
      <c r="B464" s="7" t="s">
        <v>137</v>
      </c>
      <c r="C464" s="20" t="n">
        <v>45551</v>
      </c>
      <c r="D464" s="20" t="n">
        <v>45581</v>
      </c>
      <c r="E464" s="20"/>
      <c r="F464" s="7" t="s">
        <v>759</v>
      </c>
      <c r="G464" s="7" t="s">
        <v>149</v>
      </c>
      <c r="H464" s="7" t="s">
        <v>261</v>
      </c>
      <c r="I464" s="7" t="s">
        <v>262</v>
      </c>
      <c r="J464" s="7" t="s">
        <v>221</v>
      </c>
      <c r="K464" s="7" t="s">
        <v>260</v>
      </c>
      <c r="L464" s="7" t="s">
        <v>553</v>
      </c>
      <c r="M464" s="7" t="s">
        <v>538</v>
      </c>
      <c r="N464" s="16"/>
      <c r="O464" s="7"/>
      <c r="P464" s="22"/>
      <c r="Q464" s="8" t="n">
        <v>5718.96</v>
      </c>
      <c r="R464" s="8" t="n">
        <v>-5718.96</v>
      </c>
      <c r="S464" s="7" t="s">
        <v>751</v>
      </c>
      <c r="T464" s="7"/>
      <c r="U464" s="7" t="s">
        <v>1595</v>
      </c>
      <c r="V464" s="20" t="n">
        <v>45581</v>
      </c>
      <c r="W464" s="7" t="s">
        <v>938</v>
      </c>
      <c r="X464" s="7"/>
      <c r="Y464" s="7"/>
      <c r="Z464" s="7"/>
      <c r="AA464" s="23" t="n">
        <f aca="false">YEAR(C464)</f>
        <v>2024</v>
      </c>
    </row>
    <row r="465" customFormat="false" ht="15" hidden="false" customHeight="false" outlineLevel="0" collapsed="false">
      <c r="A465" s="7" t="s">
        <v>1596</v>
      </c>
      <c r="B465" s="7" t="s">
        <v>137</v>
      </c>
      <c r="C465" s="20" t="n">
        <v>45555</v>
      </c>
      <c r="D465" s="20" t="n">
        <v>45555</v>
      </c>
      <c r="E465" s="20"/>
      <c r="F465" s="7" t="s">
        <v>759</v>
      </c>
      <c r="G465" s="7" t="s">
        <v>149</v>
      </c>
      <c r="H465" s="7" t="s">
        <v>271</v>
      </c>
      <c r="I465" s="7" t="s">
        <v>272</v>
      </c>
      <c r="J465" s="7" t="s">
        <v>221</v>
      </c>
      <c r="K465" s="7" t="s">
        <v>270</v>
      </c>
      <c r="L465" s="7" t="s">
        <v>1109</v>
      </c>
      <c r="M465" s="7" t="s">
        <v>541</v>
      </c>
      <c r="N465" s="16"/>
      <c r="O465" s="7"/>
      <c r="P465" s="22"/>
      <c r="Q465" s="8" t="n">
        <v>1319.68</v>
      </c>
      <c r="R465" s="8" t="n">
        <v>-1319.68</v>
      </c>
      <c r="S465" s="7" t="s">
        <v>744</v>
      </c>
      <c r="T465" s="7"/>
      <c r="U465" s="7"/>
      <c r="V465" s="20"/>
      <c r="W465" s="7"/>
      <c r="X465" s="7"/>
      <c r="Y465" s="7"/>
      <c r="Z465" s="7"/>
      <c r="AA465" s="23" t="n">
        <f aca="false">YEAR(C465)</f>
        <v>2024</v>
      </c>
    </row>
    <row r="466" customFormat="false" ht="15" hidden="false" customHeight="false" outlineLevel="0" collapsed="false">
      <c r="A466" s="7" t="s">
        <v>1597</v>
      </c>
      <c r="B466" s="7" t="s">
        <v>137</v>
      </c>
      <c r="C466" s="20" t="n">
        <v>45555</v>
      </c>
      <c r="D466" s="20" t="n">
        <v>45555</v>
      </c>
      <c r="E466" s="20"/>
      <c r="F466" s="7" t="s">
        <v>759</v>
      </c>
      <c r="G466" s="7" t="s">
        <v>153</v>
      </c>
      <c r="H466" s="7" t="s">
        <v>271</v>
      </c>
      <c r="I466" s="7" t="s">
        <v>272</v>
      </c>
      <c r="J466" s="7" t="s">
        <v>221</v>
      </c>
      <c r="K466" s="7" t="s">
        <v>270</v>
      </c>
      <c r="L466" s="7" t="s">
        <v>544</v>
      </c>
      <c r="M466" s="7" t="s">
        <v>541</v>
      </c>
      <c r="N466" s="16"/>
      <c r="O466" s="7"/>
      <c r="P466" s="22"/>
      <c r="Q466" s="8" t="n">
        <v>879.78</v>
      </c>
      <c r="R466" s="8" t="n">
        <v>-879.78</v>
      </c>
      <c r="S466" s="7" t="s">
        <v>744</v>
      </c>
      <c r="T466" s="7"/>
      <c r="U466" s="7"/>
      <c r="V466" s="20"/>
      <c r="W466" s="7"/>
      <c r="X466" s="7"/>
      <c r="Y466" s="7"/>
      <c r="Z466" s="7"/>
      <c r="AA466" s="23" t="n">
        <f aca="false">YEAR(C466)</f>
        <v>2024</v>
      </c>
    </row>
    <row r="467" customFormat="false" ht="15" hidden="false" customHeight="false" outlineLevel="0" collapsed="false">
      <c r="A467" s="7" t="s">
        <v>1598</v>
      </c>
      <c r="B467" s="7" t="s">
        <v>137</v>
      </c>
      <c r="C467" s="20" t="n">
        <v>45555</v>
      </c>
      <c r="D467" s="20" t="n">
        <v>45580</v>
      </c>
      <c r="E467" s="20"/>
      <c r="F467" s="7" t="s">
        <v>759</v>
      </c>
      <c r="G467" s="7" t="s">
        <v>149</v>
      </c>
      <c r="H467" s="7" t="s">
        <v>273</v>
      </c>
      <c r="I467" s="7" t="s">
        <v>274</v>
      </c>
      <c r="J467" s="7" t="s">
        <v>221</v>
      </c>
      <c r="K467" s="7" t="s">
        <v>270</v>
      </c>
      <c r="L467" s="7" t="s">
        <v>554</v>
      </c>
      <c r="M467" s="7" t="s">
        <v>541</v>
      </c>
      <c r="N467" s="16"/>
      <c r="O467" s="7"/>
      <c r="P467" s="22"/>
      <c r="Q467" s="8" t="n">
        <v>193.55</v>
      </c>
      <c r="R467" s="8" t="n">
        <v>-193.55</v>
      </c>
      <c r="S467" s="7" t="s">
        <v>789</v>
      </c>
      <c r="T467" s="7"/>
      <c r="U467" s="7"/>
      <c r="V467" s="20"/>
      <c r="W467" s="7"/>
      <c r="X467" s="7"/>
      <c r="Y467" s="7"/>
      <c r="Z467" s="7"/>
      <c r="AA467" s="23" t="n">
        <f aca="false">YEAR(C467)</f>
        <v>2024</v>
      </c>
    </row>
    <row r="468" customFormat="false" ht="15" hidden="false" customHeight="false" outlineLevel="0" collapsed="false">
      <c r="A468" s="7" t="s">
        <v>1599</v>
      </c>
      <c r="B468" s="7" t="s">
        <v>137</v>
      </c>
      <c r="C468" s="20" t="n">
        <v>45556</v>
      </c>
      <c r="D468" s="20" t="n">
        <v>45587</v>
      </c>
      <c r="E468" s="20"/>
      <c r="F468" s="7" t="s">
        <v>759</v>
      </c>
      <c r="G468" s="7" t="s">
        <v>149</v>
      </c>
      <c r="H468" s="7" t="s">
        <v>284</v>
      </c>
      <c r="I468" s="7" t="s">
        <v>285</v>
      </c>
      <c r="J468" s="7" t="s">
        <v>221</v>
      </c>
      <c r="K468" s="7" t="s">
        <v>283</v>
      </c>
      <c r="L468" s="7" t="s">
        <v>568</v>
      </c>
      <c r="M468" s="7"/>
      <c r="N468" s="16"/>
      <c r="O468" s="7"/>
      <c r="P468" s="22"/>
      <c r="Q468" s="8" t="n">
        <v>2000</v>
      </c>
      <c r="R468" s="8" t="n">
        <v>-2000</v>
      </c>
      <c r="S468" s="7" t="s">
        <v>765</v>
      </c>
      <c r="T468" s="7"/>
      <c r="U468" s="7"/>
      <c r="V468" s="20"/>
      <c r="W468" s="7"/>
      <c r="X468" s="7"/>
      <c r="Y468" s="7"/>
      <c r="Z468" s="7"/>
      <c r="AA468" s="23" t="n">
        <f aca="false">YEAR(C468)</f>
        <v>2024</v>
      </c>
    </row>
    <row r="469" customFormat="false" ht="15" hidden="false" customHeight="false" outlineLevel="0" collapsed="false">
      <c r="A469" s="7" t="s">
        <v>1600</v>
      </c>
      <c r="B469" s="7" t="s">
        <v>137</v>
      </c>
      <c r="C469" s="20" t="n">
        <v>45561</v>
      </c>
      <c r="D469" s="20" t="n">
        <v>45587</v>
      </c>
      <c r="E469" s="20"/>
      <c r="F469" s="7" t="s">
        <v>759</v>
      </c>
      <c r="G469" s="7" t="s">
        <v>153</v>
      </c>
      <c r="H469" s="7" t="s">
        <v>242</v>
      </c>
      <c r="I469" s="7" t="s">
        <v>243</v>
      </c>
      <c r="J469" s="7" t="s">
        <v>229</v>
      </c>
      <c r="K469" s="7" t="s">
        <v>241</v>
      </c>
      <c r="L469" s="7" t="s">
        <v>571</v>
      </c>
      <c r="M469" s="7"/>
      <c r="N469" s="16"/>
      <c r="O469" s="7"/>
      <c r="P469" s="22"/>
      <c r="Q469" s="8" t="n">
        <v>280.64</v>
      </c>
      <c r="R469" s="8" t="n">
        <v>-280.64</v>
      </c>
      <c r="S469" s="7" t="s">
        <v>765</v>
      </c>
      <c r="T469" s="7"/>
      <c r="U469" s="7"/>
      <c r="V469" s="20"/>
      <c r="W469" s="7"/>
      <c r="X469" s="7"/>
      <c r="Y469" s="7"/>
      <c r="Z469" s="7"/>
      <c r="AA469" s="23" t="n">
        <f aca="false">YEAR(C469)</f>
        <v>2024</v>
      </c>
    </row>
    <row r="470" customFormat="false" ht="15" hidden="false" customHeight="false" outlineLevel="0" collapsed="false">
      <c r="A470" s="7" t="s">
        <v>1601</v>
      </c>
      <c r="B470" s="7" t="s">
        <v>137</v>
      </c>
      <c r="C470" s="20" t="n">
        <v>45565</v>
      </c>
      <c r="D470" s="20" t="n">
        <v>45565</v>
      </c>
      <c r="E470" s="20"/>
      <c r="F470" s="7" t="s">
        <v>759</v>
      </c>
      <c r="G470" s="7" t="s">
        <v>136</v>
      </c>
      <c r="H470" s="7" t="s">
        <v>223</v>
      </c>
      <c r="I470" s="7" t="s">
        <v>224</v>
      </c>
      <c r="J470" s="7" t="s">
        <v>221</v>
      </c>
      <c r="K470" s="7" t="s">
        <v>222</v>
      </c>
      <c r="L470" s="7" t="s">
        <v>1113</v>
      </c>
      <c r="M470" s="7" t="s">
        <v>1114</v>
      </c>
      <c r="N470" s="16" t="n">
        <v>96</v>
      </c>
      <c r="O470" s="7" t="s">
        <v>801</v>
      </c>
      <c r="P470" s="22" t="n">
        <v>1.29</v>
      </c>
      <c r="Q470" s="8" t="n">
        <v>123.6</v>
      </c>
      <c r="R470" s="8" t="n">
        <v>-123.6</v>
      </c>
      <c r="S470" s="7" t="s">
        <v>33</v>
      </c>
      <c r="T470" s="7"/>
      <c r="U470" s="7"/>
      <c r="V470" s="20"/>
      <c r="W470" s="7"/>
      <c r="X470" s="7"/>
      <c r="Y470" s="7" t="s">
        <v>721</v>
      </c>
      <c r="Z470" s="7"/>
      <c r="AA470" s="23" t="n">
        <f aca="false">YEAR(C470)</f>
        <v>2024</v>
      </c>
    </row>
    <row r="471" customFormat="false" ht="15" hidden="false" customHeight="false" outlineLevel="0" collapsed="false">
      <c r="A471" s="7" t="s">
        <v>1602</v>
      </c>
      <c r="B471" s="7" t="s">
        <v>137</v>
      </c>
      <c r="C471" s="20" t="n">
        <v>45565</v>
      </c>
      <c r="D471" s="20" t="n">
        <v>45565</v>
      </c>
      <c r="E471" s="20"/>
      <c r="F471" s="7" t="s">
        <v>759</v>
      </c>
      <c r="G471" s="7" t="s">
        <v>153</v>
      </c>
      <c r="H471" s="7" t="s">
        <v>246</v>
      </c>
      <c r="I471" s="7" t="s">
        <v>247</v>
      </c>
      <c r="J471" s="7" t="s">
        <v>236</v>
      </c>
      <c r="K471" s="7" t="s">
        <v>189</v>
      </c>
      <c r="L471" s="7" t="s">
        <v>853</v>
      </c>
      <c r="M471" s="7" t="s">
        <v>556</v>
      </c>
      <c r="N471" s="16"/>
      <c r="O471" s="7"/>
      <c r="P471" s="22"/>
      <c r="Q471" s="8" t="n">
        <v>1309.32</v>
      </c>
      <c r="R471" s="8" t="n">
        <v>-1309.32</v>
      </c>
      <c r="S471" s="7" t="s">
        <v>775</v>
      </c>
      <c r="T471" s="7"/>
      <c r="U471" s="7"/>
      <c r="V471" s="20"/>
      <c r="W471" s="7"/>
      <c r="X471" s="7" t="s">
        <v>784</v>
      </c>
      <c r="Y471" s="7"/>
      <c r="Z471" s="7"/>
      <c r="AA471" s="23" t="n">
        <f aca="false">YEAR(C471)</f>
        <v>2024</v>
      </c>
    </row>
    <row r="472" customFormat="false" ht="15" hidden="false" customHeight="false" outlineLevel="0" collapsed="false">
      <c r="A472" s="7" t="s">
        <v>1603</v>
      </c>
      <c r="B472" s="7" t="s">
        <v>137</v>
      </c>
      <c r="C472" s="20" t="n">
        <v>45565</v>
      </c>
      <c r="D472" s="20" t="n">
        <v>45565</v>
      </c>
      <c r="E472" s="20"/>
      <c r="F472" s="7" t="s">
        <v>759</v>
      </c>
      <c r="G472" s="7" t="s">
        <v>153</v>
      </c>
      <c r="H472" s="7" t="s">
        <v>574</v>
      </c>
      <c r="I472" s="7" t="s">
        <v>364</v>
      </c>
      <c r="J472" s="7" t="s">
        <v>761</v>
      </c>
      <c r="K472" s="7" t="s">
        <v>772</v>
      </c>
      <c r="L472" s="7" t="s">
        <v>575</v>
      </c>
      <c r="M472" s="7" t="s">
        <v>556</v>
      </c>
      <c r="N472" s="16"/>
      <c r="O472" s="7"/>
      <c r="P472" s="22"/>
      <c r="Q472" s="8" t="n">
        <v>20000</v>
      </c>
      <c r="R472" s="8" t="n">
        <v>-20000</v>
      </c>
      <c r="S472" s="7" t="s">
        <v>783</v>
      </c>
      <c r="T472" s="7"/>
      <c r="U472" s="7"/>
      <c r="V472" s="20"/>
      <c r="W472" s="7"/>
      <c r="X472" s="7" t="s">
        <v>784</v>
      </c>
      <c r="Y472" s="7"/>
      <c r="Z472" s="7"/>
      <c r="AA472" s="23" t="n">
        <f aca="false">YEAR(C472)</f>
        <v>2024</v>
      </c>
    </row>
    <row r="473" customFormat="false" ht="15" hidden="false" customHeight="false" outlineLevel="0" collapsed="false">
      <c r="A473" s="7" t="s">
        <v>1604</v>
      </c>
      <c r="B473" s="7" t="s">
        <v>137</v>
      </c>
      <c r="C473" s="20" t="n">
        <v>45566</v>
      </c>
      <c r="D473" s="20" t="n">
        <v>45566</v>
      </c>
      <c r="E473" s="20"/>
      <c r="F473" s="7" t="s">
        <v>759</v>
      </c>
      <c r="G473" s="7" t="s">
        <v>153</v>
      </c>
      <c r="H473" s="7" t="s">
        <v>545</v>
      </c>
      <c r="I473" s="7" t="s">
        <v>760</v>
      </c>
      <c r="J473" s="7" t="s">
        <v>761</v>
      </c>
      <c r="K473" s="7" t="s">
        <v>762</v>
      </c>
      <c r="L473" s="7" t="s">
        <v>546</v>
      </c>
      <c r="M473" s="7"/>
      <c r="N473" s="16"/>
      <c r="O473" s="7"/>
      <c r="P473" s="22"/>
      <c r="Q473" s="8" t="n">
        <v>4100</v>
      </c>
      <c r="R473" s="8" t="n">
        <v>-4100</v>
      </c>
      <c r="S473" s="7" t="s">
        <v>763</v>
      </c>
      <c r="T473" s="7"/>
      <c r="U473" s="7"/>
      <c r="V473" s="20"/>
      <c r="W473" s="7"/>
      <c r="X473" s="7"/>
      <c r="Y473" s="7"/>
      <c r="Z473" s="7"/>
      <c r="AA473" s="23" t="n">
        <f aca="false">YEAR(C473)</f>
        <v>2024</v>
      </c>
    </row>
    <row r="474" customFormat="false" ht="15" hidden="false" customHeight="false" outlineLevel="0" collapsed="false">
      <c r="A474" s="7" t="s">
        <v>1605</v>
      </c>
      <c r="B474" s="7" t="s">
        <v>137</v>
      </c>
      <c r="C474" s="20" t="n">
        <v>45568</v>
      </c>
      <c r="D474" s="20" t="n">
        <v>45600</v>
      </c>
      <c r="E474" s="20"/>
      <c r="F474" s="7" t="s">
        <v>759</v>
      </c>
      <c r="G474" s="7" t="s">
        <v>144</v>
      </c>
      <c r="H474" s="7" t="s">
        <v>268</v>
      </c>
      <c r="I474" s="7" t="s">
        <v>269</v>
      </c>
      <c r="J474" s="7" t="s">
        <v>221</v>
      </c>
      <c r="K474" s="7" t="s">
        <v>267</v>
      </c>
      <c r="L474" s="7" t="s">
        <v>577</v>
      </c>
      <c r="M474" s="7" t="s">
        <v>563</v>
      </c>
      <c r="N474" s="16"/>
      <c r="O474" s="7"/>
      <c r="P474" s="22"/>
      <c r="Q474" s="8" t="n">
        <v>1025.06</v>
      </c>
      <c r="R474" s="8" t="n">
        <v>-1025.06</v>
      </c>
      <c r="S474" s="7" t="s">
        <v>751</v>
      </c>
      <c r="T474" s="7"/>
      <c r="U474" s="7" t="s">
        <v>1606</v>
      </c>
      <c r="V474" s="20" t="n">
        <v>45598</v>
      </c>
      <c r="W474" s="7"/>
      <c r="X474" s="7"/>
      <c r="Y474" s="7" t="s">
        <v>706</v>
      </c>
      <c r="Z474" s="7"/>
      <c r="AA474" s="23" t="n">
        <f aca="false">YEAR(C474)</f>
        <v>2024</v>
      </c>
    </row>
    <row r="475" customFormat="false" ht="15" hidden="false" customHeight="false" outlineLevel="0" collapsed="false">
      <c r="A475" s="7" t="s">
        <v>1607</v>
      </c>
      <c r="B475" s="7" t="s">
        <v>137</v>
      </c>
      <c r="C475" s="20" t="n">
        <v>45569</v>
      </c>
      <c r="D475" s="20" t="n">
        <v>45569</v>
      </c>
      <c r="E475" s="20"/>
      <c r="F475" s="7" t="s">
        <v>759</v>
      </c>
      <c r="G475" s="7" t="s">
        <v>149</v>
      </c>
      <c r="H475" s="7" t="s">
        <v>271</v>
      </c>
      <c r="I475" s="7" t="s">
        <v>272</v>
      </c>
      <c r="J475" s="7" t="s">
        <v>221</v>
      </c>
      <c r="K475" s="7" t="s">
        <v>270</v>
      </c>
      <c r="L475" s="7" t="s">
        <v>1608</v>
      </c>
      <c r="M475" s="7" t="s">
        <v>541</v>
      </c>
      <c r="N475" s="16"/>
      <c r="O475" s="7"/>
      <c r="P475" s="22"/>
      <c r="Q475" s="8" t="n">
        <v>1406.25</v>
      </c>
      <c r="R475" s="8" t="n">
        <v>-1406.25</v>
      </c>
      <c r="S475" s="7" t="s">
        <v>744</v>
      </c>
      <c r="T475" s="7"/>
      <c r="U475" s="7"/>
      <c r="V475" s="20"/>
      <c r="W475" s="7"/>
      <c r="X475" s="7"/>
      <c r="Y475" s="7"/>
      <c r="Z475" s="7"/>
      <c r="AA475" s="23" t="n">
        <f aca="false">YEAR(C475)</f>
        <v>2024</v>
      </c>
    </row>
    <row r="476" customFormat="false" ht="15" hidden="false" customHeight="false" outlineLevel="0" collapsed="false">
      <c r="A476" s="7" t="s">
        <v>1609</v>
      </c>
      <c r="B476" s="7" t="s">
        <v>137</v>
      </c>
      <c r="C476" s="20" t="n">
        <v>45569</v>
      </c>
      <c r="D476" s="20" t="n">
        <v>45569</v>
      </c>
      <c r="E476" s="20"/>
      <c r="F476" s="7" t="s">
        <v>759</v>
      </c>
      <c r="G476" s="7" t="s">
        <v>153</v>
      </c>
      <c r="H476" s="7" t="s">
        <v>271</v>
      </c>
      <c r="I476" s="7" t="s">
        <v>272</v>
      </c>
      <c r="J476" s="7" t="s">
        <v>221</v>
      </c>
      <c r="K476" s="7" t="s">
        <v>270</v>
      </c>
      <c r="L476" s="7" t="s">
        <v>544</v>
      </c>
      <c r="M476" s="7" t="s">
        <v>541</v>
      </c>
      <c r="N476" s="16"/>
      <c r="O476" s="7"/>
      <c r="P476" s="22"/>
      <c r="Q476" s="8" t="n">
        <v>937.5</v>
      </c>
      <c r="R476" s="8" t="n">
        <v>-937.5</v>
      </c>
      <c r="S476" s="7" t="s">
        <v>744</v>
      </c>
      <c r="T476" s="7"/>
      <c r="U476" s="7"/>
      <c r="V476" s="20"/>
      <c r="W476" s="7"/>
      <c r="X476" s="7"/>
      <c r="Y476" s="7"/>
      <c r="Z476" s="7"/>
      <c r="AA476" s="23" t="n">
        <f aca="false">YEAR(C476)</f>
        <v>2024</v>
      </c>
    </row>
    <row r="477" customFormat="false" ht="15" hidden="false" customHeight="false" outlineLevel="0" collapsed="false">
      <c r="A477" s="7" t="s">
        <v>1610</v>
      </c>
      <c r="B477" s="7" t="s">
        <v>137</v>
      </c>
      <c r="C477" s="20" t="n">
        <v>45569</v>
      </c>
      <c r="D477" s="20" t="n">
        <v>45611</v>
      </c>
      <c r="E477" s="20"/>
      <c r="F477" s="7" t="s">
        <v>759</v>
      </c>
      <c r="G477" s="7" t="s">
        <v>149</v>
      </c>
      <c r="H477" s="7" t="s">
        <v>273</v>
      </c>
      <c r="I477" s="7" t="s">
        <v>274</v>
      </c>
      <c r="J477" s="7" t="s">
        <v>221</v>
      </c>
      <c r="K477" s="7" t="s">
        <v>270</v>
      </c>
      <c r="L477" s="7" t="s">
        <v>554</v>
      </c>
      <c r="M477" s="7" t="s">
        <v>541</v>
      </c>
      <c r="N477" s="16"/>
      <c r="O477" s="7"/>
      <c r="P477" s="22"/>
      <c r="Q477" s="8" t="n">
        <v>206.25</v>
      </c>
      <c r="R477" s="8" t="n">
        <v>-206.25</v>
      </c>
      <c r="S477" s="7" t="s">
        <v>789</v>
      </c>
      <c r="T477" s="7"/>
      <c r="U477" s="7"/>
      <c r="V477" s="20"/>
      <c r="W477" s="7"/>
      <c r="X477" s="7"/>
      <c r="Y477" s="7"/>
      <c r="Z477" s="7"/>
      <c r="AA477" s="23" t="n">
        <f aca="false">YEAR(C477)</f>
        <v>2024</v>
      </c>
    </row>
    <row r="478" customFormat="false" ht="15" hidden="false" customHeight="false" outlineLevel="0" collapsed="false">
      <c r="A478" s="7" t="s">
        <v>1611</v>
      </c>
      <c r="B478" s="7" t="s">
        <v>137</v>
      </c>
      <c r="C478" s="20" t="n">
        <v>45571</v>
      </c>
      <c r="D478" s="20" t="n">
        <v>45601</v>
      </c>
      <c r="E478" s="20"/>
      <c r="F478" s="7" t="s">
        <v>759</v>
      </c>
      <c r="G478" s="7" t="s">
        <v>149</v>
      </c>
      <c r="H478" s="7" t="s">
        <v>261</v>
      </c>
      <c r="I478" s="7" t="s">
        <v>262</v>
      </c>
      <c r="J478" s="7" t="s">
        <v>221</v>
      </c>
      <c r="K478" s="7" t="s">
        <v>260</v>
      </c>
      <c r="L478" s="7" t="s">
        <v>579</v>
      </c>
      <c r="M478" s="7" t="s">
        <v>538</v>
      </c>
      <c r="N478" s="16"/>
      <c r="O478" s="7"/>
      <c r="P478" s="22"/>
      <c r="Q478" s="8" t="n">
        <v>1697.32</v>
      </c>
      <c r="R478" s="8" t="n">
        <v>-1697.32</v>
      </c>
      <c r="S478" s="7" t="s">
        <v>751</v>
      </c>
      <c r="T478" s="7"/>
      <c r="U478" s="7" t="s">
        <v>1612</v>
      </c>
      <c r="V478" s="20" t="n">
        <v>45601</v>
      </c>
      <c r="W478" s="7" t="s">
        <v>1561</v>
      </c>
      <c r="X478" s="7"/>
      <c r="Y478" s="7"/>
      <c r="Z478" s="7"/>
      <c r="AA478" s="23" t="n">
        <f aca="false">YEAR(C478)</f>
        <v>2024</v>
      </c>
    </row>
    <row r="479" customFormat="false" ht="15" hidden="false" customHeight="false" outlineLevel="0" collapsed="false">
      <c r="A479" s="7" t="s">
        <v>1613</v>
      </c>
      <c r="B479" s="7" t="s">
        <v>137</v>
      </c>
      <c r="C479" s="20" t="n">
        <v>45572</v>
      </c>
      <c r="D479" s="20" t="n">
        <v>45614</v>
      </c>
      <c r="E479" s="20"/>
      <c r="F479" s="7" t="s">
        <v>759</v>
      </c>
      <c r="G479" s="7" t="s">
        <v>149</v>
      </c>
      <c r="H479" s="7" t="s">
        <v>279</v>
      </c>
      <c r="I479" s="7" t="s">
        <v>280</v>
      </c>
      <c r="J479" s="7" t="s">
        <v>248</v>
      </c>
      <c r="K479" s="7" t="s">
        <v>278</v>
      </c>
      <c r="L479" s="7" t="s">
        <v>1614</v>
      </c>
      <c r="M479" s="7" t="s">
        <v>593</v>
      </c>
      <c r="N479" s="16" t="n">
        <v>183</v>
      </c>
      <c r="O479" s="7" t="s">
        <v>801</v>
      </c>
      <c r="P479" s="22" t="n">
        <v>41</v>
      </c>
      <c r="Q479" s="8" t="n">
        <v>7503</v>
      </c>
      <c r="R479" s="8" t="n">
        <v>7503</v>
      </c>
      <c r="S479" s="7" t="s">
        <v>33</v>
      </c>
      <c r="T479" s="7" t="s">
        <v>1615</v>
      </c>
      <c r="U479" s="7"/>
      <c r="V479" s="20" t="n">
        <v>45602</v>
      </c>
      <c r="W479" s="7"/>
      <c r="X479" s="7"/>
      <c r="Y479" s="7"/>
      <c r="Z479" s="7"/>
      <c r="AA479" s="23" t="n">
        <f aca="false">YEAR(C479)</f>
        <v>2024</v>
      </c>
    </row>
    <row r="480" customFormat="false" ht="15" hidden="false" customHeight="false" outlineLevel="0" collapsed="false">
      <c r="A480" s="7" t="s">
        <v>1616</v>
      </c>
      <c r="B480" s="7" t="s">
        <v>137</v>
      </c>
      <c r="C480" s="20" t="n">
        <v>45572</v>
      </c>
      <c r="D480" s="20" t="n">
        <v>45614</v>
      </c>
      <c r="E480" s="20"/>
      <c r="F480" s="7" t="s">
        <v>759</v>
      </c>
      <c r="G480" s="7" t="s">
        <v>149</v>
      </c>
      <c r="H480" s="7" t="s">
        <v>281</v>
      </c>
      <c r="I480" s="7" t="s">
        <v>282</v>
      </c>
      <c r="J480" s="7" t="s">
        <v>248</v>
      </c>
      <c r="K480" s="7" t="s">
        <v>278</v>
      </c>
      <c r="L480" s="7" t="s">
        <v>1617</v>
      </c>
      <c r="M480" s="7" t="s">
        <v>593</v>
      </c>
      <c r="N480" s="16" t="n">
        <v>6314</v>
      </c>
      <c r="O480" s="7" t="s">
        <v>798</v>
      </c>
      <c r="P480" s="22" t="n">
        <v>0.19</v>
      </c>
      <c r="Q480" s="8" t="n">
        <v>1199.57</v>
      </c>
      <c r="R480" s="8" t="n">
        <v>1199.57</v>
      </c>
      <c r="S480" s="7" t="s">
        <v>33</v>
      </c>
      <c r="T480" s="7" t="s">
        <v>1615</v>
      </c>
      <c r="U480" s="7"/>
      <c r="V480" s="20" t="n">
        <v>45602</v>
      </c>
      <c r="W480" s="7"/>
      <c r="X480" s="7"/>
      <c r="Y480" s="7"/>
      <c r="Z480" s="7"/>
      <c r="AA480" s="23" t="n">
        <f aca="false">YEAR(C480)</f>
        <v>2024</v>
      </c>
    </row>
    <row r="481" customFormat="false" ht="15" hidden="false" customHeight="false" outlineLevel="0" collapsed="false">
      <c r="A481" s="7" t="s">
        <v>1618</v>
      </c>
      <c r="B481" s="7" t="s">
        <v>137</v>
      </c>
      <c r="C481" s="20" t="n">
        <v>45573</v>
      </c>
      <c r="D481" s="20" t="n">
        <v>45579</v>
      </c>
      <c r="E481" s="20"/>
      <c r="F481" s="7" t="s">
        <v>759</v>
      </c>
      <c r="G481" s="7" t="s">
        <v>144</v>
      </c>
      <c r="H481" s="7" t="s">
        <v>250</v>
      </c>
      <c r="I481" s="7" t="s">
        <v>251</v>
      </c>
      <c r="J481" s="7" t="s">
        <v>248</v>
      </c>
      <c r="K481" s="7" t="s">
        <v>249</v>
      </c>
      <c r="L481" s="7" t="s">
        <v>1619</v>
      </c>
      <c r="M481" s="7" t="s">
        <v>549</v>
      </c>
      <c r="N481" s="16" t="n">
        <v>4000</v>
      </c>
      <c r="O481" s="7" t="s">
        <v>798</v>
      </c>
      <c r="P481" s="22" t="n">
        <v>9.72</v>
      </c>
      <c r="Q481" s="8" t="n">
        <v>38880</v>
      </c>
      <c r="R481" s="8" t="n">
        <v>38880</v>
      </c>
      <c r="S481" s="7" t="s">
        <v>33</v>
      </c>
      <c r="T481" s="7" t="s">
        <v>1620</v>
      </c>
      <c r="U481" s="7"/>
      <c r="V481" s="20" t="n">
        <v>45573</v>
      </c>
      <c r="W481" s="7"/>
      <c r="X481" s="7"/>
      <c r="Y481" s="7" t="s">
        <v>706</v>
      </c>
      <c r="Z481" s="7"/>
      <c r="AA481" s="23" t="n">
        <f aca="false">YEAR(C481)</f>
        <v>2024</v>
      </c>
    </row>
    <row r="482" customFormat="false" ht="15" hidden="false" customHeight="false" outlineLevel="0" collapsed="false">
      <c r="A482" s="7" t="s">
        <v>1621</v>
      </c>
      <c r="B482" s="7" t="s">
        <v>137</v>
      </c>
      <c r="C482" s="20" t="n">
        <v>45573</v>
      </c>
      <c r="D482" s="20" t="n">
        <v>45603</v>
      </c>
      <c r="E482" s="20"/>
      <c r="F482" s="7" t="s">
        <v>759</v>
      </c>
      <c r="G482" s="7" t="s">
        <v>144</v>
      </c>
      <c r="H482" s="7" t="s">
        <v>261</v>
      </c>
      <c r="I482" s="7" t="s">
        <v>262</v>
      </c>
      <c r="J482" s="7" t="s">
        <v>221</v>
      </c>
      <c r="K482" s="7" t="s">
        <v>260</v>
      </c>
      <c r="L482" s="7" t="s">
        <v>578</v>
      </c>
      <c r="M482" s="7" t="s">
        <v>538</v>
      </c>
      <c r="N482" s="16"/>
      <c r="O482" s="7"/>
      <c r="P482" s="22"/>
      <c r="Q482" s="8" t="n">
        <v>2317.5</v>
      </c>
      <c r="R482" s="8" t="n">
        <v>-2317.5</v>
      </c>
      <c r="S482" s="7" t="s">
        <v>751</v>
      </c>
      <c r="T482" s="7"/>
      <c r="U482" s="7" t="s">
        <v>1622</v>
      </c>
      <c r="V482" s="20" t="n">
        <v>45603</v>
      </c>
      <c r="W482" s="7"/>
      <c r="X482" s="7"/>
      <c r="Y482" s="7" t="s">
        <v>706</v>
      </c>
      <c r="Z482" s="7"/>
      <c r="AA482" s="23" t="n">
        <f aca="false">YEAR(C482)</f>
        <v>2024</v>
      </c>
    </row>
    <row r="483" customFormat="false" ht="15" hidden="false" customHeight="false" outlineLevel="0" collapsed="false">
      <c r="A483" s="7" t="s">
        <v>1623</v>
      </c>
      <c r="B483" s="7" t="s">
        <v>137</v>
      </c>
      <c r="C483" s="20" t="n">
        <v>45573</v>
      </c>
      <c r="D483" s="20" t="n">
        <v>45618</v>
      </c>
      <c r="E483" s="20"/>
      <c r="F483" s="7" t="s">
        <v>759</v>
      </c>
      <c r="G483" s="7" t="s">
        <v>153</v>
      </c>
      <c r="H483" s="7" t="s">
        <v>244</v>
      </c>
      <c r="I483" s="7" t="s">
        <v>245</v>
      </c>
      <c r="J483" s="7" t="s">
        <v>229</v>
      </c>
      <c r="K483" s="7" t="s">
        <v>233</v>
      </c>
      <c r="L483" s="7" t="s">
        <v>570</v>
      </c>
      <c r="M483" s="7"/>
      <c r="N483" s="16"/>
      <c r="O483" s="7"/>
      <c r="P483" s="22"/>
      <c r="Q483" s="8" t="n">
        <v>165</v>
      </c>
      <c r="R483" s="8" t="n">
        <v>-165</v>
      </c>
      <c r="S483" s="7" t="s">
        <v>765</v>
      </c>
      <c r="T483" s="7"/>
      <c r="U483" s="7"/>
      <c r="V483" s="20"/>
      <c r="W483" s="7"/>
      <c r="X483" s="7"/>
      <c r="Y483" s="7"/>
      <c r="Z483" s="7"/>
      <c r="AA483" s="23" t="n">
        <f aca="false">YEAR(C483)</f>
        <v>2024</v>
      </c>
    </row>
    <row r="484" customFormat="false" ht="15" hidden="false" customHeight="false" outlineLevel="0" collapsed="false">
      <c r="A484" s="7" t="s">
        <v>1624</v>
      </c>
      <c r="B484" s="7" t="s">
        <v>137</v>
      </c>
      <c r="C484" s="20" t="n">
        <v>45575</v>
      </c>
      <c r="D484" s="20" t="n">
        <v>45575</v>
      </c>
      <c r="E484" s="20"/>
      <c r="F484" s="7" t="s">
        <v>759</v>
      </c>
      <c r="G484" s="7" t="s">
        <v>153</v>
      </c>
      <c r="H484" s="7" t="s">
        <v>237</v>
      </c>
      <c r="I484" s="7" t="s">
        <v>238</v>
      </c>
      <c r="J484" s="7" t="s">
        <v>236</v>
      </c>
      <c r="K484" s="7" t="s">
        <v>189</v>
      </c>
      <c r="L484" s="7" t="s">
        <v>1625</v>
      </c>
      <c r="M484" s="7" t="s">
        <v>768</v>
      </c>
      <c r="N484" s="16"/>
      <c r="O484" s="7"/>
      <c r="P484" s="22"/>
      <c r="Q484" s="8" t="n">
        <v>55.66</v>
      </c>
      <c r="R484" s="8" t="n">
        <v>-55.66</v>
      </c>
      <c r="S484" s="7" t="s">
        <v>744</v>
      </c>
      <c r="T484" s="7"/>
      <c r="U484" s="7"/>
      <c r="V484" s="20"/>
      <c r="W484" s="7"/>
      <c r="X484" s="7" t="s">
        <v>769</v>
      </c>
      <c r="Y484" s="7"/>
      <c r="Z484" s="7"/>
      <c r="AA484" s="23" t="n">
        <f aca="false">YEAR(C484)</f>
        <v>2024</v>
      </c>
    </row>
    <row r="485" customFormat="false" ht="15" hidden="false" customHeight="false" outlineLevel="0" collapsed="false">
      <c r="A485" s="7" t="s">
        <v>1626</v>
      </c>
      <c r="B485" s="7" t="s">
        <v>137</v>
      </c>
      <c r="C485" s="20" t="n">
        <v>45575</v>
      </c>
      <c r="D485" s="20" t="n">
        <v>45575</v>
      </c>
      <c r="E485" s="20"/>
      <c r="F485" s="7" t="s">
        <v>759</v>
      </c>
      <c r="G485" s="7" t="s">
        <v>153</v>
      </c>
      <c r="H485" s="7" t="s">
        <v>559</v>
      </c>
      <c r="I485" s="7" t="s">
        <v>771</v>
      </c>
      <c r="J485" s="7" t="s">
        <v>761</v>
      </c>
      <c r="K485" s="7" t="s">
        <v>772</v>
      </c>
      <c r="L485" s="7" t="s">
        <v>1627</v>
      </c>
      <c r="M485" s="7" t="s">
        <v>768</v>
      </c>
      <c r="N485" s="16"/>
      <c r="O485" s="7"/>
      <c r="P485" s="22"/>
      <c r="Q485" s="8" t="n">
        <v>789.43</v>
      </c>
      <c r="R485" s="8" t="n">
        <v>-789.43</v>
      </c>
      <c r="S485" s="7" t="s">
        <v>744</v>
      </c>
      <c r="T485" s="7"/>
      <c r="U485" s="7"/>
      <c r="V485" s="20"/>
      <c r="W485" s="7"/>
      <c r="X485" s="7" t="s">
        <v>769</v>
      </c>
      <c r="Y485" s="7"/>
      <c r="Z485" s="7"/>
      <c r="AA485" s="23" t="n">
        <f aca="false">YEAR(C485)</f>
        <v>2024</v>
      </c>
    </row>
    <row r="486" customFormat="false" ht="15" hidden="false" customHeight="false" outlineLevel="0" collapsed="false">
      <c r="A486" s="7" t="s">
        <v>1628</v>
      </c>
      <c r="B486" s="7" t="s">
        <v>137</v>
      </c>
      <c r="C486" s="20" t="n">
        <v>45575</v>
      </c>
      <c r="D486" s="20" t="n">
        <v>45607</v>
      </c>
      <c r="E486" s="20"/>
      <c r="F486" s="7" t="s">
        <v>759</v>
      </c>
      <c r="G486" s="7" t="s">
        <v>144</v>
      </c>
      <c r="H486" s="7" t="s">
        <v>268</v>
      </c>
      <c r="I486" s="7" t="s">
        <v>269</v>
      </c>
      <c r="J486" s="7" t="s">
        <v>221</v>
      </c>
      <c r="K486" s="7" t="s">
        <v>267</v>
      </c>
      <c r="L486" s="7" t="s">
        <v>577</v>
      </c>
      <c r="M486" s="7" t="s">
        <v>563</v>
      </c>
      <c r="N486" s="16"/>
      <c r="O486" s="7"/>
      <c r="P486" s="22"/>
      <c r="Q486" s="8" t="n">
        <v>656.04</v>
      </c>
      <c r="R486" s="8" t="n">
        <v>-656.04</v>
      </c>
      <c r="S486" s="7" t="s">
        <v>751</v>
      </c>
      <c r="T486" s="7"/>
      <c r="U486" s="7" t="s">
        <v>1629</v>
      </c>
      <c r="V486" s="20" t="n">
        <v>45605</v>
      </c>
      <c r="W486" s="7"/>
      <c r="X486" s="7"/>
      <c r="Y486" s="7" t="s">
        <v>708</v>
      </c>
      <c r="Z486" s="7"/>
      <c r="AA486" s="23" t="n">
        <f aca="false">YEAR(C486)</f>
        <v>2024</v>
      </c>
    </row>
    <row r="487" customFormat="false" ht="15" hidden="false" customHeight="false" outlineLevel="0" collapsed="false">
      <c r="A487" s="7" t="s">
        <v>1630</v>
      </c>
      <c r="B487" s="7" t="s">
        <v>137</v>
      </c>
      <c r="C487" s="20" t="n">
        <v>45576</v>
      </c>
      <c r="D487" s="20" t="n">
        <v>45656</v>
      </c>
      <c r="E487" s="20"/>
      <c r="F487" s="7" t="s">
        <v>759</v>
      </c>
      <c r="G487" s="7" t="s">
        <v>149</v>
      </c>
      <c r="H487" s="7" t="s">
        <v>279</v>
      </c>
      <c r="I487" s="7" t="s">
        <v>280</v>
      </c>
      <c r="J487" s="7" t="s">
        <v>248</v>
      </c>
      <c r="K487" s="7" t="s">
        <v>278</v>
      </c>
      <c r="L487" s="7" t="s">
        <v>1631</v>
      </c>
      <c r="M487" s="7" t="s">
        <v>1010</v>
      </c>
      <c r="N487" s="16" t="n">
        <v>211</v>
      </c>
      <c r="O487" s="7" t="s">
        <v>801</v>
      </c>
      <c r="P487" s="22" t="n">
        <v>41</v>
      </c>
      <c r="Q487" s="8" t="n">
        <v>8651</v>
      </c>
      <c r="R487" s="8" t="n">
        <v>8651</v>
      </c>
      <c r="S487" s="7" t="s">
        <v>33</v>
      </c>
      <c r="T487" s="7" t="s">
        <v>1632</v>
      </c>
      <c r="U487" s="7"/>
      <c r="V487" s="20" t="n">
        <v>45606</v>
      </c>
      <c r="W487" s="7"/>
      <c r="X487" s="7"/>
      <c r="Y487" s="7"/>
      <c r="Z487" s="7"/>
      <c r="AA487" s="23" t="n">
        <f aca="false">YEAR(C487)</f>
        <v>2024</v>
      </c>
    </row>
    <row r="488" customFormat="false" ht="15" hidden="false" customHeight="false" outlineLevel="0" collapsed="false">
      <c r="A488" s="7" t="s">
        <v>1633</v>
      </c>
      <c r="B488" s="7" t="s">
        <v>137</v>
      </c>
      <c r="C488" s="20" t="n">
        <v>45576</v>
      </c>
      <c r="D488" s="20" t="n">
        <v>45656</v>
      </c>
      <c r="E488" s="20"/>
      <c r="F488" s="7" t="s">
        <v>759</v>
      </c>
      <c r="G488" s="7" t="s">
        <v>149</v>
      </c>
      <c r="H488" s="7" t="s">
        <v>281</v>
      </c>
      <c r="I488" s="7" t="s">
        <v>282</v>
      </c>
      <c r="J488" s="7" t="s">
        <v>248</v>
      </c>
      <c r="K488" s="7" t="s">
        <v>278</v>
      </c>
      <c r="L488" s="7" t="s">
        <v>1634</v>
      </c>
      <c r="M488" s="7" t="s">
        <v>1010</v>
      </c>
      <c r="N488" s="16" t="n">
        <v>7280</v>
      </c>
      <c r="O488" s="7" t="s">
        <v>798</v>
      </c>
      <c r="P488" s="22" t="n">
        <v>0.19</v>
      </c>
      <c r="Q488" s="8" t="n">
        <v>1383.11</v>
      </c>
      <c r="R488" s="8" t="n">
        <v>1383.11</v>
      </c>
      <c r="S488" s="7" t="s">
        <v>33</v>
      </c>
      <c r="T488" s="7" t="s">
        <v>1632</v>
      </c>
      <c r="U488" s="7"/>
      <c r="V488" s="20" t="n">
        <v>45606</v>
      </c>
      <c r="W488" s="7"/>
      <c r="X488" s="7"/>
      <c r="Y488" s="7"/>
      <c r="Z488" s="7"/>
      <c r="AA488" s="23" t="n">
        <f aca="false">YEAR(C488)</f>
        <v>2024</v>
      </c>
    </row>
    <row r="489" customFormat="false" ht="15" hidden="false" customHeight="false" outlineLevel="0" collapsed="false">
      <c r="A489" s="7" t="s">
        <v>1635</v>
      </c>
      <c r="B489" s="7" t="s">
        <v>137</v>
      </c>
      <c r="C489" s="20" t="n">
        <v>45577</v>
      </c>
      <c r="D489" s="20" t="n">
        <v>45577</v>
      </c>
      <c r="E489" s="20"/>
      <c r="F489" s="7" t="s">
        <v>759</v>
      </c>
      <c r="G489" s="7" t="s">
        <v>153</v>
      </c>
      <c r="H489" s="7" t="s">
        <v>240</v>
      </c>
      <c r="I489" s="7" t="s">
        <v>239</v>
      </c>
      <c r="J489" s="7" t="s">
        <v>229</v>
      </c>
      <c r="K489" s="7" t="s">
        <v>239</v>
      </c>
      <c r="L489" s="7" t="s">
        <v>548</v>
      </c>
      <c r="M489" s="7" t="s">
        <v>547</v>
      </c>
      <c r="N489" s="16"/>
      <c r="O489" s="7"/>
      <c r="P489" s="22"/>
      <c r="Q489" s="8" t="n">
        <v>293.67</v>
      </c>
      <c r="R489" s="8" t="n">
        <v>-293.67</v>
      </c>
      <c r="S489" s="7" t="s">
        <v>775</v>
      </c>
      <c r="T489" s="7"/>
      <c r="U489" s="7"/>
      <c r="V489" s="20"/>
      <c r="W489" s="7"/>
      <c r="X489" s="7"/>
      <c r="Y489" s="7"/>
      <c r="Z489" s="7"/>
      <c r="AA489" s="23" t="n">
        <f aca="false">YEAR(C489)</f>
        <v>2024</v>
      </c>
    </row>
    <row r="490" customFormat="false" ht="15" hidden="false" customHeight="false" outlineLevel="0" collapsed="false">
      <c r="A490" s="7" t="s">
        <v>1636</v>
      </c>
      <c r="B490" s="7" t="s">
        <v>137</v>
      </c>
      <c r="C490" s="20" t="n">
        <v>45577</v>
      </c>
      <c r="D490" s="20" t="n">
        <v>45609</v>
      </c>
      <c r="E490" s="20"/>
      <c r="F490" s="7" t="s">
        <v>759</v>
      </c>
      <c r="G490" s="7" t="s">
        <v>149</v>
      </c>
      <c r="H490" s="7" t="s">
        <v>279</v>
      </c>
      <c r="I490" s="7" t="s">
        <v>280</v>
      </c>
      <c r="J490" s="7" t="s">
        <v>248</v>
      </c>
      <c r="K490" s="7" t="s">
        <v>278</v>
      </c>
      <c r="L490" s="7" t="s">
        <v>1637</v>
      </c>
      <c r="M490" s="7" t="s">
        <v>606</v>
      </c>
      <c r="N490" s="16" t="n">
        <v>133</v>
      </c>
      <c r="O490" s="7" t="s">
        <v>801</v>
      </c>
      <c r="P490" s="22" t="n">
        <v>41</v>
      </c>
      <c r="Q490" s="8" t="n">
        <v>5453</v>
      </c>
      <c r="R490" s="8" t="n">
        <v>5453</v>
      </c>
      <c r="S490" s="7" t="s">
        <v>33</v>
      </c>
      <c r="T490" s="7" t="s">
        <v>1638</v>
      </c>
      <c r="U490" s="7"/>
      <c r="V490" s="20" t="n">
        <v>45607</v>
      </c>
      <c r="W490" s="7"/>
      <c r="X490" s="7"/>
      <c r="Y490" s="7"/>
      <c r="Z490" s="7"/>
      <c r="AA490" s="23" t="n">
        <f aca="false">YEAR(C490)</f>
        <v>2024</v>
      </c>
    </row>
    <row r="491" customFormat="false" ht="15" hidden="false" customHeight="false" outlineLevel="0" collapsed="false">
      <c r="A491" s="7" t="s">
        <v>1639</v>
      </c>
      <c r="B491" s="7" t="s">
        <v>137</v>
      </c>
      <c r="C491" s="20" t="n">
        <v>45577</v>
      </c>
      <c r="D491" s="20" t="n">
        <v>45609</v>
      </c>
      <c r="E491" s="20"/>
      <c r="F491" s="7" t="s">
        <v>759</v>
      </c>
      <c r="G491" s="7" t="s">
        <v>149</v>
      </c>
      <c r="H491" s="7" t="s">
        <v>281</v>
      </c>
      <c r="I491" s="7" t="s">
        <v>282</v>
      </c>
      <c r="J491" s="7" t="s">
        <v>248</v>
      </c>
      <c r="K491" s="7" t="s">
        <v>278</v>
      </c>
      <c r="L491" s="7" t="s">
        <v>1640</v>
      </c>
      <c r="M491" s="7" t="s">
        <v>606</v>
      </c>
      <c r="N491" s="16" t="n">
        <v>4588</v>
      </c>
      <c r="O491" s="7" t="s">
        <v>798</v>
      </c>
      <c r="P491" s="22" t="n">
        <v>0.19</v>
      </c>
      <c r="Q491" s="8" t="n">
        <v>871.82</v>
      </c>
      <c r="R491" s="8" t="n">
        <v>871.82</v>
      </c>
      <c r="S491" s="7" t="s">
        <v>33</v>
      </c>
      <c r="T491" s="7" t="s">
        <v>1638</v>
      </c>
      <c r="U491" s="7"/>
      <c r="V491" s="20" t="n">
        <v>45607</v>
      </c>
      <c r="W491" s="7"/>
      <c r="X491" s="7"/>
      <c r="Y491" s="7"/>
      <c r="Z491" s="7"/>
      <c r="AA491" s="23" t="n">
        <f aca="false">YEAR(C491)</f>
        <v>2024</v>
      </c>
    </row>
    <row r="492" customFormat="false" ht="15" hidden="false" customHeight="false" outlineLevel="0" collapsed="false">
      <c r="A492" s="7" t="s">
        <v>1641</v>
      </c>
      <c r="B492" s="7" t="s">
        <v>137</v>
      </c>
      <c r="C492" s="20" t="n">
        <v>45579</v>
      </c>
      <c r="D492" s="20" t="n">
        <v>45583</v>
      </c>
      <c r="E492" s="20"/>
      <c r="F492" s="7" t="s">
        <v>759</v>
      </c>
      <c r="G492" s="7" t="s">
        <v>144</v>
      </c>
      <c r="H492" s="7" t="s">
        <v>250</v>
      </c>
      <c r="I492" s="7" t="s">
        <v>251</v>
      </c>
      <c r="J492" s="7" t="s">
        <v>248</v>
      </c>
      <c r="K492" s="7" t="s">
        <v>249</v>
      </c>
      <c r="L492" s="7" t="s">
        <v>1642</v>
      </c>
      <c r="M492" s="7" t="s">
        <v>549</v>
      </c>
      <c r="N492" s="16" t="n">
        <v>2880</v>
      </c>
      <c r="O492" s="7" t="s">
        <v>798</v>
      </c>
      <c r="P492" s="22" t="n">
        <v>9.73</v>
      </c>
      <c r="Q492" s="8" t="n">
        <v>28022.4</v>
      </c>
      <c r="R492" s="8" t="n">
        <v>28022.4</v>
      </c>
      <c r="S492" s="7" t="s">
        <v>33</v>
      </c>
      <c r="T492" s="7" t="s">
        <v>1643</v>
      </c>
      <c r="U492" s="7"/>
      <c r="V492" s="20" t="n">
        <v>45579</v>
      </c>
      <c r="W492" s="7"/>
      <c r="X492" s="7"/>
      <c r="Y492" s="7" t="s">
        <v>708</v>
      </c>
      <c r="Z492" s="7"/>
      <c r="AA492" s="23" t="n">
        <f aca="false">YEAR(C492)</f>
        <v>2024</v>
      </c>
    </row>
    <row r="493" customFormat="false" ht="15" hidden="false" customHeight="false" outlineLevel="0" collapsed="false">
      <c r="A493" s="7" t="s">
        <v>1644</v>
      </c>
      <c r="B493" s="7" t="s">
        <v>137</v>
      </c>
      <c r="C493" s="20" t="n">
        <v>45580</v>
      </c>
      <c r="D493" s="20" t="n">
        <v>45610</v>
      </c>
      <c r="E493" s="20"/>
      <c r="F493" s="7" t="s">
        <v>759</v>
      </c>
      <c r="G493" s="7" t="s">
        <v>144</v>
      </c>
      <c r="H493" s="7" t="s">
        <v>261</v>
      </c>
      <c r="I493" s="7" t="s">
        <v>262</v>
      </c>
      <c r="J493" s="7" t="s">
        <v>221</v>
      </c>
      <c r="K493" s="7" t="s">
        <v>260</v>
      </c>
      <c r="L493" s="7" t="s">
        <v>578</v>
      </c>
      <c r="M493" s="7" t="s">
        <v>538</v>
      </c>
      <c r="N493" s="16"/>
      <c r="O493" s="7"/>
      <c r="P493" s="22"/>
      <c r="Q493" s="8" t="n">
        <v>1483.2</v>
      </c>
      <c r="R493" s="8" t="n">
        <v>-1483.2</v>
      </c>
      <c r="S493" s="7" t="s">
        <v>751</v>
      </c>
      <c r="T493" s="7"/>
      <c r="U493" s="7" t="s">
        <v>1645</v>
      </c>
      <c r="V493" s="20" t="n">
        <v>45610</v>
      </c>
      <c r="W493" s="7"/>
      <c r="X493" s="7"/>
      <c r="Y493" s="7" t="s">
        <v>708</v>
      </c>
      <c r="Z493" s="7"/>
      <c r="AA493" s="23" t="n">
        <f aca="false">YEAR(C493)</f>
        <v>2024</v>
      </c>
    </row>
    <row r="494" customFormat="false" ht="15" hidden="false" customHeight="false" outlineLevel="0" collapsed="false">
      <c r="A494" s="7" t="s">
        <v>1646</v>
      </c>
      <c r="B494" s="7" t="s">
        <v>137</v>
      </c>
      <c r="C494" s="20" t="n">
        <v>45580</v>
      </c>
      <c r="D494" s="20" t="n">
        <v>45616</v>
      </c>
      <c r="E494" s="20"/>
      <c r="F494" s="7" t="s">
        <v>759</v>
      </c>
      <c r="G494" s="7" t="s">
        <v>149</v>
      </c>
      <c r="H494" s="7" t="s">
        <v>279</v>
      </c>
      <c r="I494" s="7" t="s">
        <v>280</v>
      </c>
      <c r="J494" s="7" t="s">
        <v>248</v>
      </c>
      <c r="K494" s="7" t="s">
        <v>278</v>
      </c>
      <c r="L494" s="7" t="s">
        <v>1647</v>
      </c>
      <c r="M494" s="7" t="s">
        <v>1016</v>
      </c>
      <c r="N494" s="16" t="n">
        <v>113</v>
      </c>
      <c r="O494" s="7" t="s">
        <v>801</v>
      </c>
      <c r="P494" s="22" t="n">
        <v>41</v>
      </c>
      <c r="Q494" s="8" t="n">
        <v>4633</v>
      </c>
      <c r="R494" s="8" t="n">
        <v>4633</v>
      </c>
      <c r="S494" s="7" t="s">
        <v>33</v>
      </c>
      <c r="T494" s="7" t="s">
        <v>1648</v>
      </c>
      <c r="U494" s="7"/>
      <c r="V494" s="20" t="n">
        <v>45610</v>
      </c>
      <c r="W494" s="7"/>
      <c r="X494" s="7"/>
      <c r="Y494" s="7"/>
      <c r="Z494" s="7"/>
      <c r="AA494" s="23" t="n">
        <f aca="false">YEAR(C494)</f>
        <v>2024</v>
      </c>
    </row>
    <row r="495" customFormat="false" ht="15" hidden="false" customHeight="false" outlineLevel="0" collapsed="false">
      <c r="A495" s="7" t="s">
        <v>1649</v>
      </c>
      <c r="B495" s="7" t="s">
        <v>137</v>
      </c>
      <c r="C495" s="20" t="n">
        <v>45580</v>
      </c>
      <c r="D495" s="20" t="n">
        <v>45616</v>
      </c>
      <c r="E495" s="20"/>
      <c r="F495" s="7" t="s">
        <v>759</v>
      </c>
      <c r="G495" s="7" t="s">
        <v>149</v>
      </c>
      <c r="H495" s="7" t="s">
        <v>281</v>
      </c>
      <c r="I495" s="7" t="s">
        <v>282</v>
      </c>
      <c r="J495" s="7" t="s">
        <v>248</v>
      </c>
      <c r="K495" s="7" t="s">
        <v>278</v>
      </c>
      <c r="L495" s="7" t="s">
        <v>1650</v>
      </c>
      <c r="M495" s="7" t="s">
        <v>1016</v>
      </c>
      <c r="N495" s="16" t="n">
        <v>3898</v>
      </c>
      <c r="O495" s="7" t="s">
        <v>798</v>
      </c>
      <c r="P495" s="22" t="n">
        <v>0.19</v>
      </c>
      <c r="Q495" s="8" t="n">
        <v>740.72</v>
      </c>
      <c r="R495" s="8" t="n">
        <v>740.72</v>
      </c>
      <c r="S495" s="7" t="s">
        <v>33</v>
      </c>
      <c r="T495" s="7" t="s">
        <v>1648</v>
      </c>
      <c r="U495" s="7"/>
      <c r="V495" s="20" t="n">
        <v>45610</v>
      </c>
      <c r="W495" s="7"/>
      <c r="X495" s="7"/>
      <c r="Y495" s="7"/>
      <c r="Z495" s="7"/>
      <c r="AA495" s="23" t="n">
        <f aca="false">YEAR(C495)</f>
        <v>2024</v>
      </c>
    </row>
    <row r="496" customFormat="false" ht="15" hidden="false" customHeight="false" outlineLevel="0" collapsed="false">
      <c r="A496" s="7" t="s">
        <v>1651</v>
      </c>
      <c r="B496" s="7" t="s">
        <v>137</v>
      </c>
      <c r="C496" s="20" t="n">
        <v>45581</v>
      </c>
      <c r="D496" s="20" t="n">
        <v>45581</v>
      </c>
      <c r="E496" s="20"/>
      <c r="F496" s="7" t="s">
        <v>759</v>
      </c>
      <c r="G496" s="7" t="s">
        <v>149</v>
      </c>
      <c r="H496" s="7" t="s">
        <v>237</v>
      </c>
      <c r="I496" s="7" t="s">
        <v>238</v>
      </c>
      <c r="J496" s="7" t="s">
        <v>236</v>
      </c>
      <c r="K496" s="7" t="s">
        <v>189</v>
      </c>
      <c r="L496" s="7" t="s">
        <v>1652</v>
      </c>
      <c r="M496" s="7" t="s">
        <v>556</v>
      </c>
      <c r="N496" s="16"/>
      <c r="O496" s="7"/>
      <c r="P496" s="22"/>
      <c r="Q496" s="8" t="n">
        <v>427.16</v>
      </c>
      <c r="R496" s="8" t="n">
        <v>-427.16</v>
      </c>
      <c r="S496" s="7" t="s">
        <v>744</v>
      </c>
      <c r="T496" s="7"/>
      <c r="U496" s="7"/>
      <c r="V496" s="20"/>
      <c r="W496" s="7"/>
      <c r="X496" s="7" t="s">
        <v>1552</v>
      </c>
      <c r="Y496" s="7"/>
      <c r="Z496" s="7"/>
      <c r="AA496" s="23" t="n">
        <f aca="false">YEAR(C496)</f>
        <v>2024</v>
      </c>
    </row>
    <row r="497" customFormat="false" ht="15" hidden="false" customHeight="false" outlineLevel="0" collapsed="false">
      <c r="A497" s="7" t="s">
        <v>1653</v>
      </c>
      <c r="B497" s="7" t="s">
        <v>137</v>
      </c>
      <c r="C497" s="20" t="n">
        <v>45581</v>
      </c>
      <c r="D497" s="20" t="n">
        <v>45581</v>
      </c>
      <c r="E497" s="20"/>
      <c r="F497" s="7" t="s">
        <v>759</v>
      </c>
      <c r="G497" s="7" t="s">
        <v>149</v>
      </c>
      <c r="H497" s="7" t="s">
        <v>559</v>
      </c>
      <c r="I497" s="7" t="s">
        <v>771</v>
      </c>
      <c r="J497" s="7" t="s">
        <v>761</v>
      </c>
      <c r="K497" s="7" t="s">
        <v>772</v>
      </c>
      <c r="L497" s="7" t="s">
        <v>1654</v>
      </c>
      <c r="M497" s="7" t="s">
        <v>556</v>
      </c>
      <c r="N497" s="16"/>
      <c r="O497" s="7"/>
      <c r="P497" s="22"/>
      <c r="Q497" s="8" t="n">
        <v>1305.33</v>
      </c>
      <c r="R497" s="8" t="n">
        <v>-1305.33</v>
      </c>
      <c r="S497" s="7" t="s">
        <v>744</v>
      </c>
      <c r="T497" s="7"/>
      <c r="U497" s="7"/>
      <c r="V497" s="20"/>
      <c r="W497" s="7"/>
      <c r="X497" s="7" t="s">
        <v>1552</v>
      </c>
      <c r="Y497" s="7"/>
      <c r="Z497" s="7"/>
      <c r="AA497" s="23" t="n">
        <f aca="false">YEAR(C497)</f>
        <v>2024</v>
      </c>
    </row>
    <row r="498" customFormat="false" ht="15" hidden="false" customHeight="false" outlineLevel="0" collapsed="false">
      <c r="A498" s="7" t="s">
        <v>1655</v>
      </c>
      <c r="B498" s="7" t="s">
        <v>137</v>
      </c>
      <c r="C498" s="20" t="n">
        <v>45582</v>
      </c>
      <c r="D498" s="20" t="n">
        <v>45618</v>
      </c>
      <c r="E498" s="20"/>
      <c r="F498" s="7" t="s">
        <v>759</v>
      </c>
      <c r="G498" s="7" t="s">
        <v>149</v>
      </c>
      <c r="H498" s="7" t="s">
        <v>279</v>
      </c>
      <c r="I498" s="7" t="s">
        <v>280</v>
      </c>
      <c r="J498" s="7" t="s">
        <v>248</v>
      </c>
      <c r="K498" s="7" t="s">
        <v>278</v>
      </c>
      <c r="L498" s="7" t="s">
        <v>1656</v>
      </c>
      <c r="M498" s="7" t="s">
        <v>603</v>
      </c>
      <c r="N498" s="16" t="n">
        <v>119</v>
      </c>
      <c r="O498" s="7" t="s">
        <v>801</v>
      </c>
      <c r="P498" s="22" t="n">
        <v>41</v>
      </c>
      <c r="Q498" s="8" t="n">
        <v>4879</v>
      </c>
      <c r="R498" s="8" t="n">
        <v>4879</v>
      </c>
      <c r="S498" s="7" t="s">
        <v>33</v>
      </c>
      <c r="T498" s="7" t="s">
        <v>1657</v>
      </c>
      <c r="U498" s="7"/>
      <c r="V498" s="20" t="n">
        <v>45612</v>
      </c>
      <c r="W498" s="7"/>
      <c r="X498" s="7"/>
      <c r="Y498" s="7"/>
      <c r="Z498" s="7"/>
      <c r="AA498" s="23" t="n">
        <f aca="false">YEAR(C498)</f>
        <v>2024</v>
      </c>
    </row>
    <row r="499" customFormat="false" ht="15" hidden="false" customHeight="false" outlineLevel="0" collapsed="false">
      <c r="A499" s="7" t="s">
        <v>1658</v>
      </c>
      <c r="B499" s="7" t="s">
        <v>137</v>
      </c>
      <c r="C499" s="20" t="n">
        <v>45582</v>
      </c>
      <c r="D499" s="20" t="n">
        <v>45618</v>
      </c>
      <c r="E499" s="20"/>
      <c r="F499" s="7" t="s">
        <v>759</v>
      </c>
      <c r="G499" s="7" t="s">
        <v>149</v>
      </c>
      <c r="H499" s="7" t="s">
        <v>281</v>
      </c>
      <c r="I499" s="7" t="s">
        <v>282</v>
      </c>
      <c r="J499" s="7" t="s">
        <v>248</v>
      </c>
      <c r="K499" s="7" t="s">
        <v>278</v>
      </c>
      <c r="L499" s="7" t="s">
        <v>1659</v>
      </c>
      <c r="M499" s="7" t="s">
        <v>603</v>
      </c>
      <c r="N499" s="16" t="n">
        <v>4106</v>
      </c>
      <c r="O499" s="7" t="s">
        <v>798</v>
      </c>
      <c r="P499" s="22" t="n">
        <v>0.19</v>
      </c>
      <c r="Q499" s="8" t="n">
        <v>780.04</v>
      </c>
      <c r="R499" s="8" t="n">
        <v>780.04</v>
      </c>
      <c r="S499" s="7" t="s">
        <v>33</v>
      </c>
      <c r="T499" s="7" t="s">
        <v>1657</v>
      </c>
      <c r="U499" s="7"/>
      <c r="V499" s="20" t="n">
        <v>45612</v>
      </c>
      <c r="W499" s="7"/>
      <c r="X499" s="7"/>
      <c r="Y499" s="7"/>
      <c r="Z499" s="7"/>
      <c r="AA499" s="23" t="n">
        <f aca="false">YEAR(C499)</f>
        <v>2024</v>
      </c>
    </row>
    <row r="500" customFormat="false" ht="15" hidden="false" customHeight="false" outlineLevel="0" collapsed="false">
      <c r="A500" s="7" t="s">
        <v>1660</v>
      </c>
      <c r="B500" s="7" t="s">
        <v>137</v>
      </c>
      <c r="C500" s="20" t="n">
        <v>45583</v>
      </c>
      <c r="D500" s="20" t="n">
        <v>45583</v>
      </c>
      <c r="E500" s="20"/>
      <c r="F500" s="7" t="s">
        <v>759</v>
      </c>
      <c r="G500" s="7" t="s">
        <v>149</v>
      </c>
      <c r="H500" s="7" t="s">
        <v>271</v>
      </c>
      <c r="I500" s="7" t="s">
        <v>272</v>
      </c>
      <c r="J500" s="7" t="s">
        <v>221</v>
      </c>
      <c r="K500" s="7" t="s">
        <v>270</v>
      </c>
      <c r="L500" s="7" t="s">
        <v>1661</v>
      </c>
      <c r="M500" s="7" t="s">
        <v>541</v>
      </c>
      <c r="N500" s="16"/>
      <c r="O500" s="7"/>
      <c r="P500" s="22"/>
      <c r="Q500" s="8" t="n">
        <v>1296.91</v>
      </c>
      <c r="R500" s="8" t="n">
        <v>-1296.91</v>
      </c>
      <c r="S500" s="7" t="s">
        <v>744</v>
      </c>
      <c r="T500" s="7"/>
      <c r="U500" s="7"/>
      <c r="V500" s="20"/>
      <c r="W500" s="7"/>
      <c r="X500" s="7"/>
      <c r="Y500" s="7"/>
      <c r="Z500" s="7"/>
      <c r="AA500" s="23" t="n">
        <f aca="false">YEAR(C500)</f>
        <v>2024</v>
      </c>
    </row>
    <row r="501" customFormat="false" ht="15" hidden="false" customHeight="false" outlineLevel="0" collapsed="false">
      <c r="A501" s="7" t="s">
        <v>1662</v>
      </c>
      <c r="B501" s="7" t="s">
        <v>137</v>
      </c>
      <c r="C501" s="20" t="n">
        <v>45583</v>
      </c>
      <c r="D501" s="20" t="n">
        <v>45583</v>
      </c>
      <c r="E501" s="20"/>
      <c r="F501" s="7" t="s">
        <v>759</v>
      </c>
      <c r="G501" s="7" t="s">
        <v>153</v>
      </c>
      <c r="H501" s="7" t="s">
        <v>271</v>
      </c>
      <c r="I501" s="7" t="s">
        <v>272</v>
      </c>
      <c r="J501" s="7" t="s">
        <v>221</v>
      </c>
      <c r="K501" s="7" t="s">
        <v>270</v>
      </c>
      <c r="L501" s="7" t="s">
        <v>544</v>
      </c>
      <c r="M501" s="7" t="s">
        <v>541</v>
      </c>
      <c r="N501" s="16"/>
      <c r="O501" s="7"/>
      <c r="P501" s="22"/>
      <c r="Q501" s="8" t="n">
        <v>864.61</v>
      </c>
      <c r="R501" s="8" t="n">
        <v>-864.61</v>
      </c>
      <c r="S501" s="7" t="s">
        <v>744</v>
      </c>
      <c r="T501" s="7"/>
      <c r="U501" s="7"/>
      <c r="V501" s="20"/>
      <c r="W501" s="7"/>
      <c r="X501" s="7"/>
      <c r="Y501" s="7"/>
      <c r="Z501" s="7"/>
      <c r="AA501" s="23" t="n">
        <f aca="false">YEAR(C501)</f>
        <v>2024</v>
      </c>
    </row>
    <row r="502" customFormat="false" ht="15" hidden="false" customHeight="false" outlineLevel="0" collapsed="false">
      <c r="A502" s="7" t="s">
        <v>1663</v>
      </c>
      <c r="B502" s="7" t="s">
        <v>137</v>
      </c>
      <c r="C502" s="20" t="n">
        <v>45583</v>
      </c>
      <c r="D502" s="20" t="n">
        <v>45611</v>
      </c>
      <c r="E502" s="20"/>
      <c r="F502" s="7" t="s">
        <v>759</v>
      </c>
      <c r="G502" s="7" t="s">
        <v>149</v>
      </c>
      <c r="H502" s="7" t="s">
        <v>273</v>
      </c>
      <c r="I502" s="7" t="s">
        <v>274</v>
      </c>
      <c r="J502" s="7" t="s">
        <v>221</v>
      </c>
      <c r="K502" s="7" t="s">
        <v>270</v>
      </c>
      <c r="L502" s="7" t="s">
        <v>554</v>
      </c>
      <c r="M502" s="7" t="s">
        <v>541</v>
      </c>
      <c r="N502" s="16"/>
      <c r="O502" s="7"/>
      <c r="P502" s="22"/>
      <c r="Q502" s="8" t="n">
        <v>190.21</v>
      </c>
      <c r="R502" s="8" t="n">
        <v>-190.21</v>
      </c>
      <c r="S502" s="7" t="s">
        <v>789</v>
      </c>
      <c r="T502" s="7"/>
      <c r="U502" s="7"/>
      <c r="V502" s="20"/>
      <c r="W502" s="7"/>
      <c r="X502" s="7"/>
      <c r="Y502" s="7"/>
      <c r="Z502" s="7"/>
      <c r="AA502" s="23" t="n">
        <f aca="false">YEAR(C502)</f>
        <v>2024</v>
      </c>
    </row>
    <row r="503" customFormat="false" ht="15" hidden="false" customHeight="false" outlineLevel="0" collapsed="false">
      <c r="A503" s="7" t="s">
        <v>1664</v>
      </c>
      <c r="B503" s="7" t="s">
        <v>137</v>
      </c>
      <c r="C503" s="20" t="n">
        <v>45583</v>
      </c>
      <c r="D503" s="20" t="n">
        <v>45614</v>
      </c>
      <c r="E503" s="20"/>
      <c r="F503" s="7" t="s">
        <v>759</v>
      </c>
      <c r="G503" s="7" t="s">
        <v>146</v>
      </c>
      <c r="H503" s="7" t="s">
        <v>266</v>
      </c>
      <c r="I503" s="7" t="s">
        <v>265</v>
      </c>
      <c r="J503" s="7" t="s">
        <v>221</v>
      </c>
      <c r="K503" s="7" t="s">
        <v>265</v>
      </c>
      <c r="L503" s="7" t="s">
        <v>580</v>
      </c>
      <c r="M503" s="7" t="s">
        <v>563</v>
      </c>
      <c r="N503" s="16" t="n">
        <v>80</v>
      </c>
      <c r="O503" s="7" t="s">
        <v>801</v>
      </c>
      <c r="P503" s="22"/>
      <c r="Q503" s="8" t="n">
        <v>2352</v>
      </c>
      <c r="R503" s="8" t="n">
        <v>-2352</v>
      </c>
      <c r="S503" s="7" t="s">
        <v>751</v>
      </c>
      <c r="T503" s="7"/>
      <c r="U503" s="7" t="s">
        <v>1665</v>
      </c>
      <c r="V503" s="20" t="n">
        <v>45613</v>
      </c>
      <c r="W503" s="7"/>
      <c r="X503" s="7"/>
      <c r="Y503" s="7" t="s">
        <v>709</v>
      </c>
      <c r="Z503" s="7"/>
      <c r="AA503" s="23" t="n">
        <f aca="false">YEAR(C503)</f>
        <v>2024</v>
      </c>
    </row>
    <row r="504" customFormat="false" ht="15" hidden="false" customHeight="false" outlineLevel="0" collapsed="false">
      <c r="A504" s="7" t="s">
        <v>1666</v>
      </c>
      <c r="B504" s="7" t="s">
        <v>137</v>
      </c>
      <c r="C504" s="20" t="n">
        <v>45583</v>
      </c>
      <c r="D504" s="20" t="n">
        <v>45614</v>
      </c>
      <c r="E504" s="20"/>
      <c r="F504" s="7" t="s">
        <v>759</v>
      </c>
      <c r="G504" s="7" t="s">
        <v>146</v>
      </c>
      <c r="H504" s="7" t="s">
        <v>255</v>
      </c>
      <c r="I504" s="7" t="s">
        <v>256</v>
      </c>
      <c r="J504" s="7" t="s">
        <v>221</v>
      </c>
      <c r="K504" s="7" t="s">
        <v>254</v>
      </c>
      <c r="L504" s="7" t="s">
        <v>581</v>
      </c>
      <c r="M504" s="7" t="s">
        <v>563</v>
      </c>
      <c r="N504" s="16"/>
      <c r="O504" s="7"/>
      <c r="P504" s="22"/>
      <c r="Q504" s="8" t="n">
        <v>2080</v>
      </c>
      <c r="R504" s="8" t="n">
        <v>-2080</v>
      </c>
      <c r="S504" s="7" t="s">
        <v>751</v>
      </c>
      <c r="T504" s="7"/>
      <c r="U504" s="7" t="s">
        <v>1667</v>
      </c>
      <c r="V504" s="20" t="n">
        <v>45613</v>
      </c>
      <c r="W504" s="7"/>
      <c r="X504" s="7"/>
      <c r="Y504" s="7" t="s">
        <v>709</v>
      </c>
      <c r="Z504" s="7"/>
      <c r="AA504" s="23" t="n">
        <f aca="false">YEAR(C504)</f>
        <v>2024</v>
      </c>
    </row>
    <row r="505" customFormat="false" ht="15" hidden="false" customHeight="false" outlineLevel="0" collapsed="false">
      <c r="A505" s="7" t="s">
        <v>1668</v>
      </c>
      <c r="B505" s="7" t="s">
        <v>137</v>
      </c>
      <c r="C505" s="20" t="n">
        <v>45583</v>
      </c>
      <c r="D505" s="20" t="n">
        <v>45614</v>
      </c>
      <c r="E505" s="20"/>
      <c r="F505" s="7" t="s">
        <v>759</v>
      </c>
      <c r="G505" s="7" t="s">
        <v>146</v>
      </c>
      <c r="H505" s="7" t="s">
        <v>268</v>
      </c>
      <c r="I505" s="7" t="s">
        <v>269</v>
      </c>
      <c r="J505" s="7" t="s">
        <v>221</v>
      </c>
      <c r="K505" s="7" t="s">
        <v>267</v>
      </c>
      <c r="L505" s="7" t="s">
        <v>582</v>
      </c>
      <c r="M505" s="7" t="s">
        <v>563</v>
      </c>
      <c r="N505" s="16"/>
      <c r="O505" s="7"/>
      <c r="P505" s="22"/>
      <c r="Q505" s="8" t="n">
        <v>454.4</v>
      </c>
      <c r="R505" s="8" t="n">
        <v>-454.4</v>
      </c>
      <c r="S505" s="7" t="s">
        <v>751</v>
      </c>
      <c r="T505" s="7"/>
      <c r="U505" s="7" t="s">
        <v>1669</v>
      </c>
      <c r="V505" s="20" t="n">
        <v>45613</v>
      </c>
      <c r="W505" s="7"/>
      <c r="X505" s="7"/>
      <c r="Y505" s="7" t="s">
        <v>709</v>
      </c>
      <c r="Z505" s="7"/>
      <c r="AA505" s="23" t="n">
        <f aca="false">YEAR(C505)</f>
        <v>2024</v>
      </c>
    </row>
    <row r="506" customFormat="false" ht="15" hidden="false" customHeight="false" outlineLevel="0" collapsed="false">
      <c r="A506" s="7" t="s">
        <v>1670</v>
      </c>
      <c r="B506" s="7" t="s">
        <v>137</v>
      </c>
      <c r="C506" s="20" t="n">
        <v>45583</v>
      </c>
      <c r="D506" s="20" t="n">
        <v>45617</v>
      </c>
      <c r="E506" s="20"/>
      <c r="F506" s="7" t="s">
        <v>759</v>
      </c>
      <c r="G506" s="7" t="s">
        <v>136</v>
      </c>
      <c r="H506" s="7" t="s">
        <v>264</v>
      </c>
      <c r="I506" s="7" t="s">
        <v>263</v>
      </c>
      <c r="J506" s="7" t="s">
        <v>221</v>
      </c>
      <c r="K506" s="7" t="s">
        <v>263</v>
      </c>
      <c r="L506" s="7" t="s">
        <v>592</v>
      </c>
      <c r="M506" s="7" t="s">
        <v>591</v>
      </c>
      <c r="N506" s="16" t="n">
        <v>96</v>
      </c>
      <c r="O506" s="7" t="s">
        <v>801</v>
      </c>
      <c r="P506" s="22" t="n">
        <v>18.54</v>
      </c>
      <c r="Q506" s="8" t="n">
        <v>1779.84</v>
      </c>
      <c r="R506" s="8" t="n">
        <v>-1779.84</v>
      </c>
      <c r="S506" s="7" t="s">
        <v>751</v>
      </c>
      <c r="T506" s="7"/>
      <c r="U506" s="7" t="s">
        <v>1671</v>
      </c>
      <c r="V506" s="20" t="n">
        <v>45613</v>
      </c>
      <c r="W506" s="7"/>
      <c r="X506" s="7"/>
      <c r="Y506" s="7" t="s">
        <v>721</v>
      </c>
      <c r="Z506" s="7"/>
      <c r="AA506" s="23" t="n">
        <f aca="false">YEAR(C506)</f>
        <v>2024</v>
      </c>
    </row>
    <row r="507" customFormat="false" ht="15" hidden="false" customHeight="false" outlineLevel="0" collapsed="false">
      <c r="A507" s="7" t="s">
        <v>1672</v>
      </c>
      <c r="B507" s="7" t="s">
        <v>137</v>
      </c>
      <c r="C507" s="20" t="n">
        <v>45583</v>
      </c>
      <c r="D507" s="20" t="n">
        <v>45617</v>
      </c>
      <c r="E507" s="20"/>
      <c r="F507" s="7" t="s">
        <v>759</v>
      </c>
      <c r="G507" s="7" t="s">
        <v>136</v>
      </c>
      <c r="H507" s="7" t="s">
        <v>223</v>
      </c>
      <c r="I507" s="7" t="s">
        <v>224</v>
      </c>
      <c r="J507" s="7" t="s">
        <v>221</v>
      </c>
      <c r="K507" s="7" t="s">
        <v>222</v>
      </c>
      <c r="L507" s="7" t="s">
        <v>590</v>
      </c>
      <c r="M507" s="7" t="s">
        <v>589</v>
      </c>
      <c r="N507" s="16" t="n">
        <v>96</v>
      </c>
      <c r="O507" s="7" t="s">
        <v>801</v>
      </c>
      <c r="P507" s="22" t="n">
        <v>9.27</v>
      </c>
      <c r="Q507" s="8" t="n">
        <v>889.92</v>
      </c>
      <c r="R507" s="8" t="n">
        <v>-889.92</v>
      </c>
      <c r="S507" s="7" t="s">
        <v>751</v>
      </c>
      <c r="T507" s="7"/>
      <c r="U507" s="7" t="s">
        <v>1673</v>
      </c>
      <c r="V507" s="20" t="n">
        <v>45613</v>
      </c>
      <c r="W507" s="7"/>
      <c r="X507" s="7"/>
      <c r="Y507" s="7" t="s">
        <v>721</v>
      </c>
      <c r="Z507" s="7"/>
      <c r="AA507" s="23" t="n">
        <f aca="false">YEAR(C507)</f>
        <v>2024</v>
      </c>
    </row>
    <row r="508" customFormat="false" ht="15" hidden="false" customHeight="false" outlineLevel="0" collapsed="false">
      <c r="A508" s="7" t="s">
        <v>1674</v>
      </c>
      <c r="B508" s="7" t="s">
        <v>137</v>
      </c>
      <c r="C508" s="20" t="n">
        <v>45587</v>
      </c>
      <c r="D508" s="20" t="n">
        <v>45587</v>
      </c>
      <c r="E508" s="20"/>
      <c r="F508" s="7" t="s">
        <v>759</v>
      </c>
      <c r="G508" s="7" t="s">
        <v>136</v>
      </c>
      <c r="H508" s="7" t="s">
        <v>303</v>
      </c>
      <c r="I508" s="7" t="s">
        <v>304</v>
      </c>
      <c r="J508" s="7" t="s">
        <v>248</v>
      </c>
      <c r="K508" s="7" t="s">
        <v>286</v>
      </c>
      <c r="L508" s="7" t="s">
        <v>1675</v>
      </c>
      <c r="M508" s="7" t="s">
        <v>551</v>
      </c>
      <c r="N508" s="16"/>
      <c r="O508" s="7"/>
      <c r="P508" s="22"/>
      <c r="Q508" s="8" t="n">
        <v>1388</v>
      </c>
      <c r="R508" s="8" t="n">
        <v>1388</v>
      </c>
      <c r="S508" s="7" t="s">
        <v>33</v>
      </c>
      <c r="T508" s="7"/>
      <c r="U508" s="7"/>
      <c r="V508" s="20"/>
      <c r="W508" s="7"/>
      <c r="X508" s="7"/>
      <c r="Y508" s="7"/>
      <c r="Z508" s="7"/>
      <c r="AA508" s="23" t="n">
        <f aca="false">YEAR(C508)</f>
        <v>2024</v>
      </c>
    </row>
    <row r="509" customFormat="false" ht="15" hidden="false" customHeight="false" outlineLevel="0" collapsed="false">
      <c r="A509" s="7" t="s">
        <v>1676</v>
      </c>
      <c r="B509" s="7" t="s">
        <v>137</v>
      </c>
      <c r="C509" s="20" t="n">
        <v>45589</v>
      </c>
      <c r="D509" s="20" t="n">
        <v>45642</v>
      </c>
      <c r="E509" s="20"/>
      <c r="F509" s="7" t="s">
        <v>759</v>
      </c>
      <c r="G509" s="7" t="s">
        <v>149</v>
      </c>
      <c r="H509" s="7" t="s">
        <v>279</v>
      </c>
      <c r="I509" s="7" t="s">
        <v>280</v>
      </c>
      <c r="J509" s="7" t="s">
        <v>248</v>
      </c>
      <c r="K509" s="7" t="s">
        <v>278</v>
      </c>
      <c r="L509" s="7" t="s">
        <v>1677</v>
      </c>
      <c r="M509" s="7" t="s">
        <v>614</v>
      </c>
      <c r="N509" s="16" t="n">
        <v>94</v>
      </c>
      <c r="O509" s="7" t="s">
        <v>801</v>
      </c>
      <c r="P509" s="22" t="n">
        <v>41</v>
      </c>
      <c r="Q509" s="8" t="n">
        <v>3854</v>
      </c>
      <c r="R509" s="8" t="n">
        <v>3854</v>
      </c>
      <c r="S509" s="7" t="s">
        <v>33</v>
      </c>
      <c r="T509" s="7" t="s">
        <v>1678</v>
      </c>
      <c r="U509" s="7"/>
      <c r="V509" s="20" t="n">
        <v>45619</v>
      </c>
      <c r="W509" s="7"/>
      <c r="X509" s="7"/>
      <c r="Y509" s="7"/>
      <c r="Z509" s="7"/>
      <c r="AA509" s="23" t="n">
        <f aca="false">YEAR(C509)</f>
        <v>2024</v>
      </c>
    </row>
    <row r="510" customFormat="false" ht="15" hidden="false" customHeight="false" outlineLevel="0" collapsed="false">
      <c r="A510" s="7" t="s">
        <v>1679</v>
      </c>
      <c r="B510" s="7" t="s">
        <v>137</v>
      </c>
      <c r="C510" s="20" t="n">
        <v>45589</v>
      </c>
      <c r="D510" s="20" t="n">
        <v>45642</v>
      </c>
      <c r="E510" s="20"/>
      <c r="F510" s="7" t="s">
        <v>759</v>
      </c>
      <c r="G510" s="7" t="s">
        <v>149</v>
      </c>
      <c r="H510" s="7" t="s">
        <v>281</v>
      </c>
      <c r="I510" s="7" t="s">
        <v>282</v>
      </c>
      <c r="J510" s="7" t="s">
        <v>248</v>
      </c>
      <c r="K510" s="7" t="s">
        <v>278</v>
      </c>
      <c r="L510" s="7" t="s">
        <v>1680</v>
      </c>
      <c r="M510" s="7" t="s">
        <v>614</v>
      </c>
      <c r="N510" s="16" t="n">
        <v>3243</v>
      </c>
      <c r="O510" s="7" t="s">
        <v>798</v>
      </c>
      <c r="P510" s="22" t="n">
        <v>0.19</v>
      </c>
      <c r="Q510" s="8" t="n">
        <v>616.17</v>
      </c>
      <c r="R510" s="8" t="n">
        <v>616.17</v>
      </c>
      <c r="S510" s="7" t="s">
        <v>33</v>
      </c>
      <c r="T510" s="7" t="s">
        <v>1678</v>
      </c>
      <c r="U510" s="7"/>
      <c r="V510" s="20" t="n">
        <v>45619</v>
      </c>
      <c r="W510" s="7"/>
      <c r="X510" s="7"/>
      <c r="Y510" s="7"/>
      <c r="Z510" s="7"/>
      <c r="AA510" s="23" t="n">
        <f aca="false">YEAR(C510)</f>
        <v>2024</v>
      </c>
    </row>
    <row r="511" customFormat="false" ht="15" hidden="false" customHeight="false" outlineLevel="0" collapsed="false">
      <c r="A511" s="7" t="s">
        <v>1681</v>
      </c>
      <c r="B511" s="7" t="s">
        <v>137</v>
      </c>
      <c r="C511" s="20" t="n">
        <v>45590</v>
      </c>
      <c r="D511" s="20" t="n">
        <v>45621</v>
      </c>
      <c r="E511" s="20"/>
      <c r="F511" s="7" t="s">
        <v>759</v>
      </c>
      <c r="G511" s="7" t="s">
        <v>149</v>
      </c>
      <c r="H511" s="7" t="s">
        <v>268</v>
      </c>
      <c r="I511" s="7" t="s">
        <v>269</v>
      </c>
      <c r="J511" s="7" t="s">
        <v>221</v>
      </c>
      <c r="K511" s="7" t="s">
        <v>267</v>
      </c>
      <c r="L511" s="7" t="s">
        <v>1682</v>
      </c>
      <c r="M511" s="7" t="s">
        <v>563</v>
      </c>
      <c r="N511" s="16"/>
      <c r="O511" s="7"/>
      <c r="P511" s="22"/>
      <c r="Q511" s="8" t="n">
        <v>6757.43</v>
      </c>
      <c r="R511" s="8" t="n">
        <v>-6757.43</v>
      </c>
      <c r="S511" s="7" t="s">
        <v>751</v>
      </c>
      <c r="T511" s="7"/>
      <c r="U511" s="7" t="s">
        <v>1683</v>
      </c>
      <c r="V511" s="20" t="n">
        <v>45620</v>
      </c>
      <c r="W511" s="7"/>
      <c r="X511" s="7"/>
      <c r="Y511" s="7"/>
      <c r="Z511" s="7"/>
      <c r="AA511" s="23" t="n">
        <f aca="false">YEAR(C511)</f>
        <v>2024</v>
      </c>
    </row>
    <row r="512" customFormat="false" ht="15" hidden="false" customHeight="false" outlineLevel="0" collapsed="false">
      <c r="A512" s="7" t="s">
        <v>1684</v>
      </c>
      <c r="B512" s="7" t="s">
        <v>137</v>
      </c>
      <c r="C512" s="20" t="n">
        <v>45590</v>
      </c>
      <c r="D512" s="20" t="n">
        <v>45621</v>
      </c>
      <c r="E512" s="20"/>
      <c r="F512" s="7" t="s">
        <v>759</v>
      </c>
      <c r="G512" s="7" t="s">
        <v>149</v>
      </c>
      <c r="H512" s="7" t="s">
        <v>268</v>
      </c>
      <c r="I512" s="7" t="s">
        <v>269</v>
      </c>
      <c r="J512" s="7" t="s">
        <v>221</v>
      </c>
      <c r="K512" s="7" t="s">
        <v>267</v>
      </c>
      <c r="L512" s="7" t="s">
        <v>597</v>
      </c>
      <c r="M512" s="7" t="s">
        <v>563</v>
      </c>
      <c r="N512" s="16"/>
      <c r="O512" s="7"/>
      <c r="P512" s="22"/>
      <c r="Q512" s="8" t="n">
        <v>831.47</v>
      </c>
      <c r="R512" s="8" t="n">
        <v>-831.47</v>
      </c>
      <c r="S512" s="7" t="s">
        <v>751</v>
      </c>
      <c r="T512" s="7"/>
      <c r="U512" s="7" t="s">
        <v>1685</v>
      </c>
      <c r="V512" s="20" t="n">
        <v>45620</v>
      </c>
      <c r="W512" s="7"/>
      <c r="X512" s="7"/>
      <c r="Y512" s="7"/>
      <c r="Z512" s="7"/>
      <c r="AA512" s="23" t="n">
        <f aca="false">YEAR(C512)</f>
        <v>2024</v>
      </c>
    </row>
    <row r="513" customFormat="false" ht="15" hidden="false" customHeight="false" outlineLevel="0" collapsed="false">
      <c r="A513" s="7" t="s">
        <v>1686</v>
      </c>
      <c r="B513" s="7" t="s">
        <v>137</v>
      </c>
      <c r="C513" s="20" t="n">
        <v>45591</v>
      </c>
      <c r="D513" s="20" t="n">
        <v>45618</v>
      </c>
      <c r="E513" s="20"/>
      <c r="F513" s="7" t="s">
        <v>759</v>
      </c>
      <c r="G513" s="7" t="s">
        <v>153</v>
      </c>
      <c r="H513" s="7" t="s">
        <v>242</v>
      </c>
      <c r="I513" s="7" t="s">
        <v>243</v>
      </c>
      <c r="J513" s="7" t="s">
        <v>229</v>
      </c>
      <c r="K513" s="7" t="s">
        <v>241</v>
      </c>
      <c r="L513" s="7" t="s">
        <v>571</v>
      </c>
      <c r="M513" s="7"/>
      <c r="N513" s="16"/>
      <c r="O513" s="7"/>
      <c r="P513" s="22"/>
      <c r="Q513" s="8" t="n">
        <v>392.56</v>
      </c>
      <c r="R513" s="8" t="n">
        <v>-392.56</v>
      </c>
      <c r="S513" s="7" t="s">
        <v>765</v>
      </c>
      <c r="T513" s="7"/>
      <c r="U513" s="7"/>
      <c r="V513" s="20"/>
      <c r="W513" s="7"/>
      <c r="X513" s="7"/>
      <c r="Y513" s="7"/>
      <c r="Z513" s="7"/>
      <c r="AA513" s="23" t="n">
        <f aca="false">YEAR(C513)</f>
        <v>2024</v>
      </c>
    </row>
    <row r="514" customFormat="false" ht="15" hidden="false" customHeight="false" outlineLevel="0" collapsed="false">
      <c r="A514" s="7" t="s">
        <v>1687</v>
      </c>
      <c r="B514" s="7" t="s">
        <v>137</v>
      </c>
      <c r="C514" s="20" t="n">
        <v>45592</v>
      </c>
      <c r="D514" s="20" t="n">
        <v>45642</v>
      </c>
      <c r="E514" s="20"/>
      <c r="F514" s="7" t="s">
        <v>759</v>
      </c>
      <c r="G514" s="7" t="s">
        <v>149</v>
      </c>
      <c r="H514" s="7" t="s">
        <v>279</v>
      </c>
      <c r="I514" s="7" t="s">
        <v>280</v>
      </c>
      <c r="J514" s="7" t="s">
        <v>248</v>
      </c>
      <c r="K514" s="7" t="s">
        <v>278</v>
      </c>
      <c r="L514" s="7" t="s">
        <v>1688</v>
      </c>
      <c r="M514" s="7" t="s">
        <v>583</v>
      </c>
      <c r="N514" s="16" t="n">
        <v>352</v>
      </c>
      <c r="O514" s="7" t="s">
        <v>801</v>
      </c>
      <c r="P514" s="22" t="n">
        <v>41</v>
      </c>
      <c r="Q514" s="8" t="n">
        <v>14432</v>
      </c>
      <c r="R514" s="8" t="n">
        <v>14432</v>
      </c>
      <c r="S514" s="7" t="s">
        <v>33</v>
      </c>
      <c r="T514" s="7" t="s">
        <v>1689</v>
      </c>
      <c r="U514" s="7"/>
      <c r="V514" s="20" t="n">
        <v>45622</v>
      </c>
      <c r="W514" s="7"/>
      <c r="X514" s="7"/>
      <c r="Y514" s="7"/>
      <c r="Z514" s="7"/>
      <c r="AA514" s="23" t="n">
        <f aca="false">YEAR(C514)</f>
        <v>2024</v>
      </c>
    </row>
    <row r="515" customFormat="false" ht="15" hidden="false" customHeight="false" outlineLevel="0" collapsed="false">
      <c r="A515" s="7" t="s">
        <v>1690</v>
      </c>
      <c r="B515" s="7" t="s">
        <v>137</v>
      </c>
      <c r="C515" s="20" t="n">
        <v>45592</v>
      </c>
      <c r="D515" s="20" t="n">
        <v>45642</v>
      </c>
      <c r="E515" s="20"/>
      <c r="F515" s="7" t="s">
        <v>759</v>
      </c>
      <c r="G515" s="7" t="s">
        <v>149</v>
      </c>
      <c r="H515" s="7" t="s">
        <v>281</v>
      </c>
      <c r="I515" s="7" t="s">
        <v>282</v>
      </c>
      <c r="J515" s="7" t="s">
        <v>248</v>
      </c>
      <c r="K515" s="7" t="s">
        <v>278</v>
      </c>
      <c r="L515" s="7" t="s">
        <v>1691</v>
      </c>
      <c r="M515" s="7" t="s">
        <v>583</v>
      </c>
      <c r="N515" s="16" t="n">
        <v>12144</v>
      </c>
      <c r="O515" s="7" t="s">
        <v>798</v>
      </c>
      <c r="P515" s="22" t="n">
        <v>0.19</v>
      </c>
      <c r="Q515" s="8" t="n">
        <v>2307.36</v>
      </c>
      <c r="R515" s="8" t="n">
        <v>2307.36</v>
      </c>
      <c r="S515" s="7" t="s">
        <v>33</v>
      </c>
      <c r="T515" s="7" t="s">
        <v>1689</v>
      </c>
      <c r="U515" s="7"/>
      <c r="V515" s="20" t="n">
        <v>45622</v>
      </c>
      <c r="W515" s="7"/>
      <c r="X515" s="7"/>
      <c r="Y515" s="7"/>
      <c r="Z515" s="7"/>
      <c r="AA515" s="23" t="n">
        <f aca="false">YEAR(C515)</f>
        <v>2024</v>
      </c>
    </row>
    <row r="516" customFormat="false" ht="15" hidden="false" customHeight="false" outlineLevel="0" collapsed="false">
      <c r="A516" s="7" t="s">
        <v>1692</v>
      </c>
      <c r="B516" s="7" t="s">
        <v>137</v>
      </c>
      <c r="C516" s="20" t="n">
        <v>45592</v>
      </c>
      <c r="D516" s="20" t="n">
        <v>45656</v>
      </c>
      <c r="E516" s="20"/>
      <c r="F516" s="7" t="s">
        <v>759</v>
      </c>
      <c r="G516" s="7" t="s">
        <v>149</v>
      </c>
      <c r="H516" s="7" t="s">
        <v>279</v>
      </c>
      <c r="I516" s="7" t="s">
        <v>280</v>
      </c>
      <c r="J516" s="7" t="s">
        <v>248</v>
      </c>
      <c r="K516" s="7" t="s">
        <v>278</v>
      </c>
      <c r="L516" s="7" t="s">
        <v>1693</v>
      </c>
      <c r="M516" s="7" t="s">
        <v>600</v>
      </c>
      <c r="N516" s="16" t="n">
        <v>183</v>
      </c>
      <c r="O516" s="7" t="s">
        <v>801</v>
      </c>
      <c r="P516" s="22" t="n">
        <v>41</v>
      </c>
      <c r="Q516" s="8" t="n">
        <v>7503</v>
      </c>
      <c r="R516" s="8" t="n">
        <v>7503</v>
      </c>
      <c r="S516" s="7" t="s">
        <v>33</v>
      </c>
      <c r="T516" s="7" t="s">
        <v>1694</v>
      </c>
      <c r="U516" s="7"/>
      <c r="V516" s="20" t="n">
        <v>45622</v>
      </c>
      <c r="W516" s="7"/>
      <c r="X516" s="7"/>
      <c r="Y516" s="7"/>
      <c r="Z516" s="7"/>
      <c r="AA516" s="23" t="n">
        <f aca="false">YEAR(C516)</f>
        <v>2024</v>
      </c>
    </row>
    <row r="517" customFormat="false" ht="15" hidden="false" customHeight="false" outlineLevel="0" collapsed="false">
      <c r="A517" s="7" t="s">
        <v>1695</v>
      </c>
      <c r="B517" s="7" t="s">
        <v>137</v>
      </c>
      <c r="C517" s="20" t="n">
        <v>45592</v>
      </c>
      <c r="D517" s="20" t="n">
        <v>45656</v>
      </c>
      <c r="E517" s="20"/>
      <c r="F517" s="7" t="s">
        <v>759</v>
      </c>
      <c r="G517" s="7" t="s">
        <v>149</v>
      </c>
      <c r="H517" s="7" t="s">
        <v>281</v>
      </c>
      <c r="I517" s="7" t="s">
        <v>282</v>
      </c>
      <c r="J517" s="7" t="s">
        <v>248</v>
      </c>
      <c r="K517" s="7" t="s">
        <v>278</v>
      </c>
      <c r="L517" s="7" t="s">
        <v>1696</v>
      </c>
      <c r="M517" s="7" t="s">
        <v>600</v>
      </c>
      <c r="N517" s="16" t="n">
        <v>6314</v>
      </c>
      <c r="O517" s="7" t="s">
        <v>798</v>
      </c>
      <c r="P517" s="22" t="n">
        <v>0.19</v>
      </c>
      <c r="Q517" s="8" t="n">
        <v>1199.57</v>
      </c>
      <c r="R517" s="8" t="n">
        <v>1199.57</v>
      </c>
      <c r="S517" s="7" t="s">
        <v>33</v>
      </c>
      <c r="T517" s="7" t="s">
        <v>1694</v>
      </c>
      <c r="U517" s="7"/>
      <c r="V517" s="20" t="n">
        <v>45622</v>
      </c>
      <c r="W517" s="7"/>
      <c r="X517" s="7"/>
      <c r="Y517" s="7"/>
      <c r="Z517" s="7"/>
      <c r="AA517" s="23" t="n">
        <f aca="false">YEAR(C517)</f>
        <v>2024</v>
      </c>
    </row>
    <row r="518" customFormat="false" ht="15" hidden="false" customHeight="false" outlineLevel="0" collapsed="false">
      <c r="A518" s="7" t="s">
        <v>1697</v>
      </c>
      <c r="B518" s="7" t="s">
        <v>137</v>
      </c>
      <c r="C518" s="20" t="n">
        <v>45596</v>
      </c>
      <c r="D518" s="20" t="n">
        <v>45596</v>
      </c>
      <c r="E518" s="20"/>
      <c r="F518" s="7" t="s">
        <v>759</v>
      </c>
      <c r="G518" s="7" t="s">
        <v>153</v>
      </c>
      <c r="H518" s="7" t="s">
        <v>246</v>
      </c>
      <c r="I518" s="7" t="s">
        <v>247</v>
      </c>
      <c r="J518" s="7" t="s">
        <v>236</v>
      </c>
      <c r="K518" s="7" t="s">
        <v>189</v>
      </c>
      <c r="L518" s="7" t="s">
        <v>853</v>
      </c>
      <c r="M518" s="7" t="s">
        <v>556</v>
      </c>
      <c r="N518" s="16"/>
      <c r="O518" s="7"/>
      <c r="P518" s="22"/>
      <c r="Q518" s="8" t="n">
        <v>1200.08</v>
      </c>
      <c r="R518" s="8" t="n">
        <v>-1200.08</v>
      </c>
      <c r="S518" s="7" t="s">
        <v>775</v>
      </c>
      <c r="T518" s="7"/>
      <c r="U518" s="7"/>
      <c r="V518" s="20"/>
      <c r="W518" s="7"/>
      <c r="X518" s="7" t="s">
        <v>784</v>
      </c>
      <c r="Y518" s="7"/>
      <c r="Z518" s="7"/>
      <c r="AA518" s="23" t="n">
        <f aca="false">YEAR(C518)</f>
        <v>2024</v>
      </c>
    </row>
    <row r="519" customFormat="false" ht="15" hidden="false" customHeight="false" outlineLevel="0" collapsed="false">
      <c r="A519" s="7" t="s">
        <v>1698</v>
      </c>
      <c r="B519" s="7" t="s">
        <v>137</v>
      </c>
      <c r="C519" s="20" t="n">
        <v>45596</v>
      </c>
      <c r="D519" s="20" t="n">
        <v>45596</v>
      </c>
      <c r="E519" s="20"/>
      <c r="F519" s="7" t="s">
        <v>759</v>
      </c>
      <c r="G519" s="7" t="s">
        <v>153</v>
      </c>
      <c r="H519" s="7" t="s">
        <v>574</v>
      </c>
      <c r="I519" s="7" t="s">
        <v>364</v>
      </c>
      <c r="J519" s="7" t="s">
        <v>761</v>
      </c>
      <c r="K519" s="7" t="s">
        <v>772</v>
      </c>
      <c r="L519" s="7" t="s">
        <v>575</v>
      </c>
      <c r="M519" s="7" t="s">
        <v>556</v>
      </c>
      <c r="N519" s="16"/>
      <c r="O519" s="7"/>
      <c r="P519" s="22"/>
      <c r="Q519" s="8" t="n">
        <v>42000</v>
      </c>
      <c r="R519" s="8" t="n">
        <v>-42000</v>
      </c>
      <c r="S519" s="7" t="s">
        <v>783</v>
      </c>
      <c r="T519" s="7"/>
      <c r="U519" s="7"/>
      <c r="V519" s="20"/>
      <c r="W519" s="7"/>
      <c r="X519" s="7" t="s">
        <v>784</v>
      </c>
      <c r="Y519" s="7"/>
      <c r="Z519" s="7"/>
      <c r="AA519" s="23" t="n">
        <f aca="false">YEAR(C519)</f>
        <v>2024</v>
      </c>
    </row>
    <row r="520" customFormat="false" ht="15" hidden="false" customHeight="false" outlineLevel="0" collapsed="false">
      <c r="A520" s="7" t="s">
        <v>1699</v>
      </c>
      <c r="B520" s="7" t="s">
        <v>137</v>
      </c>
      <c r="C520" s="20" t="n">
        <v>45597</v>
      </c>
      <c r="D520" s="20" t="n">
        <v>45597</v>
      </c>
      <c r="E520" s="20"/>
      <c r="F520" s="7" t="s">
        <v>759</v>
      </c>
      <c r="G520" s="7" t="s">
        <v>149</v>
      </c>
      <c r="H520" s="7" t="s">
        <v>271</v>
      </c>
      <c r="I520" s="7" t="s">
        <v>272</v>
      </c>
      <c r="J520" s="7" t="s">
        <v>221</v>
      </c>
      <c r="K520" s="7" t="s">
        <v>270</v>
      </c>
      <c r="L520" s="7" t="s">
        <v>1470</v>
      </c>
      <c r="M520" s="7" t="s">
        <v>541</v>
      </c>
      <c r="N520" s="16"/>
      <c r="O520" s="7"/>
      <c r="P520" s="22"/>
      <c r="Q520" s="8" t="n">
        <v>1507.36</v>
      </c>
      <c r="R520" s="8" t="n">
        <v>-1507.36</v>
      </c>
      <c r="S520" s="7" t="s">
        <v>744</v>
      </c>
      <c r="T520" s="7"/>
      <c r="U520" s="7"/>
      <c r="V520" s="20"/>
      <c r="W520" s="7"/>
      <c r="X520" s="7"/>
      <c r="Y520" s="7"/>
      <c r="Z520" s="7"/>
      <c r="AA520" s="23" t="n">
        <f aca="false">YEAR(C520)</f>
        <v>2024</v>
      </c>
    </row>
    <row r="521" customFormat="false" ht="15" hidden="false" customHeight="false" outlineLevel="0" collapsed="false">
      <c r="A521" s="7" t="s">
        <v>1700</v>
      </c>
      <c r="B521" s="7" t="s">
        <v>137</v>
      </c>
      <c r="C521" s="20" t="n">
        <v>45597</v>
      </c>
      <c r="D521" s="20" t="n">
        <v>45597</v>
      </c>
      <c r="E521" s="20"/>
      <c r="F521" s="7" t="s">
        <v>759</v>
      </c>
      <c r="G521" s="7" t="s">
        <v>153</v>
      </c>
      <c r="H521" s="7" t="s">
        <v>271</v>
      </c>
      <c r="I521" s="7" t="s">
        <v>272</v>
      </c>
      <c r="J521" s="7" t="s">
        <v>221</v>
      </c>
      <c r="K521" s="7" t="s">
        <v>270</v>
      </c>
      <c r="L521" s="7" t="s">
        <v>544</v>
      </c>
      <c r="M521" s="7" t="s">
        <v>541</v>
      </c>
      <c r="N521" s="16"/>
      <c r="O521" s="7"/>
      <c r="P521" s="22"/>
      <c r="Q521" s="8" t="n">
        <v>1004.91</v>
      </c>
      <c r="R521" s="8" t="n">
        <v>-1004.91</v>
      </c>
      <c r="S521" s="7" t="s">
        <v>744</v>
      </c>
      <c r="T521" s="7"/>
      <c r="U521" s="7"/>
      <c r="V521" s="20"/>
      <c r="W521" s="7"/>
      <c r="X521" s="7"/>
      <c r="Y521" s="7"/>
      <c r="Z521" s="7"/>
      <c r="AA521" s="23" t="n">
        <f aca="false">YEAR(C521)</f>
        <v>2024</v>
      </c>
    </row>
    <row r="522" customFormat="false" ht="15" hidden="false" customHeight="false" outlineLevel="0" collapsed="false">
      <c r="A522" s="7" t="s">
        <v>1701</v>
      </c>
      <c r="B522" s="7" t="s">
        <v>137</v>
      </c>
      <c r="C522" s="20" t="n">
        <v>45597</v>
      </c>
      <c r="D522" s="20" t="n">
        <v>45597</v>
      </c>
      <c r="E522" s="20"/>
      <c r="F522" s="7" t="s">
        <v>759</v>
      </c>
      <c r="G522" s="7" t="s">
        <v>153</v>
      </c>
      <c r="H522" s="7" t="s">
        <v>545</v>
      </c>
      <c r="I522" s="7" t="s">
        <v>760</v>
      </c>
      <c r="J522" s="7" t="s">
        <v>761</v>
      </c>
      <c r="K522" s="7" t="s">
        <v>762</v>
      </c>
      <c r="L522" s="7" t="s">
        <v>546</v>
      </c>
      <c r="M522" s="7"/>
      <c r="N522" s="16"/>
      <c r="O522" s="7"/>
      <c r="P522" s="22"/>
      <c r="Q522" s="8" t="n">
        <v>4100</v>
      </c>
      <c r="R522" s="8" t="n">
        <v>-4100</v>
      </c>
      <c r="S522" s="7" t="s">
        <v>763</v>
      </c>
      <c r="T522" s="7"/>
      <c r="U522" s="7"/>
      <c r="V522" s="20"/>
      <c r="W522" s="7"/>
      <c r="X522" s="7"/>
      <c r="Y522" s="7"/>
      <c r="Z522" s="7"/>
      <c r="AA522" s="23" t="n">
        <f aca="false">YEAR(C522)</f>
        <v>2024</v>
      </c>
    </row>
    <row r="523" customFormat="false" ht="15" hidden="false" customHeight="false" outlineLevel="0" collapsed="false">
      <c r="A523" s="7" t="s">
        <v>1702</v>
      </c>
      <c r="B523" s="7" t="s">
        <v>137</v>
      </c>
      <c r="C523" s="20" t="n">
        <v>45597</v>
      </c>
      <c r="D523" s="20" t="n">
        <v>45641</v>
      </c>
      <c r="E523" s="20"/>
      <c r="F523" s="7" t="s">
        <v>759</v>
      </c>
      <c r="G523" s="7" t="s">
        <v>149</v>
      </c>
      <c r="H523" s="7" t="s">
        <v>273</v>
      </c>
      <c r="I523" s="7" t="s">
        <v>274</v>
      </c>
      <c r="J523" s="7" t="s">
        <v>221</v>
      </c>
      <c r="K523" s="7" t="s">
        <v>270</v>
      </c>
      <c r="L523" s="7" t="s">
        <v>554</v>
      </c>
      <c r="M523" s="7" t="s">
        <v>541</v>
      </c>
      <c r="N523" s="16"/>
      <c r="O523" s="7"/>
      <c r="P523" s="22"/>
      <c r="Q523" s="8" t="n">
        <v>221.08</v>
      </c>
      <c r="R523" s="8" t="n">
        <v>-221.08</v>
      </c>
      <c r="S523" s="7" t="s">
        <v>789</v>
      </c>
      <c r="T523" s="7"/>
      <c r="U523" s="7"/>
      <c r="V523" s="20"/>
      <c r="W523" s="7"/>
      <c r="X523" s="7"/>
      <c r="Y523" s="7"/>
      <c r="Z523" s="7"/>
      <c r="AA523" s="23" t="n">
        <f aca="false">YEAR(C523)</f>
        <v>2024</v>
      </c>
    </row>
    <row r="524" customFormat="false" ht="15" hidden="false" customHeight="false" outlineLevel="0" collapsed="false">
      <c r="A524" s="7" t="s">
        <v>1703</v>
      </c>
      <c r="B524" s="7" t="s">
        <v>137</v>
      </c>
      <c r="C524" s="20" t="n">
        <v>45597</v>
      </c>
      <c r="D524" s="20" t="n">
        <v>45692</v>
      </c>
      <c r="E524" s="20"/>
      <c r="F524" s="7" t="s">
        <v>759</v>
      </c>
      <c r="G524" s="7" t="s">
        <v>149</v>
      </c>
      <c r="H524" s="7" t="s">
        <v>279</v>
      </c>
      <c r="I524" s="7" t="s">
        <v>280</v>
      </c>
      <c r="J524" s="7" t="s">
        <v>248</v>
      </c>
      <c r="K524" s="7" t="s">
        <v>278</v>
      </c>
      <c r="L524" s="7" t="s">
        <v>1704</v>
      </c>
      <c r="M524" s="7" t="s">
        <v>1010</v>
      </c>
      <c r="N524" s="16" t="n">
        <v>202</v>
      </c>
      <c r="O524" s="7" t="s">
        <v>801</v>
      </c>
      <c r="P524" s="22" t="n">
        <v>45</v>
      </c>
      <c r="Q524" s="8" t="n">
        <v>9090</v>
      </c>
      <c r="R524" s="8" t="n">
        <v>9090</v>
      </c>
      <c r="S524" s="7" t="s">
        <v>33</v>
      </c>
      <c r="T524" s="7" t="s">
        <v>1705</v>
      </c>
      <c r="U524" s="7"/>
      <c r="V524" s="20" t="n">
        <v>45627</v>
      </c>
      <c r="W524" s="7"/>
      <c r="X524" s="7"/>
      <c r="Y524" s="7"/>
      <c r="Z524" s="7"/>
      <c r="AA524" s="23" t="n">
        <f aca="false">YEAR(C524)</f>
        <v>2024</v>
      </c>
    </row>
    <row r="525" customFormat="false" ht="15" hidden="false" customHeight="false" outlineLevel="0" collapsed="false">
      <c r="A525" s="7" t="s">
        <v>1706</v>
      </c>
      <c r="B525" s="7" t="s">
        <v>137</v>
      </c>
      <c r="C525" s="20" t="n">
        <v>45597</v>
      </c>
      <c r="D525" s="20" t="n">
        <v>45692</v>
      </c>
      <c r="E525" s="20"/>
      <c r="F525" s="7" t="s">
        <v>759</v>
      </c>
      <c r="G525" s="7" t="s">
        <v>149</v>
      </c>
      <c r="H525" s="7" t="s">
        <v>281</v>
      </c>
      <c r="I525" s="7" t="s">
        <v>282</v>
      </c>
      <c r="J525" s="7" t="s">
        <v>248</v>
      </c>
      <c r="K525" s="7" t="s">
        <v>278</v>
      </c>
      <c r="L525" s="7" t="s">
        <v>1707</v>
      </c>
      <c r="M525" s="7" t="s">
        <v>1010</v>
      </c>
      <c r="N525" s="16" t="n">
        <v>24998</v>
      </c>
      <c r="O525" s="7" t="s">
        <v>798</v>
      </c>
      <c r="P525" s="22" t="n">
        <v>0.19</v>
      </c>
      <c r="Q525" s="8" t="n">
        <v>4749.52</v>
      </c>
      <c r="R525" s="8" t="n">
        <v>4749.52</v>
      </c>
      <c r="S525" s="7" t="s">
        <v>33</v>
      </c>
      <c r="T525" s="7" t="s">
        <v>1705</v>
      </c>
      <c r="U525" s="7"/>
      <c r="V525" s="20" t="n">
        <v>45627</v>
      </c>
      <c r="W525" s="7"/>
      <c r="X525" s="7"/>
      <c r="Y525" s="7"/>
      <c r="Z525" s="7"/>
      <c r="AA525" s="23" t="n">
        <f aca="false">YEAR(C525)</f>
        <v>2024</v>
      </c>
    </row>
    <row r="526" customFormat="false" ht="15" hidden="false" customHeight="false" outlineLevel="0" collapsed="false">
      <c r="A526" s="7" t="s">
        <v>1708</v>
      </c>
      <c r="B526" s="7" t="s">
        <v>137</v>
      </c>
      <c r="C526" s="20" t="n">
        <v>45598</v>
      </c>
      <c r="D526" s="20" t="n">
        <v>45644</v>
      </c>
      <c r="E526" s="20"/>
      <c r="F526" s="7" t="s">
        <v>759</v>
      </c>
      <c r="G526" s="7" t="s">
        <v>149</v>
      </c>
      <c r="H526" s="7" t="s">
        <v>279</v>
      </c>
      <c r="I526" s="7" t="s">
        <v>280</v>
      </c>
      <c r="J526" s="7" t="s">
        <v>248</v>
      </c>
      <c r="K526" s="7" t="s">
        <v>278</v>
      </c>
      <c r="L526" s="7" t="s">
        <v>1709</v>
      </c>
      <c r="M526" s="7" t="s">
        <v>593</v>
      </c>
      <c r="N526" s="16" t="n">
        <v>160</v>
      </c>
      <c r="O526" s="7" t="s">
        <v>801</v>
      </c>
      <c r="P526" s="22" t="n">
        <v>45</v>
      </c>
      <c r="Q526" s="8" t="n">
        <v>7200</v>
      </c>
      <c r="R526" s="8" t="n">
        <v>7200</v>
      </c>
      <c r="S526" s="7" t="s">
        <v>33</v>
      </c>
      <c r="T526" s="7" t="s">
        <v>1710</v>
      </c>
      <c r="U526" s="7"/>
      <c r="V526" s="20" t="n">
        <v>45628</v>
      </c>
      <c r="W526" s="7"/>
      <c r="X526" s="7"/>
      <c r="Y526" s="7"/>
      <c r="Z526" s="7"/>
      <c r="AA526" s="23" t="n">
        <f aca="false">YEAR(C526)</f>
        <v>2024</v>
      </c>
    </row>
    <row r="527" customFormat="false" ht="15" hidden="false" customHeight="false" outlineLevel="0" collapsed="false">
      <c r="A527" s="7" t="s">
        <v>1711</v>
      </c>
      <c r="B527" s="7" t="s">
        <v>137</v>
      </c>
      <c r="C527" s="20" t="n">
        <v>45598</v>
      </c>
      <c r="D527" s="20" t="n">
        <v>45644</v>
      </c>
      <c r="E527" s="20"/>
      <c r="F527" s="7" t="s">
        <v>759</v>
      </c>
      <c r="G527" s="7" t="s">
        <v>149</v>
      </c>
      <c r="H527" s="7" t="s">
        <v>281</v>
      </c>
      <c r="I527" s="7" t="s">
        <v>282</v>
      </c>
      <c r="J527" s="7" t="s">
        <v>248</v>
      </c>
      <c r="K527" s="7" t="s">
        <v>278</v>
      </c>
      <c r="L527" s="7" t="s">
        <v>1712</v>
      </c>
      <c r="M527" s="7" t="s">
        <v>593</v>
      </c>
      <c r="N527" s="16" t="n">
        <v>19800</v>
      </c>
      <c r="O527" s="7" t="s">
        <v>798</v>
      </c>
      <c r="P527" s="22" t="n">
        <v>0.19</v>
      </c>
      <c r="Q527" s="8" t="n">
        <v>3762</v>
      </c>
      <c r="R527" s="8" t="n">
        <v>3762</v>
      </c>
      <c r="S527" s="7" t="s">
        <v>33</v>
      </c>
      <c r="T527" s="7" t="s">
        <v>1710</v>
      </c>
      <c r="U527" s="7"/>
      <c r="V527" s="20" t="n">
        <v>45628</v>
      </c>
      <c r="W527" s="7"/>
      <c r="X527" s="7"/>
      <c r="Y527" s="7"/>
      <c r="Z527" s="7"/>
      <c r="AA527" s="23" t="n">
        <f aca="false">YEAR(C527)</f>
        <v>2024</v>
      </c>
    </row>
    <row r="528" customFormat="false" ht="15" hidden="false" customHeight="false" outlineLevel="0" collapsed="false">
      <c r="A528" s="7" t="s">
        <v>1713</v>
      </c>
      <c r="B528" s="7" t="s">
        <v>137</v>
      </c>
      <c r="C528" s="20" t="n">
        <v>45601</v>
      </c>
      <c r="D528" s="20" t="n">
        <v>45663</v>
      </c>
      <c r="E528" s="20"/>
      <c r="F528" s="7" t="s">
        <v>759</v>
      </c>
      <c r="G528" s="7" t="s">
        <v>149</v>
      </c>
      <c r="H528" s="7" t="s">
        <v>279</v>
      </c>
      <c r="I528" s="7" t="s">
        <v>280</v>
      </c>
      <c r="J528" s="7" t="s">
        <v>248</v>
      </c>
      <c r="K528" s="7" t="s">
        <v>278</v>
      </c>
      <c r="L528" s="7" t="s">
        <v>1714</v>
      </c>
      <c r="M528" s="7" t="s">
        <v>583</v>
      </c>
      <c r="N528" s="16" t="n">
        <v>313</v>
      </c>
      <c r="O528" s="7" t="s">
        <v>801</v>
      </c>
      <c r="P528" s="22" t="n">
        <v>45</v>
      </c>
      <c r="Q528" s="8" t="n">
        <v>14085</v>
      </c>
      <c r="R528" s="8" t="n">
        <v>14085</v>
      </c>
      <c r="S528" s="7" t="s">
        <v>33</v>
      </c>
      <c r="T528" s="7" t="s">
        <v>1715</v>
      </c>
      <c r="U528" s="7"/>
      <c r="V528" s="20" t="n">
        <v>45631</v>
      </c>
      <c r="W528" s="7"/>
      <c r="X528" s="7"/>
      <c r="Y528" s="7"/>
      <c r="Z528" s="7"/>
      <c r="AA528" s="23" t="n">
        <f aca="false">YEAR(C528)</f>
        <v>2024</v>
      </c>
    </row>
    <row r="529" customFormat="false" ht="15" hidden="false" customHeight="false" outlineLevel="0" collapsed="false">
      <c r="A529" s="7" t="s">
        <v>1716</v>
      </c>
      <c r="B529" s="7" t="s">
        <v>137</v>
      </c>
      <c r="C529" s="20" t="n">
        <v>45601</v>
      </c>
      <c r="D529" s="20" t="n">
        <v>45663</v>
      </c>
      <c r="E529" s="20"/>
      <c r="F529" s="7" t="s">
        <v>759</v>
      </c>
      <c r="G529" s="7" t="s">
        <v>149</v>
      </c>
      <c r="H529" s="7" t="s">
        <v>281</v>
      </c>
      <c r="I529" s="7" t="s">
        <v>282</v>
      </c>
      <c r="J529" s="7" t="s">
        <v>248</v>
      </c>
      <c r="K529" s="7" t="s">
        <v>278</v>
      </c>
      <c r="L529" s="7" t="s">
        <v>1717</v>
      </c>
      <c r="M529" s="7" t="s">
        <v>583</v>
      </c>
      <c r="N529" s="16" t="n">
        <v>38734</v>
      </c>
      <c r="O529" s="7" t="s">
        <v>798</v>
      </c>
      <c r="P529" s="22" t="n">
        <v>0.19</v>
      </c>
      <c r="Q529" s="8" t="n">
        <v>7359.41</v>
      </c>
      <c r="R529" s="8" t="n">
        <v>7359.41</v>
      </c>
      <c r="S529" s="7" t="s">
        <v>33</v>
      </c>
      <c r="T529" s="7" t="s">
        <v>1715</v>
      </c>
      <c r="U529" s="7"/>
      <c r="V529" s="20" t="n">
        <v>45631</v>
      </c>
      <c r="W529" s="7"/>
      <c r="X529" s="7"/>
      <c r="Y529" s="7"/>
      <c r="Z529" s="7"/>
      <c r="AA529" s="23" t="n">
        <f aca="false">YEAR(C529)</f>
        <v>2024</v>
      </c>
    </row>
    <row r="530" customFormat="false" ht="15" hidden="false" customHeight="false" outlineLevel="0" collapsed="false">
      <c r="A530" s="7" t="s">
        <v>1718</v>
      </c>
      <c r="B530" s="7" t="s">
        <v>137</v>
      </c>
      <c r="C530" s="20" t="n">
        <v>45604</v>
      </c>
      <c r="D530" s="20" t="n">
        <v>45646</v>
      </c>
      <c r="E530" s="20"/>
      <c r="F530" s="7" t="s">
        <v>759</v>
      </c>
      <c r="G530" s="7" t="s">
        <v>149</v>
      </c>
      <c r="H530" s="7" t="s">
        <v>279</v>
      </c>
      <c r="I530" s="7" t="s">
        <v>280</v>
      </c>
      <c r="J530" s="7" t="s">
        <v>248</v>
      </c>
      <c r="K530" s="7" t="s">
        <v>278</v>
      </c>
      <c r="L530" s="7" t="s">
        <v>1719</v>
      </c>
      <c r="M530" s="7" t="s">
        <v>606</v>
      </c>
      <c r="N530" s="16" t="n">
        <v>105</v>
      </c>
      <c r="O530" s="7" t="s">
        <v>801</v>
      </c>
      <c r="P530" s="22" t="n">
        <v>45</v>
      </c>
      <c r="Q530" s="8" t="n">
        <v>4725</v>
      </c>
      <c r="R530" s="8" t="n">
        <v>4725</v>
      </c>
      <c r="S530" s="7" t="s">
        <v>33</v>
      </c>
      <c r="T530" s="7" t="s">
        <v>1720</v>
      </c>
      <c r="U530" s="7"/>
      <c r="V530" s="20" t="n">
        <v>45634</v>
      </c>
      <c r="W530" s="7"/>
      <c r="X530" s="7"/>
      <c r="Y530" s="7"/>
      <c r="Z530" s="7"/>
      <c r="AA530" s="23" t="n">
        <f aca="false">YEAR(C530)</f>
        <v>2024</v>
      </c>
    </row>
    <row r="531" customFormat="false" ht="15" hidden="false" customHeight="false" outlineLevel="0" collapsed="false">
      <c r="A531" s="7" t="s">
        <v>1721</v>
      </c>
      <c r="B531" s="7" t="s">
        <v>137</v>
      </c>
      <c r="C531" s="20" t="n">
        <v>45604</v>
      </c>
      <c r="D531" s="20" t="n">
        <v>45646</v>
      </c>
      <c r="E531" s="20"/>
      <c r="F531" s="7" t="s">
        <v>759</v>
      </c>
      <c r="G531" s="7" t="s">
        <v>149</v>
      </c>
      <c r="H531" s="7" t="s">
        <v>281</v>
      </c>
      <c r="I531" s="7" t="s">
        <v>282</v>
      </c>
      <c r="J531" s="7" t="s">
        <v>248</v>
      </c>
      <c r="K531" s="7" t="s">
        <v>278</v>
      </c>
      <c r="L531" s="7" t="s">
        <v>1722</v>
      </c>
      <c r="M531" s="7" t="s">
        <v>606</v>
      </c>
      <c r="N531" s="16" t="n">
        <v>12994</v>
      </c>
      <c r="O531" s="7" t="s">
        <v>798</v>
      </c>
      <c r="P531" s="22" t="n">
        <v>0.19</v>
      </c>
      <c r="Q531" s="8" t="n">
        <v>2468.81</v>
      </c>
      <c r="R531" s="8" t="n">
        <v>2468.81</v>
      </c>
      <c r="S531" s="7" t="s">
        <v>33</v>
      </c>
      <c r="T531" s="7" t="s">
        <v>1720</v>
      </c>
      <c r="U531" s="7"/>
      <c r="V531" s="20" t="n">
        <v>45634</v>
      </c>
      <c r="W531" s="7"/>
      <c r="X531" s="7"/>
      <c r="Y531" s="7"/>
      <c r="Z531" s="7"/>
      <c r="AA531" s="23" t="n">
        <f aca="false">YEAR(C531)</f>
        <v>2024</v>
      </c>
    </row>
    <row r="532" customFormat="false" ht="15" hidden="false" customHeight="false" outlineLevel="0" collapsed="false">
      <c r="A532" s="7" t="s">
        <v>1723</v>
      </c>
      <c r="B532" s="7" t="s">
        <v>137</v>
      </c>
      <c r="C532" s="20" t="n">
        <v>45604</v>
      </c>
      <c r="D532" s="20" t="n">
        <v>45648</v>
      </c>
      <c r="E532" s="20"/>
      <c r="F532" s="7" t="s">
        <v>759</v>
      </c>
      <c r="G532" s="7" t="s">
        <v>153</v>
      </c>
      <c r="H532" s="7" t="s">
        <v>244</v>
      </c>
      <c r="I532" s="7" t="s">
        <v>245</v>
      </c>
      <c r="J532" s="7" t="s">
        <v>229</v>
      </c>
      <c r="K532" s="7" t="s">
        <v>233</v>
      </c>
      <c r="L532" s="7" t="s">
        <v>570</v>
      </c>
      <c r="M532" s="7"/>
      <c r="N532" s="16"/>
      <c r="O532" s="7"/>
      <c r="P532" s="22"/>
      <c r="Q532" s="8" t="n">
        <v>165</v>
      </c>
      <c r="R532" s="8" t="n">
        <v>-165</v>
      </c>
      <c r="S532" s="7" t="s">
        <v>765</v>
      </c>
      <c r="T532" s="7"/>
      <c r="U532" s="7"/>
      <c r="V532" s="20"/>
      <c r="W532" s="7"/>
      <c r="X532" s="7"/>
      <c r="Y532" s="7"/>
      <c r="Z532" s="7"/>
      <c r="AA532" s="23" t="n">
        <f aca="false">YEAR(C532)</f>
        <v>2024</v>
      </c>
    </row>
    <row r="533" customFormat="false" ht="15" hidden="false" customHeight="false" outlineLevel="0" collapsed="false">
      <c r="A533" s="7" t="s">
        <v>1724</v>
      </c>
      <c r="B533" s="7" t="s">
        <v>137</v>
      </c>
      <c r="C533" s="20" t="n">
        <v>45604</v>
      </c>
      <c r="D533" s="20" t="n">
        <v>45649</v>
      </c>
      <c r="E533" s="20"/>
      <c r="F533" s="7" t="s">
        <v>759</v>
      </c>
      <c r="G533" s="7" t="s">
        <v>149</v>
      </c>
      <c r="H533" s="7" t="s">
        <v>279</v>
      </c>
      <c r="I533" s="7" t="s">
        <v>280</v>
      </c>
      <c r="J533" s="7" t="s">
        <v>248</v>
      </c>
      <c r="K533" s="7" t="s">
        <v>278</v>
      </c>
      <c r="L533" s="7" t="s">
        <v>1725</v>
      </c>
      <c r="M533" s="7" t="s">
        <v>603</v>
      </c>
      <c r="N533" s="16" t="n">
        <v>126</v>
      </c>
      <c r="O533" s="7" t="s">
        <v>801</v>
      </c>
      <c r="P533" s="22" t="n">
        <v>45</v>
      </c>
      <c r="Q533" s="8" t="n">
        <v>5670</v>
      </c>
      <c r="R533" s="8" t="n">
        <v>5670</v>
      </c>
      <c r="S533" s="7" t="s">
        <v>33</v>
      </c>
      <c r="T533" s="7" t="s">
        <v>1726</v>
      </c>
      <c r="U533" s="7"/>
      <c r="V533" s="20" t="n">
        <v>45634</v>
      </c>
      <c r="W533" s="7"/>
      <c r="X533" s="7"/>
      <c r="Y533" s="7"/>
      <c r="Z533" s="7"/>
      <c r="AA533" s="23" t="n">
        <f aca="false">YEAR(C533)</f>
        <v>2024</v>
      </c>
    </row>
    <row r="534" customFormat="false" ht="15" hidden="false" customHeight="false" outlineLevel="0" collapsed="false">
      <c r="A534" s="7" t="s">
        <v>1727</v>
      </c>
      <c r="B534" s="7" t="s">
        <v>137</v>
      </c>
      <c r="C534" s="20" t="n">
        <v>45604</v>
      </c>
      <c r="D534" s="20" t="n">
        <v>45649</v>
      </c>
      <c r="E534" s="20"/>
      <c r="F534" s="7" t="s">
        <v>759</v>
      </c>
      <c r="G534" s="7" t="s">
        <v>149</v>
      </c>
      <c r="H534" s="7" t="s">
        <v>281</v>
      </c>
      <c r="I534" s="7" t="s">
        <v>282</v>
      </c>
      <c r="J534" s="7" t="s">
        <v>248</v>
      </c>
      <c r="K534" s="7" t="s">
        <v>278</v>
      </c>
      <c r="L534" s="7" t="s">
        <v>1728</v>
      </c>
      <c r="M534" s="7" t="s">
        <v>603</v>
      </c>
      <c r="N534" s="16" t="n">
        <v>15592</v>
      </c>
      <c r="O534" s="7" t="s">
        <v>798</v>
      </c>
      <c r="P534" s="22" t="n">
        <v>0.19</v>
      </c>
      <c r="Q534" s="8" t="n">
        <v>2962.57</v>
      </c>
      <c r="R534" s="8" t="n">
        <v>2962.57</v>
      </c>
      <c r="S534" s="7" t="s">
        <v>33</v>
      </c>
      <c r="T534" s="7" t="s">
        <v>1726</v>
      </c>
      <c r="U534" s="7"/>
      <c r="V534" s="20" t="n">
        <v>45634</v>
      </c>
      <c r="W534" s="7"/>
      <c r="X534" s="7"/>
      <c r="Y534" s="7"/>
      <c r="Z534" s="7"/>
      <c r="AA534" s="23" t="n">
        <f aca="false">YEAR(C534)</f>
        <v>2024</v>
      </c>
    </row>
    <row r="535" customFormat="false" ht="15" hidden="false" customHeight="false" outlineLevel="0" collapsed="false">
      <c r="A535" s="7" t="s">
        <v>1729</v>
      </c>
      <c r="B535" s="7" t="s">
        <v>137</v>
      </c>
      <c r="C535" s="20" t="n">
        <v>45604</v>
      </c>
      <c r="D535" s="20" t="n">
        <v>45657</v>
      </c>
      <c r="E535" s="20"/>
      <c r="F535" s="7" t="s">
        <v>759</v>
      </c>
      <c r="G535" s="7" t="s">
        <v>149</v>
      </c>
      <c r="H535" s="7" t="s">
        <v>279</v>
      </c>
      <c r="I535" s="7" t="s">
        <v>280</v>
      </c>
      <c r="J535" s="7" t="s">
        <v>248</v>
      </c>
      <c r="K535" s="7" t="s">
        <v>278</v>
      </c>
      <c r="L535" s="7" t="s">
        <v>1730</v>
      </c>
      <c r="M535" s="7" t="s">
        <v>614</v>
      </c>
      <c r="N535" s="16" t="n">
        <v>79</v>
      </c>
      <c r="O535" s="7" t="s">
        <v>801</v>
      </c>
      <c r="P535" s="22" t="n">
        <v>45</v>
      </c>
      <c r="Q535" s="8" t="n">
        <v>3555</v>
      </c>
      <c r="R535" s="8" t="n">
        <v>3555</v>
      </c>
      <c r="S535" s="7" t="s">
        <v>33</v>
      </c>
      <c r="T535" s="7" t="s">
        <v>1731</v>
      </c>
      <c r="U535" s="7"/>
      <c r="V535" s="20" t="n">
        <v>45634</v>
      </c>
      <c r="W535" s="7"/>
      <c r="X535" s="7"/>
      <c r="Y535" s="7"/>
      <c r="Z535" s="7"/>
      <c r="AA535" s="23" t="n">
        <f aca="false">YEAR(C535)</f>
        <v>2024</v>
      </c>
    </row>
    <row r="536" customFormat="false" ht="15" hidden="false" customHeight="false" outlineLevel="0" collapsed="false">
      <c r="A536" s="7" t="s">
        <v>1732</v>
      </c>
      <c r="B536" s="7" t="s">
        <v>137</v>
      </c>
      <c r="C536" s="20" t="n">
        <v>45604</v>
      </c>
      <c r="D536" s="20" t="n">
        <v>45657</v>
      </c>
      <c r="E536" s="20"/>
      <c r="F536" s="7" t="s">
        <v>759</v>
      </c>
      <c r="G536" s="7" t="s">
        <v>149</v>
      </c>
      <c r="H536" s="7" t="s">
        <v>281</v>
      </c>
      <c r="I536" s="7" t="s">
        <v>282</v>
      </c>
      <c r="J536" s="7" t="s">
        <v>248</v>
      </c>
      <c r="K536" s="7" t="s">
        <v>278</v>
      </c>
      <c r="L536" s="7" t="s">
        <v>1733</v>
      </c>
      <c r="M536" s="7" t="s">
        <v>614</v>
      </c>
      <c r="N536" s="16" t="n">
        <v>9776</v>
      </c>
      <c r="O536" s="7" t="s">
        <v>798</v>
      </c>
      <c r="P536" s="22" t="n">
        <v>0.19</v>
      </c>
      <c r="Q536" s="8" t="n">
        <v>1857.49</v>
      </c>
      <c r="R536" s="8" t="n">
        <v>1857.49</v>
      </c>
      <c r="S536" s="7" t="s">
        <v>33</v>
      </c>
      <c r="T536" s="7" t="s">
        <v>1731</v>
      </c>
      <c r="U536" s="7"/>
      <c r="V536" s="20" t="n">
        <v>45634</v>
      </c>
      <c r="W536" s="7"/>
      <c r="X536" s="7"/>
      <c r="Y536" s="7"/>
      <c r="Z536" s="7"/>
      <c r="AA536" s="23" t="n">
        <f aca="false">YEAR(C536)</f>
        <v>2024</v>
      </c>
    </row>
    <row r="537" customFormat="false" ht="15" hidden="false" customHeight="false" outlineLevel="0" collapsed="false">
      <c r="A537" s="7" t="s">
        <v>1734</v>
      </c>
      <c r="B537" s="7" t="s">
        <v>137</v>
      </c>
      <c r="C537" s="20" t="n">
        <v>45604</v>
      </c>
      <c r="D537" s="20" t="n">
        <v>45665</v>
      </c>
      <c r="E537" s="20"/>
      <c r="F537" s="7" t="s">
        <v>759</v>
      </c>
      <c r="G537" s="7" t="s">
        <v>149</v>
      </c>
      <c r="H537" s="7" t="s">
        <v>279</v>
      </c>
      <c r="I537" s="7" t="s">
        <v>280</v>
      </c>
      <c r="J537" s="7" t="s">
        <v>248</v>
      </c>
      <c r="K537" s="7" t="s">
        <v>278</v>
      </c>
      <c r="L537" s="7" t="s">
        <v>1735</v>
      </c>
      <c r="M537" s="7" t="s">
        <v>1016</v>
      </c>
      <c r="N537" s="16" t="n">
        <v>107</v>
      </c>
      <c r="O537" s="7" t="s">
        <v>801</v>
      </c>
      <c r="P537" s="22" t="n">
        <v>45</v>
      </c>
      <c r="Q537" s="8" t="n">
        <v>4815</v>
      </c>
      <c r="R537" s="8" t="n">
        <v>4815</v>
      </c>
      <c r="S537" s="7" t="s">
        <v>33</v>
      </c>
      <c r="T537" s="7" t="s">
        <v>1736</v>
      </c>
      <c r="U537" s="7"/>
      <c r="V537" s="20" t="n">
        <v>45634</v>
      </c>
      <c r="W537" s="7"/>
      <c r="X537" s="7"/>
      <c r="Y537" s="7"/>
      <c r="Z537" s="7"/>
      <c r="AA537" s="23" t="n">
        <f aca="false">YEAR(C537)</f>
        <v>2024</v>
      </c>
    </row>
    <row r="538" customFormat="false" ht="15" hidden="false" customHeight="false" outlineLevel="0" collapsed="false">
      <c r="A538" s="7" t="s">
        <v>1737</v>
      </c>
      <c r="B538" s="7" t="s">
        <v>137</v>
      </c>
      <c r="C538" s="20" t="n">
        <v>45604</v>
      </c>
      <c r="D538" s="20" t="n">
        <v>45665</v>
      </c>
      <c r="E538" s="20"/>
      <c r="F538" s="7" t="s">
        <v>759</v>
      </c>
      <c r="G538" s="7" t="s">
        <v>149</v>
      </c>
      <c r="H538" s="7" t="s">
        <v>281</v>
      </c>
      <c r="I538" s="7" t="s">
        <v>282</v>
      </c>
      <c r="J538" s="7" t="s">
        <v>248</v>
      </c>
      <c r="K538" s="7" t="s">
        <v>278</v>
      </c>
      <c r="L538" s="7" t="s">
        <v>1738</v>
      </c>
      <c r="M538" s="7" t="s">
        <v>1016</v>
      </c>
      <c r="N538" s="16" t="n">
        <v>13241</v>
      </c>
      <c r="O538" s="7" t="s">
        <v>798</v>
      </c>
      <c r="P538" s="22" t="n">
        <v>0.19</v>
      </c>
      <c r="Q538" s="8" t="n">
        <v>2515.84</v>
      </c>
      <c r="R538" s="8" t="n">
        <v>2515.84</v>
      </c>
      <c r="S538" s="7" t="s">
        <v>33</v>
      </c>
      <c r="T538" s="7" t="s">
        <v>1736</v>
      </c>
      <c r="U538" s="7"/>
      <c r="V538" s="20" t="n">
        <v>45634</v>
      </c>
      <c r="W538" s="7"/>
      <c r="X538" s="7"/>
      <c r="Y538" s="7"/>
      <c r="Z538" s="7"/>
      <c r="AA538" s="23" t="n">
        <f aca="false">YEAR(C538)</f>
        <v>2024</v>
      </c>
    </row>
    <row r="539" customFormat="false" ht="15" hidden="false" customHeight="false" outlineLevel="0" collapsed="false">
      <c r="A539" s="7" t="s">
        <v>1739</v>
      </c>
      <c r="B539" s="7" t="s">
        <v>137</v>
      </c>
      <c r="C539" s="20" t="n">
        <v>45605</v>
      </c>
      <c r="D539" s="20" t="n">
        <v>45635</v>
      </c>
      <c r="E539" s="20"/>
      <c r="F539" s="7" t="s">
        <v>759</v>
      </c>
      <c r="G539" s="7" t="s">
        <v>149</v>
      </c>
      <c r="H539" s="7" t="s">
        <v>268</v>
      </c>
      <c r="I539" s="7" t="s">
        <v>269</v>
      </c>
      <c r="J539" s="7" t="s">
        <v>221</v>
      </c>
      <c r="K539" s="7" t="s">
        <v>267</v>
      </c>
      <c r="L539" s="7" t="s">
        <v>1740</v>
      </c>
      <c r="M539" s="7" t="s">
        <v>563</v>
      </c>
      <c r="N539" s="16"/>
      <c r="O539" s="7"/>
      <c r="P539" s="22"/>
      <c r="Q539" s="8" t="n">
        <v>6038.55</v>
      </c>
      <c r="R539" s="8" t="n">
        <v>-6038.55</v>
      </c>
      <c r="S539" s="7" t="s">
        <v>751</v>
      </c>
      <c r="T539" s="7"/>
      <c r="U539" s="7" t="s">
        <v>1741</v>
      </c>
      <c r="V539" s="20" t="n">
        <v>45635</v>
      </c>
      <c r="W539" s="7"/>
      <c r="X539" s="7"/>
      <c r="Y539" s="7"/>
      <c r="Z539" s="7"/>
      <c r="AA539" s="23" t="n">
        <f aca="false">YEAR(C539)</f>
        <v>2024</v>
      </c>
    </row>
    <row r="540" customFormat="false" ht="15" hidden="false" customHeight="false" outlineLevel="0" collapsed="false">
      <c r="A540" s="7" t="s">
        <v>1742</v>
      </c>
      <c r="B540" s="7" t="s">
        <v>137</v>
      </c>
      <c r="C540" s="20" t="n">
        <v>45605</v>
      </c>
      <c r="D540" s="20" t="n">
        <v>45635</v>
      </c>
      <c r="E540" s="20"/>
      <c r="F540" s="7" t="s">
        <v>759</v>
      </c>
      <c r="G540" s="7" t="s">
        <v>149</v>
      </c>
      <c r="H540" s="7" t="s">
        <v>268</v>
      </c>
      <c r="I540" s="7" t="s">
        <v>269</v>
      </c>
      <c r="J540" s="7" t="s">
        <v>221</v>
      </c>
      <c r="K540" s="7" t="s">
        <v>267</v>
      </c>
      <c r="L540" s="7" t="s">
        <v>618</v>
      </c>
      <c r="M540" s="7" t="s">
        <v>563</v>
      </c>
      <c r="N540" s="16"/>
      <c r="O540" s="7"/>
      <c r="P540" s="22"/>
      <c r="Q540" s="8" t="n">
        <v>2665.16</v>
      </c>
      <c r="R540" s="8" t="n">
        <v>-2665.16</v>
      </c>
      <c r="S540" s="7" t="s">
        <v>751</v>
      </c>
      <c r="T540" s="7"/>
      <c r="U540" s="7" t="s">
        <v>1743</v>
      </c>
      <c r="V540" s="20" t="n">
        <v>45635</v>
      </c>
      <c r="W540" s="7"/>
      <c r="X540" s="7"/>
      <c r="Y540" s="7"/>
      <c r="Z540" s="7"/>
      <c r="AA540" s="23" t="n">
        <f aca="false">YEAR(C540)</f>
        <v>2024</v>
      </c>
    </row>
    <row r="541" customFormat="false" ht="15" hidden="false" customHeight="false" outlineLevel="0" collapsed="false">
      <c r="A541" s="7" t="s">
        <v>1744</v>
      </c>
      <c r="B541" s="7" t="s">
        <v>137</v>
      </c>
      <c r="C541" s="20" t="n">
        <v>45606</v>
      </c>
      <c r="D541" s="20" t="n">
        <v>45606</v>
      </c>
      <c r="E541" s="20"/>
      <c r="F541" s="7" t="s">
        <v>759</v>
      </c>
      <c r="G541" s="7" t="s">
        <v>153</v>
      </c>
      <c r="H541" s="7" t="s">
        <v>237</v>
      </c>
      <c r="I541" s="7" t="s">
        <v>238</v>
      </c>
      <c r="J541" s="7" t="s">
        <v>236</v>
      </c>
      <c r="K541" s="7" t="s">
        <v>189</v>
      </c>
      <c r="L541" s="7" t="s">
        <v>1745</v>
      </c>
      <c r="M541" s="7" t="s">
        <v>768</v>
      </c>
      <c r="N541" s="16"/>
      <c r="O541" s="7"/>
      <c r="P541" s="22"/>
      <c r="Q541" s="8" t="n">
        <v>53.1</v>
      </c>
      <c r="R541" s="8" t="n">
        <v>-53.1</v>
      </c>
      <c r="S541" s="7" t="s">
        <v>744</v>
      </c>
      <c r="T541" s="7"/>
      <c r="U541" s="7"/>
      <c r="V541" s="20"/>
      <c r="W541" s="7"/>
      <c r="X541" s="7" t="s">
        <v>769</v>
      </c>
      <c r="Y541" s="7"/>
      <c r="Z541" s="7"/>
      <c r="AA541" s="23" t="n">
        <f aca="false">YEAR(C541)</f>
        <v>2024</v>
      </c>
    </row>
    <row r="542" customFormat="false" ht="15" hidden="false" customHeight="false" outlineLevel="0" collapsed="false">
      <c r="A542" s="7" t="s">
        <v>1746</v>
      </c>
      <c r="B542" s="7" t="s">
        <v>137</v>
      </c>
      <c r="C542" s="20" t="n">
        <v>45606</v>
      </c>
      <c r="D542" s="20" t="n">
        <v>45606</v>
      </c>
      <c r="E542" s="20"/>
      <c r="F542" s="7" t="s">
        <v>759</v>
      </c>
      <c r="G542" s="7" t="s">
        <v>153</v>
      </c>
      <c r="H542" s="7" t="s">
        <v>559</v>
      </c>
      <c r="I542" s="7" t="s">
        <v>771</v>
      </c>
      <c r="J542" s="7" t="s">
        <v>761</v>
      </c>
      <c r="K542" s="7" t="s">
        <v>772</v>
      </c>
      <c r="L542" s="7" t="s">
        <v>1747</v>
      </c>
      <c r="M542" s="7" t="s">
        <v>768</v>
      </c>
      <c r="N542" s="16"/>
      <c r="O542" s="7"/>
      <c r="P542" s="22"/>
      <c r="Q542" s="8" t="n">
        <v>791.99</v>
      </c>
      <c r="R542" s="8" t="n">
        <v>-791.99</v>
      </c>
      <c r="S542" s="7" t="s">
        <v>744</v>
      </c>
      <c r="T542" s="7"/>
      <c r="U542" s="7"/>
      <c r="V542" s="20"/>
      <c r="W542" s="7"/>
      <c r="X542" s="7" t="s">
        <v>769</v>
      </c>
      <c r="Y542" s="7"/>
      <c r="Z542" s="7"/>
      <c r="AA542" s="23" t="n">
        <f aca="false">YEAR(C542)</f>
        <v>2024</v>
      </c>
    </row>
    <row r="543" customFormat="false" ht="15" hidden="false" customHeight="false" outlineLevel="0" collapsed="false">
      <c r="A543" s="7" t="s">
        <v>1748</v>
      </c>
      <c r="B543" s="7" t="s">
        <v>137</v>
      </c>
      <c r="C543" s="20" t="n">
        <v>45607</v>
      </c>
      <c r="D543" s="20" t="n">
        <v>45649</v>
      </c>
      <c r="E543" s="20"/>
      <c r="F543" s="7" t="s">
        <v>759</v>
      </c>
      <c r="G543" s="7" t="s">
        <v>149</v>
      </c>
      <c r="H543" s="7" t="s">
        <v>279</v>
      </c>
      <c r="I543" s="7" t="s">
        <v>280</v>
      </c>
      <c r="J543" s="7" t="s">
        <v>248</v>
      </c>
      <c r="K543" s="7" t="s">
        <v>278</v>
      </c>
      <c r="L543" s="7" t="s">
        <v>1749</v>
      </c>
      <c r="M543" s="7" t="s">
        <v>600</v>
      </c>
      <c r="N543" s="16" t="n">
        <v>149</v>
      </c>
      <c r="O543" s="7" t="s">
        <v>801</v>
      </c>
      <c r="P543" s="22" t="n">
        <v>45</v>
      </c>
      <c r="Q543" s="8" t="n">
        <v>6705</v>
      </c>
      <c r="R543" s="8" t="n">
        <v>6705</v>
      </c>
      <c r="S543" s="7" t="s">
        <v>33</v>
      </c>
      <c r="T543" s="7" t="s">
        <v>1750</v>
      </c>
      <c r="U543" s="7"/>
      <c r="V543" s="20" t="n">
        <v>45637</v>
      </c>
      <c r="W543" s="7"/>
      <c r="X543" s="7"/>
      <c r="Y543" s="7"/>
      <c r="Z543" s="7"/>
      <c r="AA543" s="23" t="n">
        <f aca="false">YEAR(C543)</f>
        <v>2024</v>
      </c>
    </row>
    <row r="544" customFormat="false" ht="15" hidden="false" customHeight="false" outlineLevel="0" collapsed="false">
      <c r="A544" s="7" t="s">
        <v>1751</v>
      </c>
      <c r="B544" s="7" t="s">
        <v>137</v>
      </c>
      <c r="C544" s="20" t="n">
        <v>45607</v>
      </c>
      <c r="D544" s="20" t="n">
        <v>45649</v>
      </c>
      <c r="E544" s="20"/>
      <c r="F544" s="7" t="s">
        <v>759</v>
      </c>
      <c r="G544" s="7" t="s">
        <v>149</v>
      </c>
      <c r="H544" s="7" t="s">
        <v>281</v>
      </c>
      <c r="I544" s="7" t="s">
        <v>282</v>
      </c>
      <c r="J544" s="7" t="s">
        <v>248</v>
      </c>
      <c r="K544" s="7" t="s">
        <v>278</v>
      </c>
      <c r="L544" s="7" t="s">
        <v>1752</v>
      </c>
      <c r="M544" s="7" t="s">
        <v>600</v>
      </c>
      <c r="N544" s="16" t="n">
        <v>18439</v>
      </c>
      <c r="O544" s="7" t="s">
        <v>798</v>
      </c>
      <c r="P544" s="22" t="n">
        <v>0.19</v>
      </c>
      <c r="Q544" s="8" t="n">
        <v>3503.36</v>
      </c>
      <c r="R544" s="8" t="n">
        <v>3503.36</v>
      </c>
      <c r="S544" s="7" t="s">
        <v>33</v>
      </c>
      <c r="T544" s="7" t="s">
        <v>1750</v>
      </c>
      <c r="U544" s="7"/>
      <c r="V544" s="20" t="n">
        <v>45637</v>
      </c>
      <c r="W544" s="7"/>
      <c r="X544" s="7"/>
      <c r="Y544" s="7"/>
      <c r="Z544" s="7"/>
      <c r="AA544" s="23" t="n">
        <f aca="false">YEAR(C544)</f>
        <v>2024</v>
      </c>
    </row>
    <row r="545" customFormat="false" ht="15" hidden="false" customHeight="false" outlineLevel="0" collapsed="false">
      <c r="A545" s="7" t="s">
        <v>1753</v>
      </c>
      <c r="B545" s="7" t="s">
        <v>137</v>
      </c>
      <c r="C545" s="20" t="n">
        <v>45608</v>
      </c>
      <c r="D545" s="20" t="n">
        <v>45608</v>
      </c>
      <c r="E545" s="20"/>
      <c r="F545" s="7" t="s">
        <v>759</v>
      </c>
      <c r="G545" s="7" t="s">
        <v>153</v>
      </c>
      <c r="H545" s="7" t="s">
        <v>240</v>
      </c>
      <c r="I545" s="7" t="s">
        <v>239</v>
      </c>
      <c r="J545" s="7" t="s">
        <v>229</v>
      </c>
      <c r="K545" s="7" t="s">
        <v>239</v>
      </c>
      <c r="L545" s="7" t="s">
        <v>548</v>
      </c>
      <c r="M545" s="7" t="s">
        <v>547</v>
      </c>
      <c r="N545" s="16"/>
      <c r="O545" s="7"/>
      <c r="P545" s="22"/>
      <c r="Q545" s="8" t="n">
        <v>276.9</v>
      </c>
      <c r="R545" s="8" t="n">
        <v>-276.9</v>
      </c>
      <c r="S545" s="7" t="s">
        <v>775</v>
      </c>
      <c r="T545" s="7"/>
      <c r="U545" s="7"/>
      <c r="V545" s="20"/>
      <c r="W545" s="7"/>
      <c r="X545" s="7"/>
      <c r="Y545" s="7"/>
      <c r="Z545" s="7"/>
      <c r="AA545" s="23" t="n">
        <f aca="false">YEAR(C545)</f>
        <v>2024</v>
      </c>
    </row>
    <row r="546" customFormat="false" ht="15" hidden="false" customHeight="false" outlineLevel="0" collapsed="false">
      <c r="A546" s="7" t="s">
        <v>1754</v>
      </c>
      <c r="B546" s="7" t="s">
        <v>137</v>
      </c>
      <c r="C546" s="20" t="n">
        <v>45610</v>
      </c>
      <c r="D546" s="20" t="n">
        <v>45642</v>
      </c>
      <c r="E546" s="20"/>
      <c r="F546" s="7" t="s">
        <v>759</v>
      </c>
      <c r="G546" s="7" t="s">
        <v>153</v>
      </c>
      <c r="H546" s="7" t="s">
        <v>261</v>
      </c>
      <c r="I546" s="7" t="s">
        <v>262</v>
      </c>
      <c r="J546" s="7" t="s">
        <v>221</v>
      </c>
      <c r="K546" s="7" t="s">
        <v>260</v>
      </c>
      <c r="L546" s="7" t="s">
        <v>623</v>
      </c>
      <c r="M546" s="7" t="s">
        <v>538</v>
      </c>
      <c r="N546" s="16"/>
      <c r="O546" s="7"/>
      <c r="P546" s="22"/>
      <c r="Q546" s="8" t="n">
        <v>1644.71</v>
      </c>
      <c r="R546" s="8" t="n">
        <v>-1644.71</v>
      </c>
      <c r="S546" s="7" t="s">
        <v>751</v>
      </c>
      <c r="T546" s="7"/>
      <c r="U546" s="7" t="s">
        <v>1755</v>
      </c>
      <c r="V546" s="20" t="n">
        <v>45640</v>
      </c>
      <c r="W546" s="7"/>
      <c r="X546" s="7"/>
      <c r="Y546" s="7"/>
      <c r="Z546" s="7"/>
      <c r="AA546" s="23" t="n">
        <f aca="false">YEAR(C546)</f>
        <v>2024</v>
      </c>
    </row>
    <row r="547" customFormat="false" ht="15" hidden="false" customHeight="false" outlineLevel="0" collapsed="false">
      <c r="A547" s="7" t="s">
        <v>1756</v>
      </c>
      <c r="B547" s="7" t="s">
        <v>137</v>
      </c>
      <c r="C547" s="20" t="n">
        <v>45610</v>
      </c>
      <c r="D547" s="20" t="n">
        <v>45680</v>
      </c>
      <c r="E547" s="20"/>
      <c r="F547" s="7" t="s">
        <v>759</v>
      </c>
      <c r="G547" s="7" t="s">
        <v>136</v>
      </c>
      <c r="H547" s="7" t="s">
        <v>290</v>
      </c>
      <c r="I547" s="7" t="s">
        <v>291</v>
      </c>
      <c r="J547" s="7" t="s">
        <v>221</v>
      </c>
      <c r="K547" s="7" t="s">
        <v>289</v>
      </c>
      <c r="L547" s="7" t="s">
        <v>1757</v>
      </c>
      <c r="M547" s="7" t="s">
        <v>1259</v>
      </c>
      <c r="N547" s="16" t="n">
        <v>96</v>
      </c>
      <c r="O547" s="7" t="s">
        <v>801</v>
      </c>
      <c r="P547" s="22" t="n">
        <v>72</v>
      </c>
      <c r="Q547" s="8" t="n">
        <v>6912</v>
      </c>
      <c r="R547" s="8" t="n">
        <v>-6912</v>
      </c>
      <c r="S547" s="7" t="s">
        <v>751</v>
      </c>
      <c r="T547" s="7"/>
      <c r="U547" s="7" t="s">
        <v>1758</v>
      </c>
      <c r="V547" s="20" t="n">
        <v>45670</v>
      </c>
      <c r="W547" s="7"/>
      <c r="X547" s="7"/>
      <c r="Y547" s="7" t="s">
        <v>721</v>
      </c>
      <c r="Z547" s="7"/>
      <c r="AA547" s="23" t="n">
        <f aca="false">YEAR(C547)</f>
        <v>2024</v>
      </c>
    </row>
    <row r="548" customFormat="false" ht="15" hidden="false" customHeight="false" outlineLevel="0" collapsed="false">
      <c r="A548" s="7" t="s">
        <v>1759</v>
      </c>
      <c r="B548" s="7" t="s">
        <v>137</v>
      </c>
      <c r="C548" s="20" t="n">
        <v>45611</v>
      </c>
      <c r="D548" s="20" t="n">
        <v>45611</v>
      </c>
      <c r="E548" s="20"/>
      <c r="F548" s="7" t="s">
        <v>759</v>
      </c>
      <c r="G548" s="7" t="s">
        <v>149</v>
      </c>
      <c r="H548" s="7" t="s">
        <v>271</v>
      </c>
      <c r="I548" s="7" t="s">
        <v>272</v>
      </c>
      <c r="J548" s="7" t="s">
        <v>221</v>
      </c>
      <c r="K548" s="7" t="s">
        <v>270</v>
      </c>
      <c r="L548" s="7" t="s">
        <v>1760</v>
      </c>
      <c r="M548" s="7" t="s">
        <v>541</v>
      </c>
      <c r="N548" s="16"/>
      <c r="O548" s="7"/>
      <c r="P548" s="22"/>
      <c r="Q548" s="8" t="n">
        <v>846.9</v>
      </c>
      <c r="R548" s="8" t="n">
        <v>-846.9</v>
      </c>
      <c r="S548" s="7" t="s">
        <v>744</v>
      </c>
      <c r="T548" s="7"/>
      <c r="U548" s="7"/>
      <c r="V548" s="20"/>
      <c r="W548" s="7"/>
      <c r="X548" s="7"/>
      <c r="Y548" s="7"/>
      <c r="Z548" s="7"/>
      <c r="AA548" s="23" t="n">
        <f aca="false">YEAR(C548)</f>
        <v>2024</v>
      </c>
    </row>
    <row r="549" customFormat="false" ht="15" hidden="false" customHeight="false" outlineLevel="0" collapsed="false">
      <c r="A549" s="7" t="s">
        <v>1761</v>
      </c>
      <c r="B549" s="7" t="s">
        <v>137</v>
      </c>
      <c r="C549" s="20" t="n">
        <v>45611</v>
      </c>
      <c r="D549" s="20" t="n">
        <v>45611</v>
      </c>
      <c r="E549" s="20"/>
      <c r="F549" s="7" t="s">
        <v>759</v>
      </c>
      <c r="G549" s="7" t="s">
        <v>153</v>
      </c>
      <c r="H549" s="7" t="s">
        <v>271</v>
      </c>
      <c r="I549" s="7" t="s">
        <v>272</v>
      </c>
      <c r="J549" s="7" t="s">
        <v>221</v>
      </c>
      <c r="K549" s="7" t="s">
        <v>270</v>
      </c>
      <c r="L549" s="7" t="s">
        <v>544</v>
      </c>
      <c r="M549" s="7" t="s">
        <v>541</v>
      </c>
      <c r="N549" s="16"/>
      <c r="O549" s="7"/>
      <c r="P549" s="22"/>
      <c r="Q549" s="8" t="n">
        <v>564.6</v>
      </c>
      <c r="R549" s="8" t="n">
        <v>-564.6</v>
      </c>
      <c r="S549" s="7" t="s">
        <v>744</v>
      </c>
      <c r="T549" s="7"/>
      <c r="U549" s="7"/>
      <c r="V549" s="20"/>
      <c r="W549" s="7"/>
      <c r="X549" s="7"/>
      <c r="Y549" s="7"/>
      <c r="Z549" s="7"/>
      <c r="AA549" s="23" t="n">
        <f aca="false">YEAR(C549)</f>
        <v>2024</v>
      </c>
    </row>
    <row r="550" customFormat="false" ht="15" hidden="false" customHeight="false" outlineLevel="0" collapsed="false">
      <c r="A550" s="7" t="s">
        <v>1762</v>
      </c>
      <c r="B550" s="7" t="s">
        <v>137</v>
      </c>
      <c r="C550" s="20" t="n">
        <v>45611</v>
      </c>
      <c r="D550" s="20" t="n">
        <v>45641</v>
      </c>
      <c r="E550" s="20"/>
      <c r="F550" s="7" t="s">
        <v>759</v>
      </c>
      <c r="G550" s="7" t="s">
        <v>149</v>
      </c>
      <c r="H550" s="7" t="s">
        <v>273</v>
      </c>
      <c r="I550" s="7" t="s">
        <v>274</v>
      </c>
      <c r="J550" s="7" t="s">
        <v>221</v>
      </c>
      <c r="K550" s="7" t="s">
        <v>270</v>
      </c>
      <c r="L550" s="7" t="s">
        <v>554</v>
      </c>
      <c r="M550" s="7" t="s">
        <v>541</v>
      </c>
      <c r="N550" s="16"/>
      <c r="O550" s="7"/>
      <c r="P550" s="22"/>
      <c r="Q550" s="8" t="n">
        <v>124.21</v>
      </c>
      <c r="R550" s="8" t="n">
        <v>-124.21</v>
      </c>
      <c r="S550" s="7" t="s">
        <v>789</v>
      </c>
      <c r="T550" s="7"/>
      <c r="U550" s="7"/>
      <c r="V550" s="20"/>
      <c r="W550" s="7"/>
      <c r="X550" s="7"/>
      <c r="Y550" s="7"/>
      <c r="Z550" s="7"/>
      <c r="AA550" s="23" t="n">
        <f aca="false">YEAR(C550)</f>
        <v>2024</v>
      </c>
    </row>
    <row r="551" customFormat="false" ht="15" hidden="false" customHeight="false" outlineLevel="0" collapsed="false">
      <c r="A551" s="7" t="s">
        <v>1763</v>
      </c>
      <c r="B551" s="7" t="s">
        <v>137</v>
      </c>
      <c r="C551" s="20" t="n">
        <v>45612</v>
      </c>
      <c r="D551" s="20" t="n">
        <v>45612</v>
      </c>
      <c r="E551" s="20"/>
      <c r="F551" s="7" t="s">
        <v>759</v>
      </c>
      <c r="G551" s="7" t="s">
        <v>149</v>
      </c>
      <c r="H551" s="7" t="s">
        <v>237</v>
      </c>
      <c r="I551" s="7" t="s">
        <v>238</v>
      </c>
      <c r="J551" s="7" t="s">
        <v>236</v>
      </c>
      <c r="K551" s="7" t="s">
        <v>189</v>
      </c>
      <c r="L551" s="7" t="s">
        <v>1764</v>
      </c>
      <c r="M551" s="7" t="s">
        <v>556</v>
      </c>
      <c r="N551" s="16"/>
      <c r="O551" s="7"/>
      <c r="P551" s="22"/>
      <c r="Q551" s="8" t="n">
        <v>419.27</v>
      </c>
      <c r="R551" s="8" t="n">
        <v>-419.27</v>
      </c>
      <c r="S551" s="7" t="s">
        <v>744</v>
      </c>
      <c r="T551" s="7"/>
      <c r="U551" s="7"/>
      <c r="V551" s="20"/>
      <c r="W551" s="7"/>
      <c r="X551" s="7" t="s">
        <v>1552</v>
      </c>
      <c r="Y551" s="7"/>
      <c r="Z551" s="7"/>
      <c r="AA551" s="23" t="n">
        <f aca="false">YEAR(C551)</f>
        <v>2024</v>
      </c>
    </row>
    <row r="552" customFormat="false" ht="15" hidden="false" customHeight="false" outlineLevel="0" collapsed="false">
      <c r="A552" s="7" t="s">
        <v>1765</v>
      </c>
      <c r="B552" s="7" t="s">
        <v>137</v>
      </c>
      <c r="C552" s="20" t="n">
        <v>45612</v>
      </c>
      <c r="D552" s="20" t="n">
        <v>45612</v>
      </c>
      <c r="E552" s="20"/>
      <c r="F552" s="7" t="s">
        <v>759</v>
      </c>
      <c r="G552" s="7" t="s">
        <v>149</v>
      </c>
      <c r="H552" s="7" t="s">
        <v>559</v>
      </c>
      <c r="I552" s="7" t="s">
        <v>771</v>
      </c>
      <c r="J552" s="7" t="s">
        <v>761</v>
      </c>
      <c r="K552" s="7" t="s">
        <v>772</v>
      </c>
      <c r="L552" s="7" t="s">
        <v>1766</v>
      </c>
      <c r="M552" s="7" t="s">
        <v>556</v>
      </c>
      <c r="N552" s="16"/>
      <c r="O552" s="7"/>
      <c r="P552" s="22"/>
      <c r="Q552" s="8" t="n">
        <v>1313.22</v>
      </c>
      <c r="R552" s="8" t="n">
        <v>-1313.22</v>
      </c>
      <c r="S552" s="7" t="s">
        <v>744</v>
      </c>
      <c r="T552" s="7"/>
      <c r="U552" s="7"/>
      <c r="V552" s="20"/>
      <c r="W552" s="7"/>
      <c r="X552" s="7" t="s">
        <v>1552</v>
      </c>
      <c r="Y552" s="7"/>
      <c r="Z552" s="7"/>
      <c r="AA552" s="23" t="n">
        <f aca="false">YEAR(C552)</f>
        <v>2024</v>
      </c>
    </row>
    <row r="553" customFormat="false" ht="15" hidden="false" customHeight="false" outlineLevel="0" collapsed="false">
      <c r="A553" s="7" t="s">
        <v>1767</v>
      </c>
      <c r="B553" s="7" t="s">
        <v>137</v>
      </c>
      <c r="C553" s="20" t="n">
        <v>45622</v>
      </c>
      <c r="D553" s="20" t="n">
        <v>45648</v>
      </c>
      <c r="E553" s="20"/>
      <c r="F553" s="7" t="s">
        <v>759</v>
      </c>
      <c r="G553" s="7" t="s">
        <v>153</v>
      </c>
      <c r="H553" s="7" t="s">
        <v>242</v>
      </c>
      <c r="I553" s="7" t="s">
        <v>243</v>
      </c>
      <c r="J553" s="7" t="s">
        <v>229</v>
      </c>
      <c r="K553" s="7" t="s">
        <v>241</v>
      </c>
      <c r="L553" s="7" t="s">
        <v>571</v>
      </c>
      <c r="M553" s="7"/>
      <c r="N553" s="16"/>
      <c r="O553" s="7"/>
      <c r="P553" s="22"/>
      <c r="Q553" s="8" t="n">
        <v>314.89</v>
      </c>
      <c r="R553" s="8" t="n">
        <v>-314.89</v>
      </c>
      <c r="S553" s="7" t="s">
        <v>765</v>
      </c>
      <c r="T553" s="7"/>
      <c r="U553" s="7"/>
      <c r="V553" s="20"/>
      <c r="W553" s="7"/>
      <c r="X553" s="7"/>
      <c r="Y553" s="7"/>
      <c r="Z553" s="7"/>
      <c r="AA553" s="23" t="n">
        <f aca="false">YEAR(C553)</f>
        <v>2024</v>
      </c>
    </row>
    <row r="554" customFormat="false" ht="15" hidden="false" customHeight="false" outlineLevel="0" collapsed="false">
      <c r="A554" s="7" t="s">
        <v>1768</v>
      </c>
      <c r="B554" s="7" t="s">
        <v>137</v>
      </c>
      <c r="C554" s="20" t="n">
        <v>45626</v>
      </c>
      <c r="D554" s="20" t="n">
        <v>45626</v>
      </c>
      <c r="E554" s="20"/>
      <c r="F554" s="7" t="s">
        <v>759</v>
      </c>
      <c r="G554" s="7" t="s">
        <v>153</v>
      </c>
      <c r="H554" s="7" t="s">
        <v>246</v>
      </c>
      <c r="I554" s="7" t="s">
        <v>247</v>
      </c>
      <c r="J554" s="7" t="s">
        <v>236</v>
      </c>
      <c r="K554" s="7" t="s">
        <v>189</v>
      </c>
      <c r="L554" s="7" t="s">
        <v>822</v>
      </c>
      <c r="M554" s="7" t="s">
        <v>556</v>
      </c>
      <c r="N554" s="16"/>
      <c r="O554" s="7"/>
      <c r="P554" s="22"/>
      <c r="Q554" s="8" t="n">
        <v>827.05</v>
      </c>
      <c r="R554" s="8" t="n">
        <v>-827.05</v>
      </c>
      <c r="S554" s="7" t="s">
        <v>775</v>
      </c>
      <c r="T554" s="7"/>
      <c r="U554" s="7"/>
      <c r="V554" s="20"/>
      <c r="W554" s="7"/>
      <c r="X554" s="7" t="s">
        <v>784</v>
      </c>
      <c r="Y554" s="7"/>
      <c r="Z554" s="7"/>
      <c r="AA554" s="23" t="n">
        <f aca="false">YEAR(C554)</f>
        <v>2024</v>
      </c>
    </row>
    <row r="555" customFormat="false" ht="15" hidden="false" customHeight="false" outlineLevel="0" collapsed="false">
      <c r="A555" s="7" t="s">
        <v>1769</v>
      </c>
      <c r="B555" s="7" t="s">
        <v>137</v>
      </c>
      <c r="C555" s="20" t="n">
        <v>45627</v>
      </c>
      <c r="D555" s="20" t="n">
        <v>45627</v>
      </c>
      <c r="E555" s="20"/>
      <c r="F555" s="7" t="s">
        <v>759</v>
      </c>
      <c r="G555" s="7" t="s">
        <v>153</v>
      </c>
      <c r="H555" s="7" t="s">
        <v>237</v>
      </c>
      <c r="I555" s="7" t="s">
        <v>238</v>
      </c>
      <c r="J555" s="7" t="s">
        <v>236</v>
      </c>
      <c r="K555" s="7" t="s">
        <v>189</v>
      </c>
      <c r="L555" s="7" t="s">
        <v>1770</v>
      </c>
      <c r="M555" s="7" t="s">
        <v>609</v>
      </c>
      <c r="N555" s="16"/>
      <c r="O555" s="7"/>
      <c r="P555" s="22"/>
      <c r="Q555" s="8" t="n">
        <v>15043.29</v>
      </c>
      <c r="R555" s="8" t="n">
        <v>-15043.29</v>
      </c>
      <c r="S555" s="7" t="s">
        <v>744</v>
      </c>
      <c r="T555" s="7"/>
      <c r="U555" s="7"/>
      <c r="V555" s="20"/>
      <c r="W555" s="7"/>
      <c r="X555" s="7" t="s">
        <v>1265</v>
      </c>
      <c r="Y555" s="7"/>
      <c r="Z555" s="7"/>
      <c r="AA555" s="23" t="n">
        <f aca="false">YEAR(C555)</f>
        <v>2024</v>
      </c>
    </row>
    <row r="556" customFormat="false" ht="15" hidden="false" customHeight="false" outlineLevel="0" collapsed="false">
      <c r="A556" s="7" t="s">
        <v>1771</v>
      </c>
      <c r="B556" s="7" t="s">
        <v>137</v>
      </c>
      <c r="C556" s="20" t="n">
        <v>45627</v>
      </c>
      <c r="D556" s="20" t="n">
        <v>45627</v>
      </c>
      <c r="E556" s="20"/>
      <c r="F556" s="7" t="s">
        <v>759</v>
      </c>
      <c r="G556" s="7" t="s">
        <v>153</v>
      </c>
      <c r="H556" s="7" t="s">
        <v>559</v>
      </c>
      <c r="I556" s="7" t="s">
        <v>771</v>
      </c>
      <c r="J556" s="7" t="s">
        <v>761</v>
      </c>
      <c r="K556" s="7" t="s">
        <v>772</v>
      </c>
      <c r="L556" s="7" t="s">
        <v>1772</v>
      </c>
      <c r="M556" s="7" t="s">
        <v>609</v>
      </c>
      <c r="N556" s="16"/>
      <c r="O556" s="7"/>
      <c r="P556" s="22"/>
      <c r="Q556" s="8" t="n">
        <v>16826.39</v>
      </c>
      <c r="R556" s="8" t="n">
        <v>-16826.39</v>
      </c>
      <c r="S556" s="7" t="s">
        <v>744</v>
      </c>
      <c r="T556" s="7"/>
      <c r="U556" s="7"/>
      <c r="V556" s="20"/>
      <c r="W556" s="7"/>
      <c r="X556" s="7" t="s">
        <v>1265</v>
      </c>
      <c r="Y556" s="7"/>
      <c r="Z556" s="7"/>
      <c r="AA556" s="23" t="n">
        <f aca="false">YEAR(C556)</f>
        <v>2024</v>
      </c>
    </row>
    <row r="557" customFormat="false" ht="15" hidden="false" customHeight="false" outlineLevel="0" collapsed="false">
      <c r="A557" s="7" t="s">
        <v>1773</v>
      </c>
      <c r="B557" s="7" t="s">
        <v>137</v>
      </c>
      <c r="C557" s="20" t="n">
        <v>45627</v>
      </c>
      <c r="D557" s="20" t="n">
        <v>45627</v>
      </c>
      <c r="E557" s="20"/>
      <c r="F557" s="7" t="s">
        <v>759</v>
      </c>
      <c r="G557" s="7" t="s">
        <v>153</v>
      </c>
      <c r="H557" s="7" t="s">
        <v>561</v>
      </c>
      <c r="I557" s="7" t="s">
        <v>363</v>
      </c>
      <c r="J557" s="7" t="s">
        <v>761</v>
      </c>
      <c r="K557" s="7" t="s">
        <v>772</v>
      </c>
      <c r="L557" s="7" t="s">
        <v>562</v>
      </c>
      <c r="M557" s="7" t="s">
        <v>556</v>
      </c>
      <c r="N557" s="16"/>
      <c r="O557" s="7"/>
      <c r="P557" s="22"/>
      <c r="Q557" s="8" t="n">
        <v>37000</v>
      </c>
      <c r="R557" s="8" t="n">
        <v>37000</v>
      </c>
      <c r="S557" s="7" t="s">
        <v>783</v>
      </c>
      <c r="T557" s="7"/>
      <c r="U557" s="7"/>
      <c r="V557" s="20"/>
      <c r="W557" s="7"/>
      <c r="X557" s="7" t="s">
        <v>784</v>
      </c>
      <c r="Y557" s="7"/>
      <c r="Z557" s="7"/>
      <c r="AA557" s="23" t="n">
        <f aca="false">YEAR(C557)</f>
        <v>2024</v>
      </c>
    </row>
    <row r="558" customFormat="false" ht="15" hidden="false" customHeight="false" outlineLevel="0" collapsed="false">
      <c r="A558" s="7" t="s">
        <v>1774</v>
      </c>
      <c r="B558" s="7" t="s">
        <v>137</v>
      </c>
      <c r="C558" s="20" t="n">
        <v>45627</v>
      </c>
      <c r="D558" s="20" t="n">
        <v>45627</v>
      </c>
      <c r="E558" s="20"/>
      <c r="F558" s="7" t="s">
        <v>759</v>
      </c>
      <c r="G558" s="7" t="s">
        <v>153</v>
      </c>
      <c r="H558" s="7" t="s">
        <v>545</v>
      </c>
      <c r="I558" s="7" t="s">
        <v>760</v>
      </c>
      <c r="J558" s="7" t="s">
        <v>761</v>
      </c>
      <c r="K558" s="7" t="s">
        <v>762</v>
      </c>
      <c r="L558" s="7" t="s">
        <v>546</v>
      </c>
      <c r="M558" s="7"/>
      <c r="N558" s="16"/>
      <c r="O558" s="7"/>
      <c r="P558" s="22"/>
      <c r="Q558" s="8" t="n">
        <v>4100</v>
      </c>
      <c r="R558" s="8" t="n">
        <v>-4100</v>
      </c>
      <c r="S558" s="7" t="s">
        <v>763</v>
      </c>
      <c r="T558" s="7"/>
      <c r="U558" s="7"/>
      <c r="V558" s="20"/>
      <c r="W558" s="7"/>
      <c r="X558" s="7"/>
      <c r="Y558" s="7"/>
      <c r="Z558" s="7"/>
      <c r="AA558" s="23" t="n">
        <f aca="false">YEAR(C558)</f>
        <v>2024</v>
      </c>
    </row>
    <row r="559" customFormat="false" ht="15" hidden="false" customHeight="false" outlineLevel="0" collapsed="false">
      <c r="A559" s="7" t="s">
        <v>1775</v>
      </c>
      <c r="B559" s="7" t="s">
        <v>137</v>
      </c>
      <c r="C559" s="20" t="n">
        <v>45634</v>
      </c>
      <c r="D559" s="20" t="n">
        <v>45679</v>
      </c>
      <c r="E559" s="20"/>
      <c r="F559" s="7" t="s">
        <v>759</v>
      </c>
      <c r="G559" s="7" t="s">
        <v>153</v>
      </c>
      <c r="H559" s="7" t="s">
        <v>244</v>
      </c>
      <c r="I559" s="7" t="s">
        <v>245</v>
      </c>
      <c r="J559" s="7" t="s">
        <v>229</v>
      </c>
      <c r="K559" s="7" t="s">
        <v>233</v>
      </c>
      <c r="L559" s="7" t="s">
        <v>570</v>
      </c>
      <c r="M559" s="7"/>
      <c r="N559" s="16"/>
      <c r="O559" s="7"/>
      <c r="P559" s="22"/>
      <c r="Q559" s="8" t="n">
        <v>165</v>
      </c>
      <c r="R559" s="8" t="n">
        <v>-165</v>
      </c>
      <c r="S559" s="7" t="s">
        <v>765</v>
      </c>
      <c r="T559" s="7"/>
      <c r="U559" s="7"/>
      <c r="V559" s="20"/>
      <c r="W559" s="7"/>
      <c r="X559" s="7"/>
      <c r="Y559" s="7"/>
      <c r="Z559" s="7"/>
      <c r="AA559" s="23" t="n">
        <f aca="false">YEAR(C559)</f>
        <v>2024</v>
      </c>
    </row>
    <row r="560" customFormat="false" ht="15" hidden="false" customHeight="false" outlineLevel="0" collapsed="false">
      <c r="A560" s="7" t="s">
        <v>1776</v>
      </c>
      <c r="B560" s="7" t="s">
        <v>137</v>
      </c>
      <c r="C560" s="20" t="n">
        <v>45636</v>
      </c>
      <c r="D560" s="20" t="n">
        <v>45636</v>
      </c>
      <c r="E560" s="20"/>
      <c r="F560" s="7" t="s">
        <v>759</v>
      </c>
      <c r="G560" s="7" t="s">
        <v>153</v>
      </c>
      <c r="H560" s="7" t="s">
        <v>237</v>
      </c>
      <c r="I560" s="7" t="s">
        <v>238</v>
      </c>
      <c r="J560" s="7" t="s">
        <v>236</v>
      </c>
      <c r="K560" s="7" t="s">
        <v>189</v>
      </c>
      <c r="L560" s="7" t="s">
        <v>1777</v>
      </c>
      <c r="M560" s="7" t="s">
        <v>768</v>
      </c>
      <c r="N560" s="16"/>
      <c r="O560" s="7"/>
      <c r="P560" s="22"/>
      <c r="Q560" s="8" t="n">
        <v>50.53</v>
      </c>
      <c r="R560" s="8" t="n">
        <v>-50.53</v>
      </c>
      <c r="S560" s="7" t="s">
        <v>744</v>
      </c>
      <c r="T560" s="7"/>
      <c r="U560" s="7"/>
      <c r="V560" s="20"/>
      <c r="W560" s="7"/>
      <c r="X560" s="7" t="s">
        <v>769</v>
      </c>
      <c r="Y560" s="7"/>
      <c r="Z560" s="7"/>
      <c r="AA560" s="23" t="n">
        <f aca="false">YEAR(C560)</f>
        <v>2024</v>
      </c>
    </row>
    <row r="561" customFormat="false" ht="15" hidden="false" customHeight="false" outlineLevel="0" collapsed="false">
      <c r="A561" s="7" t="s">
        <v>1778</v>
      </c>
      <c r="B561" s="7" t="s">
        <v>137</v>
      </c>
      <c r="C561" s="20" t="n">
        <v>45636</v>
      </c>
      <c r="D561" s="20" t="n">
        <v>45636</v>
      </c>
      <c r="E561" s="20"/>
      <c r="F561" s="7" t="s">
        <v>759</v>
      </c>
      <c r="G561" s="7" t="s">
        <v>153</v>
      </c>
      <c r="H561" s="7" t="s">
        <v>559</v>
      </c>
      <c r="I561" s="7" t="s">
        <v>771</v>
      </c>
      <c r="J561" s="7" t="s">
        <v>761</v>
      </c>
      <c r="K561" s="7" t="s">
        <v>772</v>
      </c>
      <c r="L561" s="7" t="s">
        <v>1779</v>
      </c>
      <c r="M561" s="7" t="s">
        <v>768</v>
      </c>
      <c r="N561" s="16"/>
      <c r="O561" s="7"/>
      <c r="P561" s="22"/>
      <c r="Q561" s="8" t="n">
        <v>794.56</v>
      </c>
      <c r="R561" s="8" t="n">
        <v>-794.56</v>
      </c>
      <c r="S561" s="7" t="s">
        <v>744</v>
      </c>
      <c r="T561" s="7"/>
      <c r="U561" s="7"/>
      <c r="V561" s="20"/>
      <c r="W561" s="7"/>
      <c r="X561" s="7" t="s">
        <v>769</v>
      </c>
      <c r="Y561" s="7"/>
      <c r="Z561" s="7"/>
      <c r="AA561" s="23" t="n">
        <f aca="false">YEAR(C561)</f>
        <v>2024</v>
      </c>
    </row>
    <row r="562" customFormat="false" ht="15" hidden="false" customHeight="false" outlineLevel="0" collapsed="false">
      <c r="A562" s="7" t="s">
        <v>1780</v>
      </c>
      <c r="B562" s="7" t="s">
        <v>137</v>
      </c>
      <c r="C562" s="20" t="n">
        <v>45638</v>
      </c>
      <c r="D562" s="20" t="n">
        <v>45638</v>
      </c>
      <c r="E562" s="20"/>
      <c r="F562" s="7" t="s">
        <v>759</v>
      </c>
      <c r="G562" s="7" t="s">
        <v>153</v>
      </c>
      <c r="H562" s="7" t="s">
        <v>240</v>
      </c>
      <c r="I562" s="7" t="s">
        <v>239</v>
      </c>
      <c r="J562" s="7" t="s">
        <v>229</v>
      </c>
      <c r="K562" s="7" t="s">
        <v>239</v>
      </c>
      <c r="L562" s="7" t="s">
        <v>548</v>
      </c>
      <c r="M562" s="7" t="s">
        <v>547</v>
      </c>
      <c r="N562" s="16"/>
      <c r="O562" s="7"/>
      <c r="P562" s="22"/>
      <c r="Q562" s="8" t="n">
        <v>486.35</v>
      </c>
      <c r="R562" s="8" t="n">
        <v>-486.35</v>
      </c>
      <c r="S562" s="7" t="s">
        <v>775</v>
      </c>
      <c r="T562" s="7"/>
      <c r="U562" s="7"/>
      <c r="V562" s="20"/>
      <c r="W562" s="7"/>
      <c r="X562" s="7"/>
      <c r="Y562" s="7"/>
      <c r="Z562" s="7"/>
      <c r="AA562" s="23" t="n">
        <f aca="false">YEAR(C562)</f>
        <v>2024</v>
      </c>
    </row>
    <row r="563" customFormat="false" ht="15" hidden="false" customHeight="false" outlineLevel="0" collapsed="false">
      <c r="A563" s="7" t="s">
        <v>1781</v>
      </c>
      <c r="B563" s="7" t="s">
        <v>137</v>
      </c>
      <c r="C563" s="20" t="n">
        <v>45642</v>
      </c>
      <c r="D563" s="20" t="n">
        <v>45642</v>
      </c>
      <c r="E563" s="20"/>
      <c r="F563" s="7" t="s">
        <v>759</v>
      </c>
      <c r="G563" s="7" t="s">
        <v>149</v>
      </c>
      <c r="H563" s="7" t="s">
        <v>237</v>
      </c>
      <c r="I563" s="7" t="s">
        <v>238</v>
      </c>
      <c r="J563" s="7" t="s">
        <v>236</v>
      </c>
      <c r="K563" s="7" t="s">
        <v>189</v>
      </c>
      <c r="L563" s="7" t="s">
        <v>1782</v>
      </c>
      <c r="M563" s="7" t="s">
        <v>556</v>
      </c>
      <c r="N563" s="16"/>
      <c r="O563" s="7"/>
      <c r="P563" s="22"/>
      <c r="Q563" s="8" t="n">
        <v>411.34</v>
      </c>
      <c r="R563" s="8" t="n">
        <v>-411.34</v>
      </c>
      <c r="S563" s="7" t="s">
        <v>744</v>
      </c>
      <c r="T563" s="7"/>
      <c r="U563" s="7"/>
      <c r="V563" s="20"/>
      <c r="W563" s="7"/>
      <c r="X563" s="7" t="s">
        <v>1552</v>
      </c>
      <c r="Y563" s="7"/>
      <c r="Z563" s="7"/>
      <c r="AA563" s="23" t="n">
        <f aca="false">YEAR(C563)</f>
        <v>2024</v>
      </c>
    </row>
    <row r="564" customFormat="false" ht="15" hidden="false" customHeight="false" outlineLevel="0" collapsed="false">
      <c r="A564" s="7" t="s">
        <v>1783</v>
      </c>
      <c r="B564" s="7" t="s">
        <v>137</v>
      </c>
      <c r="C564" s="20" t="n">
        <v>45642</v>
      </c>
      <c r="D564" s="20" t="n">
        <v>45642</v>
      </c>
      <c r="E564" s="20"/>
      <c r="F564" s="7" t="s">
        <v>759</v>
      </c>
      <c r="G564" s="7" t="s">
        <v>149</v>
      </c>
      <c r="H564" s="7" t="s">
        <v>559</v>
      </c>
      <c r="I564" s="7" t="s">
        <v>771</v>
      </c>
      <c r="J564" s="7" t="s">
        <v>761</v>
      </c>
      <c r="K564" s="7" t="s">
        <v>772</v>
      </c>
      <c r="L564" s="7" t="s">
        <v>1784</v>
      </c>
      <c r="M564" s="7" t="s">
        <v>556</v>
      </c>
      <c r="N564" s="16"/>
      <c r="O564" s="7"/>
      <c r="P564" s="22"/>
      <c r="Q564" s="8" t="n">
        <v>1321.15</v>
      </c>
      <c r="R564" s="8" t="n">
        <v>-1321.15</v>
      </c>
      <c r="S564" s="7" t="s">
        <v>744</v>
      </c>
      <c r="T564" s="7"/>
      <c r="U564" s="7"/>
      <c r="V564" s="20"/>
      <c r="W564" s="7"/>
      <c r="X564" s="7" t="s">
        <v>1552</v>
      </c>
      <c r="Y564" s="7"/>
      <c r="Z564" s="7"/>
      <c r="AA564" s="23" t="n">
        <f aca="false">YEAR(C564)</f>
        <v>2024</v>
      </c>
    </row>
    <row r="565" customFormat="false" ht="15" hidden="false" customHeight="false" outlineLevel="0" collapsed="false">
      <c r="A565" s="7" t="s">
        <v>1785</v>
      </c>
      <c r="B565" s="7" t="s">
        <v>137</v>
      </c>
      <c r="C565" s="20" t="n">
        <v>45644</v>
      </c>
      <c r="D565" s="20" t="n">
        <v>45691</v>
      </c>
      <c r="E565" s="20"/>
      <c r="F565" s="7" t="s">
        <v>759</v>
      </c>
      <c r="G565" s="7" t="s">
        <v>136</v>
      </c>
      <c r="H565" s="7" t="s">
        <v>296</v>
      </c>
      <c r="I565" s="7" t="s">
        <v>297</v>
      </c>
      <c r="J565" s="7" t="s">
        <v>221</v>
      </c>
      <c r="K565" s="7" t="s">
        <v>289</v>
      </c>
      <c r="L565" s="7" t="s">
        <v>1786</v>
      </c>
      <c r="M565" s="7" t="s">
        <v>1278</v>
      </c>
      <c r="N565" s="16" t="n">
        <v>44928</v>
      </c>
      <c r="O565" s="7" t="s">
        <v>1279</v>
      </c>
      <c r="P565" s="22" t="n">
        <v>0.138</v>
      </c>
      <c r="Q565" s="8" t="n">
        <v>6200.06</v>
      </c>
      <c r="R565" s="8" t="n">
        <v>-6200.06</v>
      </c>
      <c r="S565" s="7" t="s">
        <v>751</v>
      </c>
      <c r="T565" s="7"/>
      <c r="U565" s="7" t="s">
        <v>1787</v>
      </c>
      <c r="V565" s="20" t="n">
        <v>45689</v>
      </c>
      <c r="W565" s="7"/>
      <c r="X565" s="7"/>
      <c r="Y565" s="7" t="s">
        <v>721</v>
      </c>
      <c r="Z565" s="7"/>
      <c r="AA565" s="23" t="n">
        <f aca="false">YEAR(C565)</f>
        <v>2024</v>
      </c>
    </row>
    <row r="566" customFormat="false" ht="15" hidden="false" customHeight="false" outlineLevel="0" collapsed="false">
      <c r="A566" s="7" t="s">
        <v>1788</v>
      </c>
      <c r="B566" s="7" t="s">
        <v>137</v>
      </c>
      <c r="C566" s="20" t="n">
        <v>45644</v>
      </c>
      <c r="D566" s="20" t="n">
        <v>45694</v>
      </c>
      <c r="E566" s="20"/>
      <c r="F566" s="7" t="s">
        <v>759</v>
      </c>
      <c r="G566" s="7" t="s">
        <v>136</v>
      </c>
      <c r="H566" s="7" t="s">
        <v>294</v>
      </c>
      <c r="I566" s="7" t="s">
        <v>295</v>
      </c>
      <c r="J566" s="7" t="s">
        <v>248</v>
      </c>
      <c r="K566" s="7" t="s">
        <v>249</v>
      </c>
      <c r="L566" s="7" t="s">
        <v>1789</v>
      </c>
      <c r="M566" s="7" t="s">
        <v>1283</v>
      </c>
      <c r="N566" s="16"/>
      <c r="O566" s="7"/>
      <c r="P566" s="22"/>
      <c r="Q566" s="8" t="n">
        <v>6220.28</v>
      </c>
      <c r="R566" s="8" t="n">
        <v>6220.28</v>
      </c>
      <c r="S566" s="7" t="s">
        <v>33</v>
      </c>
      <c r="T566" s="7" t="s">
        <v>1790</v>
      </c>
      <c r="U566" s="7"/>
      <c r="V566" s="20" t="n">
        <v>45674</v>
      </c>
      <c r="W566" s="7"/>
      <c r="X566" s="7"/>
      <c r="Y566" s="7" t="s">
        <v>721</v>
      </c>
      <c r="Z566" s="7"/>
      <c r="AA566" s="23" t="n">
        <f aca="false">YEAR(C566)</f>
        <v>2024</v>
      </c>
    </row>
    <row r="567" customFormat="false" ht="15" hidden="false" customHeight="false" outlineLevel="0" collapsed="false">
      <c r="A567" s="7" t="s">
        <v>1791</v>
      </c>
      <c r="B567" s="7" t="s">
        <v>137</v>
      </c>
      <c r="C567" s="20" t="n">
        <v>45645</v>
      </c>
      <c r="D567" s="20" t="n">
        <v>45672</v>
      </c>
      <c r="E567" s="20"/>
      <c r="F567" s="7" t="s">
        <v>759</v>
      </c>
      <c r="G567" s="7" t="s">
        <v>136</v>
      </c>
      <c r="H567" s="7" t="s">
        <v>292</v>
      </c>
      <c r="I567" s="7" t="s">
        <v>293</v>
      </c>
      <c r="J567" s="7" t="s">
        <v>248</v>
      </c>
      <c r="K567" s="7" t="s">
        <v>249</v>
      </c>
      <c r="L567" s="7" t="s">
        <v>1792</v>
      </c>
      <c r="M567" s="7" t="s">
        <v>566</v>
      </c>
      <c r="N567" s="16" t="n">
        <v>24710</v>
      </c>
      <c r="O567" s="7" t="s">
        <v>1279</v>
      </c>
      <c r="P567" s="22" t="n">
        <v>0.645</v>
      </c>
      <c r="Q567" s="8" t="n">
        <v>15938.21</v>
      </c>
      <c r="R567" s="8" t="n">
        <v>15938.21</v>
      </c>
      <c r="S567" s="7" t="s">
        <v>744</v>
      </c>
      <c r="T567" s="7" t="s">
        <v>1793</v>
      </c>
      <c r="U567" s="7"/>
      <c r="V567" s="20" t="n">
        <v>45672</v>
      </c>
      <c r="W567" s="7"/>
      <c r="X567" s="7"/>
      <c r="Y567" s="7" t="s">
        <v>721</v>
      </c>
      <c r="Z567" s="7"/>
      <c r="AA567" s="23" t="n">
        <f aca="false">YEAR(C567)</f>
        <v>2024</v>
      </c>
    </row>
    <row r="568" customFormat="false" ht="15" hidden="false" customHeight="false" outlineLevel="0" collapsed="false">
      <c r="A568" s="7" t="s">
        <v>1794</v>
      </c>
      <c r="B568" s="7" t="s">
        <v>137</v>
      </c>
      <c r="C568" s="20" t="n">
        <v>45645</v>
      </c>
      <c r="D568" s="20" t="n">
        <v>45762</v>
      </c>
      <c r="E568" s="20"/>
      <c r="F568" s="7" t="s">
        <v>759</v>
      </c>
      <c r="G568" s="7" t="s">
        <v>136</v>
      </c>
      <c r="H568" s="7" t="s">
        <v>292</v>
      </c>
      <c r="I568" s="7" t="s">
        <v>293</v>
      </c>
      <c r="J568" s="7" t="s">
        <v>248</v>
      </c>
      <c r="K568" s="7" t="s">
        <v>249</v>
      </c>
      <c r="L568" s="7" t="s">
        <v>1795</v>
      </c>
      <c r="M568" s="7" t="s">
        <v>566</v>
      </c>
      <c r="N568" s="16" t="n">
        <v>6739</v>
      </c>
      <c r="O568" s="7" t="s">
        <v>1279</v>
      </c>
      <c r="P568" s="22" t="n">
        <v>0.645</v>
      </c>
      <c r="Q568" s="8" t="n">
        <v>4346.78</v>
      </c>
      <c r="R568" s="8" t="n">
        <v>4346.78</v>
      </c>
      <c r="S568" s="7" t="s">
        <v>744</v>
      </c>
      <c r="T568" s="7" t="s">
        <v>1793</v>
      </c>
      <c r="U568" s="7"/>
      <c r="V568" s="20" t="n">
        <v>45762</v>
      </c>
      <c r="W568" s="7"/>
      <c r="X568" s="7"/>
      <c r="Y568" s="7" t="s">
        <v>721</v>
      </c>
      <c r="Z568" s="7"/>
      <c r="AA568" s="23" t="n">
        <f aca="false">YEAR(C568)</f>
        <v>2024</v>
      </c>
    </row>
    <row r="569" customFormat="false" ht="15" hidden="false" customHeight="false" outlineLevel="0" collapsed="false">
      <c r="A569" s="7" t="s">
        <v>1796</v>
      </c>
      <c r="B569" s="7" t="s">
        <v>137</v>
      </c>
      <c r="C569" s="20" t="n">
        <v>45645</v>
      </c>
      <c r="D569" s="20" t="n">
        <v>45853</v>
      </c>
      <c r="E569" s="20"/>
      <c r="F569" s="7" t="s">
        <v>759</v>
      </c>
      <c r="G569" s="7" t="s">
        <v>136</v>
      </c>
      <c r="H569" s="7" t="s">
        <v>292</v>
      </c>
      <c r="I569" s="7" t="s">
        <v>293</v>
      </c>
      <c r="J569" s="7" t="s">
        <v>248</v>
      </c>
      <c r="K569" s="7" t="s">
        <v>249</v>
      </c>
      <c r="L569" s="7" t="s">
        <v>1795</v>
      </c>
      <c r="M569" s="7" t="s">
        <v>566</v>
      </c>
      <c r="N569" s="16" t="n">
        <v>6739</v>
      </c>
      <c r="O569" s="7" t="s">
        <v>1279</v>
      </c>
      <c r="P569" s="22" t="n">
        <v>0.645</v>
      </c>
      <c r="Q569" s="8" t="n">
        <v>4346.78</v>
      </c>
      <c r="R569" s="8" t="n">
        <v>4346.78</v>
      </c>
      <c r="S569" s="7" t="s">
        <v>744</v>
      </c>
      <c r="T569" s="7" t="s">
        <v>1793</v>
      </c>
      <c r="U569" s="7"/>
      <c r="V569" s="20" t="n">
        <v>45853</v>
      </c>
      <c r="W569" s="7"/>
      <c r="X569" s="7"/>
      <c r="Y569" s="7" t="s">
        <v>721</v>
      </c>
      <c r="Z569" s="7"/>
      <c r="AA569" s="23" t="n">
        <f aca="false">YEAR(C569)</f>
        <v>2024</v>
      </c>
    </row>
    <row r="570" customFormat="false" ht="15" hidden="false" customHeight="false" outlineLevel="0" collapsed="false">
      <c r="A570" s="7" t="s">
        <v>1797</v>
      </c>
      <c r="B570" s="7" t="s">
        <v>137</v>
      </c>
      <c r="C570" s="20" t="n">
        <v>45645</v>
      </c>
      <c r="D570" s="20" t="n">
        <v>45956</v>
      </c>
      <c r="E570" s="20"/>
      <c r="F570" s="7" t="s">
        <v>759</v>
      </c>
      <c r="G570" s="7" t="s">
        <v>136</v>
      </c>
      <c r="H570" s="7" t="s">
        <v>292</v>
      </c>
      <c r="I570" s="7" t="s">
        <v>293</v>
      </c>
      <c r="J570" s="7" t="s">
        <v>248</v>
      </c>
      <c r="K570" s="7" t="s">
        <v>249</v>
      </c>
      <c r="L570" s="7" t="s">
        <v>1795</v>
      </c>
      <c r="M570" s="7" t="s">
        <v>566</v>
      </c>
      <c r="N570" s="16" t="n">
        <v>6739</v>
      </c>
      <c r="O570" s="7" t="s">
        <v>1279</v>
      </c>
      <c r="P570" s="22" t="n">
        <v>0.645</v>
      </c>
      <c r="Q570" s="8" t="n">
        <v>4346.78</v>
      </c>
      <c r="R570" s="8" t="n">
        <v>4346.78</v>
      </c>
      <c r="S570" s="7" t="s">
        <v>744</v>
      </c>
      <c r="T570" s="7" t="s">
        <v>1793</v>
      </c>
      <c r="U570" s="7"/>
      <c r="V570" s="20" t="n">
        <v>45956</v>
      </c>
      <c r="W570" s="7"/>
      <c r="X570" s="7"/>
      <c r="Y570" s="7" t="s">
        <v>721</v>
      </c>
      <c r="Z570" s="7"/>
      <c r="AA570" s="23" t="n">
        <f aca="false">YEAR(C570)</f>
        <v>2024</v>
      </c>
    </row>
    <row r="571" customFormat="false" ht="15" hidden="false" customHeight="false" outlineLevel="0" collapsed="false">
      <c r="A571" s="7" t="s">
        <v>1798</v>
      </c>
      <c r="B571" s="7" t="s">
        <v>137</v>
      </c>
      <c r="C571" s="20" t="n">
        <v>45646</v>
      </c>
      <c r="D571" s="20" t="n">
        <v>45646</v>
      </c>
      <c r="E571" s="20"/>
      <c r="F571" s="7" t="s">
        <v>759</v>
      </c>
      <c r="G571" s="7" t="s">
        <v>153</v>
      </c>
      <c r="H571" s="7" t="s">
        <v>299</v>
      </c>
      <c r="I571" s="7" t="s">
        <v>298</v>
      </c>
      <c r="J571" s="7" t="s">
        <v>229</v>
      </c>
      <c r="K571" s="7" t="s">
        <v>298</v>
      </c>
      <c r="L571" s="7" t="s">
        <v>1799</v>
      </c>
      <c r="M571" s="7" t="s">
        <v>633</v>
      </c>
      <c r="N571" s="16"/>
      <c r="O571" s="7"/>
      <c r="P571" s="22"/>
      <c r="Q571" s="8" t="n">
        <v>3508.65</v>
      </c>
      <c r="R571" s="8" t="n">
        <v>-3508.65</v>
      </c>
      <c r="S571" s="7" t="s">
        <v>33</v>
      </c>
      <c r="T571" s="7"/>
      <c r="U571" s="7"/>
      <c r="V571" s="20"/>
      <c r="W571" s="7"/>
      <c r="X571" s="7"/>
      <c r="Y571" s="7"/>
      <c r="Z571" s="7"/>
      <c r="AA571" s="23" t="n">
        <f aca="false">YEAR(C571)</f>
        <v>2024</v>
      </c>
    </row>
    <row r="572" customFormat="false" ht="15" hidden="false" customHeight="false" outlineLevel="0" collapsed="false">
      <c r="A572" s="7" t="s">
        <v>1800</v>
      </c>
      <c r="B572" s="7" t="s">
        <v>137</v>
      </c>
      <c r="C572" s="20" t="n">
        <v>45652</v>
      </c>
      <c r="D572" s="20" t="n">
        <v>45679</v>
      </c>
      <c r="E572" s="20"/>
      <c r="F572" s="7" t="s">
        <v>759</v>
      </c>
      <c r="G572" s="7" t="s">
        <v>153</v>
      </c>
      <c r="H572" s="7" t="s">
        <v>242</v>
      </c>
      <c r="I572" s="7" t="s">
        <v>243</v>
      </c>
      <c r="J572" s="7" t="s">
        <v>229</v>
      </c>
      <c r="K572" s="7" t="s">
        <v>241</v>
      </c>
      <c r="L572" s="7" t="s">
        <v>571</v>
      </c>
      <c r="M572" s="7"/>
      <c r="N572" s="16"/>
      <c r="O572" s="7"/>
      <c r="P572" s="22"/>
      <c r="Q572" s="8" t="n">
        <v>275.89</v>
      </c>
      <c r="R572" s="8" t="n">
        <v>-275.89</v>
      </c>
      <c r="S572" s="7" t="s">
        <v>765</v>
      </c>
      <c r="T572" s="7"/>
      <c r="U572" s="7"/>
      <c r="V572" s="20"/>
      <c r="W572" s="7"/>
      <c r="X572" s="7"/>
      <c r="Y572" s="7"/>
      <c r="Z572" s="7"/>
      <c r="AA572" s="23" t="n">
        <f aca="false">YEAR(C572)</f>
        <v>2024</v>
      </c>
    </row>
    <row r="573" customFormat="false" ht="15" hidden="false" customHeight="false" outlineLevel="0" collapsed="false">
      <c r="A573" s="7" t="s">
        <v>1801</v>
      </c>
      <c r="B573" s="7" t="s">
        <v>137</v>
      </c>
      <c r="C573" s="20" t="n">
        <v>45657</v>
      </c>
      <c r="D573" s="20" t="n">
        <v>45657</v>
      </c>
      <c r="E573" s="20"/>
      <c r="F573" s="7" t="s">
        <v>759</v>
      </c>
      <c r="G573" s="7" t="s">
        <v>153</v>
      </c>
      <c r="H573" s="7" t="s">
        <v>246</v>
      </c>
      <c r="I573" s="7" t="s">
        <v>247</v>
      </c>
      <c r="J573" s="7" t="s">
        <v>236</v>
      </c>
      <c r="K573" s="7" t="s">
        <v>189</v>
      </c>
      <c r="L573" s="7" t="s">
        <v>808</v>
      </c>
      <c r="M573" s="7" t="s">
        <v>556</v>
      </c>
      <c r="N573" s="16"/>
      <c r="O573" s="7"/>
      <c r="P573" s="22"/>
      <c r="Q573" s="8" t="n">
        <v>1097.32</v>
      </c>
      <c r="R573" s="8" t="n">
        <v>-1097.32</v>
      </c>
      <c r="S573" s="7" t="s">
        <v>775</v>
      </c>
      <c r="T573" s="7"/>
      <c r="U573" s="7"/>
      <c r="V573" s="20"/>
      <c r="W573" s="7"/>
      <c r="X573" s="7" t="s">
        <v>784</v>
      </c>
      <c r="Y573" s="7"/>
      <c r="Z573" s="7"/>
      <c r="AA573" s="23" t="n">
        <f aca="false">YEAR(C573)</f>
        <v>2024</v>
      </c>
    </row>
    <row r="574" customFormat="false" ht="15" hidden="false" customHeight="false" outlineLevel="0" collapsed="false">
      <c r="A574" s="7" t="s">
        <v>1802</v>
      </c>
      <c r="B574" s="7" t="s">
        <v>137</v>
      </c>
      <c r="C574" s="20" t="n">
        <v>45657</v>
      </c>
      <c r="D574" s="20" t="n">
        <v>45657</v>
      </c>
      <c r="E574" s="20"/>
      <c r="F574" s="7" t="s">
        <v>759</v>
      </c>
      <c r="G574" s="7" t="s">
        <v>153</v>
      </c>
      <c r="H574" s="7" t="s">
        <v>574</v>
      </c>
      <c r="I574" s="7" t="s">
        <v>364</v>
      </c>
      <c r="J574" s="7" t="s">
        <v>761</v>
      </c>
      <c r="K574" s="7" t="s">
        <v>772</v>
      </c>
      <c r="L574" s="7" t="s">
        <v>575</v>
      </c>
      <c r="M574" s="7" t="s">
        <v>556</v>
      </c>
      <c r="N574" s="16"/>
      <c r="O574" s="7"/>
      <c r="P574" s="22"/>
      <c r="Q574" s="8" t="n">
        <v>28000</v>
      </c>
      <c r="R574" s="8" t="n">
        <v>-28000</v>
      </c>
      <c r="S574" s="7" t="s">
        <v>783</v>
      </c>
      <c r="T574" s="7"/>
      <c r="U574" s="7"/>
      <c r="V574" s="20"/>
      <c r="W574" s="7"/>
      <c r="X574" s="7" t="s">
        <v>784</v>
      </c>
      <c r="Y574" s="7"/>
      <c r="Z574" s="7"/>
      <c r="AA574" s="23" t="n">
        <f aca="false">YEAR(C574)</f>
        <v>2024</v>
      </c>
    </row>
    <row r="575" customFormat="false" ht="15" hidden="false" customHeight="false" outlineLevel="0" collapsed="false">
      <c r="A575" s="7" t="s">
        <v>1803</v>
      </c>
      <c r="B575" s="7" t="s">
        <v>137</v>
      </c>
      <c r="C575" s="20" t="n">
        <v>45657</v>
      </c>
      <c r="D575" s="20" t="n">
        <v>45684</v>
      </c>
      <c r="E575" s="20"/>
      <c r="F575" s="7" t="s">
        <v>759</v>
      </c>
      <c r="G575" s="7" t="s">
        <v>136</v>
      </c>
      <c r="H575" s="7" t="s">
        <v>299</v>
      </c>
      <c r="I575" s="7" t="s">
        <v>298</v>
      </c>
      <c r="J575" s="7" t="s">
        <v>229</v>
      </c>
      <c r="K575" s="7" t="s">
        <v>298</v>
      </c>
      <c r="L575" s="7" t="s">
        <v>1804</v>
      </c>
      <c r="M575" s="7" t="s">
        <v>755</v>
      </c>
      <c r="N575" s="16"/>
      <c r="O575" s="7"/>
      <c r="P575" s="22"/>
      <c r="Q575" s="8" t="n">
        <v>443.93</v>
      </c>
      <c r="R575" s="8" t="n">
        <v>-443.93</v>
      </c>
      <c r="S575" s="7" t="s">
        <v>33</v>
      </c>
      <c r="T575" s="7"/>
      <c r="U575" s="7"/>
      <c r="V575" s="20"/>
      <c r="W575" s="7"/>
      <c r="X575" s="7"/>
      <c r="Y575" s="7"/>
      <c r="Z575" s="7"/>
      <c r="AA575" s="23" t="n">
        <f aca="false">YEAR(C575)</f>
        <v>2024</v>
      </c>
    </row>
    <row r="576" customFormat="false" ht="15" hidden="false" customHeight="false" outlineLevel="0" collapsed="false">
      <c r="A576" s="7" t="s">
        <v>1805</v>
      </c>
      <c r="B576" s="7" t="s">
        <v>137</v>
      </c>
      <c r="C576" s="20" t="n">
        <v>45657</v>
      </c>
      <c r="D576" s="20" t="n">
        <v>45787</v>
      </c>
      <c r="E576" s="20"/>
      <c r="F576" s="7" t="s">
        <v>759</v>
      </c>
      <c r="G576" s="7" t="s">
        <v>153</v>
      </c>
      <c r="H576" s="7" t="s">
        <v>299</v>
      </c>
      <c r="I576" s="7" t="s">
        <v>298</v>
      </c>
      <c r="J576" s="7" t="s">
        <v>229</v>
      </c>
      <c r="K576" s="7" t="s">
        <v>298</v>
      </c>
      <c r="L576" s="7" t="s">
        <v>1806</v>
      </c>
      <c r="M576" s="7" t="s">
        <v>633</v>
      </c>
      <c r="N576" s="16"/>
      <c r="O576" s="7"/>
      <c r="P576" s="22"/>
      <c r="Q576" s="8" t="n">
        <v>3508.65</v>
      </c>
      <c r="R576" s="8" t="n">
        <v>-3508.65</v>
      </c>
      <c r="S576" s="7" t="s">
        <v>33</v>
      </c>
      <c r="T576" s="7"/>
      <c r="U576" s="7"/>
      <c r="V576" s="20"/>
      <c r="W576" s="7"/>
      <c r="X576" s="7"/>
      <c r="Y576" s="7"/>
      <c r="Z576" s="7"/>
      <c r="AA576" s="23" t="n">
        <f aca="false">YEAR(C576)</f>
        <v>2024</v>
      </c>
    </row>
    <row r="577" customFormat="false" ht="15" hidden="false" customHeight="false" outlineLevel="0" collapsed="false">
      <c r="A577" s="7" t="s">
        <v>1807</v>
      </c>
      <c r="B577" s="7" t="s">
        <v>137</v>
      </c>
      <c r="C577" s="20" t="n">
        <v>45658</v>
      </c>
      <c r="D577" s="20" t="n">
        <v>45658</v>
      </c>
      <c r="E577" s="20"/>
      <c r="F577" s="7" t="s">
        <v>759</v>
      </c>
      <c r="G577" s="7" t="s">
        <v>153</v>
      </c>
      <c r="H577" s="7" t="s">
        <v>545</v>
      </c>
      <c r="I577" s="7" t="s">
        <v>760</v>
      </c>
      <c r="J577" s="7" t="s">
        <v>761</v>
      </c>
      <c r="K577" s="7" t="s">
        <v>762</v>
      </c>
      <c r="L577" s="7" t="s">
        <v>546</v>
      </c>
      <c r="M577" s="7"/>
      <c r="N577" s="16"/>
      <c r="O577" s="7"/>
      <c r="P577" s="22"/>
      <c r="Q577" s="8" t="n">
        <v>4200</v>
      </c>
      <c r="R577" s="8" t="n">
        <v>-4200</v>
      </c>
      <c r="S577" s="7" t="s">
        <v>763</v>
      </c>
      <c r="T577" s="7"/>
      <c r="U577" s="7"/>
      <c r="V577" s="20"/>
      <c r="W577" s="7"/>
      <c r="X577" s="7"/>
      <c r="Y577" s="7"/>
      <c r="Z577" s="7"/>
      <c r="AA577" s="23" t="n">
        <f aca="false">YEAR(C577)</f>
        <v>2025</v>
      </c>
    </row>
    <row r="578" customFormat="false" ht="15" hidden="false" customHeight="false" outlineLevel="0" collapsed="false">
      <c r="A578" s="7" t="s">
        <v>1808</v>
      </c>
      <c r="B578" s="7" t="s">
        <v>137</v>
      </c>
      <c r="C578" s="20" t="n">
        <v>45665</v>
      </c>
      <c r="D578" s="20" t="n">
        <v>45710</v>
      </c>
      <c r="E578" s="20"/>
      <c r="F578" s="7" t="s">
        <v>759</v>
      </c>
      <c r="G578" s="7" t="s">
        <v>153</v>
      </c>
      <c r="H578" s="7" t="s">
        <v>244</v>
      </c>
      <c r="I578" s="7" t="s">
        <v>245</v>
      </c>
      <c r="J578" s="7" t="s">
        <v>229</v>
      </c>
      <c r="K578" s="7" t="s">
        <v>233</v>
      </c>
      <c r="L578" s="7" t="s">
        <v>570</v>
      </c>
      <c r="M578" s="7"/>
      <c r="N578" s="16"/>
      <c r="O578" s="7"/>
      <c r="P578" s="22"/>
      <c r="Q578" s="8" t="n">
        <v>165</v>
      </c>
      <c r="R578" s="8" t="n">
        <v>-165</v>
      </c>
      <c r="S578" s="7" t="s">
        <v>765</v>
      </c>
      <c r="T578" s="7"/>
      <c r="U578" s="7"/>
      <c r="V578" s="20"/>
      <c r="W578" s="7"/>
      <c r="X578" s="7"/>
      <c r="Y578" s="7"/>
      <c r="Z578" s="7"/>
      <c r="AA578" s="23" t="n">
        <f aca="false">YEAR(C578)</f>
        <v>2025</v>
      </c>
    </row>
    <row r="579" customFormat="false" ht="15" hidden="false" customHeight="false" outlineLevel="0" collapsed="false">
      <c r="A579" s="7" t="s">
        <v>1809</v>
      </c>
      <c r="B579" s="7" t="s">
        <v>137</v>
      </c>
      <c r="C579" s="20" t="n">
        <v>45667</v>
      </c>
      <c r="D579" s="20" t="n">
        <v>45667</v>
      </c>
      <c r="E579" s="20"/>
      <c r="F579" s="7" t="s">
        <v>759</v>
      </c>
      <c r="G579" s="7" t="s">
        <v>153</v>
      </c>
      <c r="H579" s="7" t="s">
        <v>237</v>
      </c>
      <c r="I579" s="7" t="s">
        <v>238</v>
      </c>
      <c r="J579" s="7" t="s">
        <v>236</v>
      </c>
      <c r="K579" s="7" t="s">
        <v>189</v>
      </c>
      <c r="L579" s="7" t="s">
        <v>1810</v>
      </c>
      <c r="M579" s="7" t="s">
        <v>768</v>
      </c>
      <c r="N579" s="16"/>
      <c r="O579" s="7"/>
      <c r="P579" s="22"/>
      <c r="Q579" s="8" t="n">
        <v>47.94</v>
      </c>
      <c r="R579" s="8" t="n">
        <v>-47.94</v>
      </c>
      <c r="S579" s="7" t="s">
        <v>744</v>
      </c>
      <c r="T579" s="7"/>
      <c r="U579" s="7"/>
      <c r="V579" s="20"/>
      <c r="W579" s="7"/>
      <c r="X579" s="7" t="s">
        <v>769</v>
      </c>
      <c r="Y579" s="7"/>
      <c r="Z579" s="7"/>
      <c r="AA579" s="23" t="n">
        <f aca="false">YEAR(C579)</f>
        <v>2025</v>
      </c>
    </row>
    <row r="580" customFormat="false" ht="15" hidden="false" customHeight="false" outlineLevel="0" collapsed="false">
      <c r="A580" s="7" t="s">
        <v>1811</v>
      </c>
      <c r="B580" s="7" t="s">
        <v>137</v>
      </c>
      <c r="C580" s="20" t="n">
        <v>45667</v>
      </c>
      <c r="D580" s="20" t="n">
        <v>45667</v>
      </c>
      <c r="E580" s="20"/>
      <c r="F580" s="7" t="s">
        <v>759</v>
      </c>
      <c r="G580" s="7" t="s">
        <v>153</v>
      </c>
      <c r="H580" s="7" t="s">
        <v>559</v>
      </c>
      <c r="I580" s="7" t="s">
        <v>771</v>
      </c>
      <c r="J580" s="7" t="s">
        <v>761</v>
      </c>
      <c r="K580" s="7" t="s">
        <v>772</v>
      </c>
      <c r="L580" s="7" t="s">
        <v>1812</v>
      </c>
      <c r="M580" s="7" t="s">
        <v>768</v>
      </c>
      <c r="N580" s="16"/>
      <c r="O580" s="7"/>
      <c r="P580" s="22"/>
      <c r="Q580" s="8" t="n">
        <v>797.15</v>
      </c>
      <c r="R580" s="8" t="n">
        <v>-797.15</v>
      </c>
      <c r="S580" s="7" t="s">
        <v>744</v>
      </c>
      <c r="T580" s="7"/>
      <c r="U580" s="7"/>
      <c r="V580" s="20"/>
      <c r="W580" s="7"/>
      <c r="X580" s="7" t="s">
        <v>769</v>
      </c>
      <c r="Y580" s="7"/>
      <c r="Z580" s="7"/>
      <c r="AA580" s="23" t="n">
        <f aca="false">YEAR(C580)</f>
        <v>2025</v>
      </c>
    </row>
    <row r="581" customFormat="false" ht="15" hidden="false" customHeight="false" outlineLevel="0" collapsed="false">
      <c r="A581" s="7" t="s">
        <v>1813</v>
      </c>
      <c r="B581" s="7" t="s">
        <v>137</v>
      </c>
      <c r="C581" s="20" t="n">
        <v>45669</v>
      </c>
      <c r="D581" s="20" t="n">
        <v>45669</v>
      </c>
      <c r="E581" s="20"/>
      <c r="F581" s="7" t="s">
        <v>759</v>
      </c>
      <c r="G581" s="7" t="s">
        <v>153</v>
      </c>
      <c r="H581" s="7" t="s">
        <v>240</v>
      </c>
      <c r="I581" s="7" t="s">
        <v>239</v>
      </c>
      <c r="J581" s="7" t="s">
        <v>229</v>
      </c>
      <c r="K581" s="7" t="s">
        <v>239</v>
      </c>
      <c r="L581" s="7" t="s">
        <v>548</v>
      </c>
      <c r="M581" s="7" t="s">
        <v>547</v>
      </c>
      <c r="N581" s="16"/>
      <c r="O581" s="7"/>
      <c r="P581" s="22"/>
      <c r="Q581" s="8" t="n">
        <v>436.2</v>
      </c>
      <c r="R581" s="8" t="n">
        <v>-436.2</v>
      </c>
      <c r="S581" s="7" t="s">
        <v>775</v>
      </c>
      <c r="T581" s="7"/>
      <c r="U581" s="7"/>
      <c r="V581" s="20"/>
      <c r="W581" s="7"/>
      <c r="X581" s="7"/>
      <c r="Y581" s="7"/>
      <c r="Z581" s="7"/>
      <c r="AA581" s="23" t="n">
        <f aca="false">YEAR(C581)</f>
        <v>2025</v>
      </c>
    </row>
    <row r="582" customFormat="false" ht="15" hidden="false" customHeight="false" outlineLevel="0" collapsed="false">
      <c r="A582" s="7" t="s">
        <v>1814</v>
      </c>
      <c r="B582" s="7" t="s">
        <v>137</v>
      </c>
      <c r="C582" s="20" t="n">
        <v>45671</v>
      </c>
      <c r="D582" s="20" t="n">
        <v>45671</v>
      </c>
      <c r="E582" s="20"/>
      <c r="F582" s="7" t="s">
        <v>759</v>
      </c>
      <c r="G582" s="7" t="s">
        <v>149</v>
      </c>
      <c r="H582" s="7" t="s">
        <v>237</v>
      </c>
      <c r="I582" s="7" t="s">
        <v>238</v>
      </c>
      <c r="J582" s="7" t="s">
        <v>236</v>
      </c>
      <c r="K582" s="7" t="s">
        <v>189</v>
      </c>
      <c r="L582" s="7" t="s">
        <v>1815</v>
      </c>
      <c r="M582" s="7" t="s">
        <v>778</v>
      </c>
      <c r="N582" s="16"/>
      <c r="O582" s="7"/>
      <c r="P582" s="22"/>
      <c r="Q582" s="8" t="n">
        <v>9597.37</v>
      </c>
      <c r="R582" s="8" t="n">
        <v>-9597.37</v>
      </c>
      <c r="S582" s="7" t="s">
        <v>744</v>
      </c>
      <c r="T582" s="7"/>
      <c r="U582" s="7"/>
      <c r="V582" s="20"/>
      <c r="W582" s="7"/>
      <c r="X582" s="7" t="s">
        <v>779</v>
      </c>
      <c r="Y582" s="7"/>
      <c r="Z582" s="7"/>
      <c r="AA582" s="23" t="n">
        <f aca="false">YEAR(C582)</f>
        <v>2025</v>
      </c>
    </row>
    <row r="583" customFormat="false" ht="15" hidden="false" customHeight="false" outlineLevel="0" collapsed="false">
      <c r="A583" s="7" t="s">
        <v>1816</v>
      </c>
      <c r="B583" s="7" t="s">
        <v>137</v>
      </c>
      <c r="C583" s="20" t="n">
        <v>45671</v>
      </c>
      <c r="D583" s="20" t="n">
        <v>45671</v>
      </c>
      <c r="E583" s="20"/>
      <c r="F583" s="7" t="s">
        <v>759</v>
      </c>
      <c r="G583" s="7" t="s">
        <v>149</v>
      </c>
      <c r="H583" s="7" t="s">
        <v>559</v>
      </c>
      <c r="I583" s="7" t="s">
        <v>771</v>
      </c>
      <c r="J583" s="7" t="s">
        <v>761</v>
      </c>
      <c r="K583" s="7" t="s">
        <v>772</v>
      </c>
      <c r="L583" s="7" t="s">
        <v>1817</v>
      </c>
      <c r="M583" s="7" t="s">
        <v>778</v>
      </c>
      <c r="N583" s="16"/>
      <c r="O583" s="7"/>
      <c r="P583" s="22"/>
      <c r="Q583" s="8" t="n">
        <v>35517.47</v>
      </c>
      <c r="R583" s="8" t="n">
        <v>-35517.47</v>
      </c>
      <c r="S583" s="7" t="s">
        <v>744</v>
      </c>
      <c r="T583" s="7"/>
      <c r="U583" s="7"/>
      <c r="V583" s="20"/>
      <c r="W583" s="7"/>
      <c r="X583" s="7" t="s">
        <v>779</v>
      </c>
      <c r="Y583" s="7"/>
      <c r="Z583" s="7"/>
      <c r="AA583" s="23" t="n">
        <f aca="false">YEAR(C583)</f>
        <v>2025</v>
      </c>
    </row>
    <row r="584" customFormat="false" ht="15" hidden="false" customHeight="false" outlineLevel="0" collapsed="false">
      <c r="A584" s="7" t="s">
        <v>1818</v>
      </c>
      <c r="B584" s="7" t="s">
        <v>137</v>
      </c>
      <c r="C584" s="20" t="n">
        <v>45671</v>
      </c>
      <c r="D584" s="20" t="n">
        <v>45671</v>
      </c>
      <c r="E584" s="20"/>
      <c r="F584" s="7" t="s">
        <v>759</v>
      </c>
      <c r="G584" s="7" t="s">
        <v>153</v>
      </c>
      <c r="H584" s="7" t="s">
        <v>561</v>
      </c>
      <c r="I584" s="7" t="s">
        <v>363</v>
      </c>
      <c r="J584" s="7" t="s">
        <v>761</v>
      </c>
      <c r="K584" s="7" t="s">
        <v>772</v>
      </c>
      <c r="L584" s="7" t="s">
        <v>562</v>
      </c>
      <c r="M584" s="7" t="s">
        <v>556</v>
      </c>
      <c r="N584" s="16"/>
      <c r="O584" s="7"/>
      <c r="P584" s="22"/>
      <c r="Q584" s="8" t="n">
        <v>14000</v>
      </c>
      <c r="R584" s="8" t="n">
        <v>14000</v>
      </c>
      <c r="S584" s="7" t="s">
        <v>783</v>
      </c>
      <c r="T584" s="7"/>
      <c r="U584" s="7"/>
      <c r="V584" s="20"/>
      <c r="W584" s="7"/>
      <c r="X584" s="7" t="s">
        <v>784</v>
      </c>
      <c r="Y584" s="7"/>
      <c r="Z584" s="7"/>
      <c r="AA584" s="23" t="n">
        <f aca="false">YEAR(C584)</f>
        <v>2025</v>
      </c>
    </row>
    <row r="585" customFormat="false" ht="15" hidden="false" customHeight="false" outlineLevel="0" collapsed="false">
      <c r="A585" s="7" t="s">
        <v>1819</v>
      </c>
      <c r="B585" s="7" t="s">
        <v>137</v>
      </c>
      <c r="C585" s="20" t="n">
        <v>45672</v>
      </c>
      <c r="D585" s="20" t="n">
        <v>45672</v>
      </c>
      <c r="E585" s="20"/>
      <c r="F585" s="7" t="s">
        <v>759</v>
      </c>
      <c r="G585" s="7" t="s">
        <v>153</v>
      </c>
      <c r="H585" s="7" t="s">
        <v>786</v>
      </c>
      <c r="I585" s="7" t="s">
        <v>787</v>
      </c>
      <c r="J585" s="7" t="s">
        <v>761</v>
      </c>
      <c r="K585" s="7" t="s">
        <v>762</v>
      </c>
      <c r="L585" s="7" t="s">
        <v>788</v>
      </c>
      <c r="M585" s="7"/>
      <c r="N585" s="16"/>
      <c r="O585" s="7"/>
      <c r="P585" s="22"/>
      <c r="Q585" s="8" t="n">
        <v>1500</v>
      </c>
      <c r="R585" s="8" t="n">
        <v>-1500</v>
      </c>
      <c r="S585" s="7" t="s">
        <v>789</v>
      </c>
      <c r="T585" s="7"/>
      <c r="U585" s="7"/>
      <c r="V585" s="20"/>
      <c r="W585" s="7"/>
      <c r="X585" s="7"/>
      <c r="Y585" s="7"/>
      <c r="Z585" s="7"/>
      <c r="AA585" s="23" t="n">
        <f aca="false">YEAR(C585)</f>
        <v>2025</v>
      </c>
    </row>
    <row r="586" customFormat="false" ht="15" hidden="false" customHeight="false" outlineLevel="0" collapsed="false">
      <c r="A586" s="7" t="s">
        <v>1820</v>
      </c>
      <c r="B586" s="7" t="s">
        <v>137</v>
      </c>
      <c r="C586" s="20" t="n">
        <v>45672</v>
      </c>
      <c r="D586" s="20" t="n">
        <v>45681</v>
      </c>
      <c r="E586" s="20"/>
      <c r="F586" s="7" t="s">
        <v>759</v>
      </c>
      <c r="G586" s="7" t="s">
        <v>146</v>
      </c>
      <c r="H586" s="7" t="s">
        <v>250</v>
      </c>
      <c r="I586" s="7" t="s">
        <v>251</v>
      </c>
      <c r="J586" s="7" t="s">
        <v>248</v>
      </c>
      <c r="K586" s="7" t="s">
        <v>249</v>
      </c>
      <c r="L586" s="7" t="s">
        <v>1821</v>
      </c>
      <c r="M586" s="7" t="s">
        <v>626</v>
      </c>
      <c r="N586" s="16" t="n">
        <v>1472</v>
      </c>
      <c r="O586" s="7" t="s">
        <v>798</v>
      </c>
      <c r="P586" s="22" t="n">
        <v>5.22</v>
      </c>
      <c r="Q586" s="8" t="n">
        <v>7683.84</v>
      </c>
      <c r="R586" s="8" t="n">
        <v>7683.84</v>
      </c>
      <c r="S586" s="7" t="s">
        <v>33</v>
      </c>
      <c r="T586" s="7" t="s">
        <v>1822</v>
      </c>
      <c r="U586" s="7"/>
      <c r="V586" s="20" t="n">
        <v>45672</v>
      </c>
      <c r="W586" s="7"/>
      <c r="X586" s="7"/>
      <c r="Y586" s="7" t="s">
        <v>705</v>
      </c>
      <c r="Z586" s="7"/>
      <c r="AA586" s="23" t="n">
        <f aca="false">YEAR(C586)</f>
        <v>2025</v>
      </c>
    </row>
    <row r="587" customFormat="false" ht="15" hidden="false" customHeight="false" outlineLevel="0" collapsed="false">
      <c r="A587" s="7" t="s">
        <v>1823</v>
      </c>
      <c r="B587" s="7" t="s">
        <v>137</v>
      </c>
      <c r="C587" s="20" t="n">
        <v>45673</v>
      </c>
      <c r="D587" s="20" t="n">
        <v>45673</v>
      </c>
      <c r="E587" s="20"/>
      <c r="F587" s="7" t="s">
        <v>759</v>
      </c>
      <c r="G587" s="7" t="s">
        <v>149</v>
      </c>
      <c r="H587" s="7" t="s">
        <v>237</v>
      </c>
      <c r="I587" s="7" t="s">
        <v>238</v>
      </c>
      <c r="J587" s="7" t="s">
        <v>236</v>
      </c>
      <c r="K587" s="7" t="s">
        <v>189</v>
      </c>
      <c r="L587" s="7" t="s">
        <v>1824</v>
      </c>
      <c r="M587" s="7" t="s">
        <v>556</v>
      </c>
      <c r="N587" s="16"/>
      <c r="O587" s="7"/>
      <c r="P587" s="22"/>
      <c r="Q587" s="8" t="n">
        <v>403.36</v>
      </c>
      <c r="R587" s="8" t="n">
        <v>-403.36</v>
      </c>
      <c r="S587" s="7" t="s">
        <v>744</v>
      </c>
      <c r="T587" s="7"/>
      <c r="U587" s="7"/>
      <c r="V587" s="20"/>
      <c r="W587" s="7"/>
      <c r="X587" s="7" t="s">
        <v>1552</v>
      </c>
      <c r="Y587" s="7"/>
      <c r="Z587" s="7"/>
      <c r="AA587" s="23" t="n">
        <f aca="false">YEAR(C587)</f>
        <v>2025</v>
      </c>
    </row>
    <row r="588" customFormat="false" ht="15" hidden="false" customHeight="false" outlineLevel="0" collapsed="false">
      <c r="A588" s="7" t="s">
        <v>1825</v>
      </c>
      <c r="B588" s="7" t="s">
        <v>137</v>
      </c>
      <c r="C588" s="20" t="n">
        <v>45673</v>
      </c>
      <c r="D588" s="20" t="n">
        <v>45673</v>
      </c>
      <c r="E588" s="20"/>
      <c r="F588" s="7" t="s">
        <v>759</v>
      </c>
      <c r="G588" s="7" t="s">
        <v>149</v>
      </c>
      <c r="H588" s="7" t="s">
        <v>559</v>
      </c>
      <c r="I588" s="7" t="s">
        <v>771</v>
      </c>
      <c r="J588" s="7" t="s">
        <v>761</v>
      </c>
      <c r="K588" s="7" t="s">
        <v>772</v>
      </c>
      <c r="L588" s="7" t="s">
        <v>1826</v>
      </c>
      <c r="M588" s="7" t="s">
        <v>556</v>
      </c>
      <c r="N588" s="16"/>
      <c r="O588" s="7"/>
      <c r="P588" s="22"/>
      <c r="Q588" s="8" t="n">
        <v>1329.13</v>
      </c>
      <c r="R588" s="8" t="n">
        <v>-1329.13</v>
      </c>
      <c r="S588" s="7" t="s">
        <v>744</v>
      </c>
      <c r="T588" s="7"/>
      <c r="U588" s="7"/>
      <c r="V588" s="20"/>
      <c r="W588" s="7"/>
      <c r="X588" s="7" t="s">
        <v>1552</v>
      </c>
      <c r="Y588" s="7"/>
      <c r="Z588" s="7"/>
      <c r="AA588" s="23" t="n">
        <f aca="false">YEAR(C588)</f>
        <v>2025</v>
      </c>
    </row>
    <row r="589" customFormat="false" ht="15" hidden="false" customHeight="false" outlineLevel="0" collapsed="false">
      <c r="A589" s="7" t="s">
        <v>1827</v>
      </c>
      <c r="B589" s="7" t="s">
        <v>137</v>
      </c>
      <c r="C589" s="20" t="n">
        <v>45675</v>
      </c>
      <c r="D589" s="20" t="n">
        <v>45675</v>
      </c>
      <c r="E589" s="20"/>
      <c r="F589" s="7" t="s">
        <v>759</v>
      </c>
      <c r="G589" s="7" t="s">
        <v>149</v>
      </c>
      <c r="H589" s="7" t="s">
        <v>231</v>
      </c>
      <c r="I589" s="7" t="s">
        <v>232</v>
      </c>
      <c r="J589" s="7" t="s">
        <v>229</v>
      </c>
      <c r="K589" s="7" t="s">
        <v>230</v>
      </c>
      <c r="L589" s="7" t="s">
        <v>1828</v>
      </c>
      <c r="M589" s="7" t="s">
        <v>792</v>
      </c>
      <c r="N589" s="16"/>
      <c r="O589" s="7"/>
      <c r="P589" s="22"/>
      <c r="Q589" s="8" t="n">
        <v>7920</v>
      </c>
      <c r="R589" s="8" t="n">
        <v>-7920</v>
      </c>
      <c r="S589" s="7" t="s">
        <v>33</v>
      </c>
      <c r="T589" s="7"/>
      <c r="U589" s="7"/>
      <c r="V589" s="20"/>
      <c r="W589" s="7"/>
      <c r="X589" s="7"/>
      <c r="Y589" s="7"/>
      <c r="Z589" s="7"/>
      <c r="AA589" s="23" t="n">
        <f aca="false">YEAR(C589)</f>
        <v>2025</v>
      </c>
    </row>
    <row r="590" customFormat="false" ht="15" hidden="false" customHeight="false" outlineLevel="0" collapsed="false">
      <c r="A590" s="7" t="s">
        <v>1829</v>
      </c>
      <c r="B590" s="7" t="s">
        <v>137</v>
      </c>
      <c r="C590" s="20" t="n">
        <v>45675</v>
      </c>
      <c r="D590" s="20" t="n">
        <v>45675</v>
      </c>
      <c r="E590" s="20"/>
      <c r="F590" s="7" t="s">
        <v>759</v>
      </c>
      <c r="G590" s="7" t="s">
        <v>153</v>
      </c>
      <c r="H590" s="7" t="s">
        <v>231</v>
      </c>
      <c r="I590" s="7" t="s">
        <v>232</v>
      </c>
      <c r="J590" s="7" t="s">
        <v>229</v>
      </c>
      <c r="K590" s="7" t="s">
        <v>230</v>
      </c>
      <c r="L590" s="7" t="s">
        <v>794</v>
      </c>
      <c r="M590" s="7" t="s">
        <v>792</v>
      </c>
      <c r="N590" s="16"/>
      <c r="O590" s="7"/>
      <c r="P590" s="22"/>
      <c r="Q590" s="8" t="n">
        <v>9310</v>
      </c>
      <c r="R590" s="8" t="n">
        <v>-9310</v>
      </c>
      <c r="S590" s="7" t="s">
        <v>33</v>
      </c>
      <c r="T590" s="7"/>
      <c r="U590" s="7"/>
      <c r="V590" s="20"/>
      <c r="W590" s="7"/>
      <c r="X590" s="7"/>
      <c r="Y590" s="7"/>
      <c r="Z590" s="7"/>
      <c r="AA590" s="23" t="n">
        <f aca="false">YEAR(C590)</f>
        <v>2025</v>
      </c>
    </row>
    <row r="591" customFormat="false" ht="15" hidden="false" customHeight="false" outlineLevel="0" collapsed="false">
      <c r="A591" s="7" t="s">
        <v>1830</v>
      </c>
      <c r="B591" s="7" t="s">
        <v>137</v>
      </c>
      <c r="C591" s="20" t="n">
        <v>45677</v>
      </c>
      <c r="D591" s="20" t="n">
        <v>45712</v>
      </c>
      <c r="E591" s="20"/>
      <c r="F591" s="7" t="s">
        <v>759</v>
      </c>
      <c r="G591" s="7" t="s">
        <v>136</v>
      </c>
      <c r="H591" s="7" t="s">
        <v>223</v>
      </c>
      <c r="I591" s="7" t="s">
        <v>224</v>
      </c>
      <c r="J591" s="7" t="s">
        <v>221</v>
      </c>
      <c r="K591" s="7" t="s">
        <v>222</v>
      </c>
      <c r="L591" s="7" t="s">
        <v>800</v>
      </c>
      <c r="M591" s="7" t="s">
        <v>589</v>
      </c>
      <c r="N591" s="16" t="n">
        <v>96</v>
      </c>
      <c r="O591" s="7" t="s">
        <v>801</v>
      </c>
      <c r="P591" s="22" t="n">
        <v>14.84</v>
      </c>
      <c r="Q591" s="8" t="n">
        <v>1424.64</v>
      </c>
      <c r="R591" s="8" t="n">
        <v>-1424.64</v>
      </c>
      <c r="S591" s="7" t="s">
        <v>751</v>
      </c>
      <c r="T591" s="7"/>
      <c r="U591" s="7" t="s">
        <v>1831</v>
      </c>
      <c r="V591" s="20" t="n">
        <v>45707</v>
      </c>
      <c r="W591" s="7"/>
      <c r="X591" s="7"/>
      <c r="Y591" s="7" t="s">
        <v>722</v>
      </c>
      <c r="Z591" s="7"/>
      <c r="AA591" s="23" t="n">
        <f aca="false">YEAR(C591)</f>
        <v>2025</v>
      </c>
    </row>
    <row r="592" customFormat="false" ht="15" hidden="false" customHeight="false" outlineLevel="0" collapsed="false">
      <c r="A592" s="7" t="s">
        <v>1832</v>
      </c>
      <c r="B592" s="7" t="s">
        <v>137</v>
      </c>
      <c r="C592" s="20" t="n">
        <v>45679</v>
      </c>
      <c r="D592" s="20" t="n">
        <v>45684</v>
      </c>
      <c r="E592" s="20"/>
      <c r="F592" s="7" t="s">
        <v>759</v>
      </c>
      <c r="G592" s="7" t="s">
        <v>144</v>
      </c>
      <c r="H592" s="7" t="s">
        <v>250</v>
      </c>
      <c r="I592" s="7" t="s">
        <v>251</v>
      </c>
      <c r="J592" s="7" t="s">
        <v>248</v>
      </c>
      <c r="K592" s="7" t="s">
        <v>249</v>
      </c>
      <c r="L592" s="7" t="s">
        <v>1833</v>
      </c>
      <c r="M592" s="7" t="s">
        <v>549</v>
      </c>
      <c r="N592" s="16" t="n">
        <v>4000</v>
      </c>
      <c r="O592" s="7" t="s">
        <v>798</v>
      </c>
      <c r="P592" s="22" t="n">
        <v>9.94</v>
      </c>
      <c r="Q592" s="8" t="n">
        <v>39760</v>
      </c>
      <c r="R592" s="8" t="n">
        <v>39760</v>
      </c>
      <c r="S592" s="7" t="s">
        <v>33</v>
      </c>
      <c r="T592" s="7" t="s">
        <v>1834</v>
      </c>
      <c r="U592" s="7"/>
      <c r="V592" s="20" t="n">
        <v>45679</v>
      </c>
      <c r="W592" s="7"/>
      <c r="X592" s="7"/>
      <c r="Y592" s="7" t="s">
        <v>706</v>
      </c>
      <c r="Z592" s="7"/>
      <c r="AA592" s="23" t="n">
        <f aca="false">YEAR(C592)</f>
        <v>2025</v>
      </c>
    </row>
    <row r="593" customFormat="false" ht="15" hidden="false" customHeight="false" outlineLevel="0" collapsed="false">
      <c r="A593" s="7" t="s">
        <v>1835</v>
      </c>
      <c r="B593" s="7" t="s">
        <v>137</v>
      </c>
      <c r="C593" s="20" t="n">
        <v>45683</v>
      </c>
      <c r="D593" s="20" t="n">
        <v>45683</v>
      </c>
      <c r="E593" s="20"/>
      <c r="F593" s="7" t="s">
        <v>759</v>
      </c>
      <c r="G593" s="7" t="s">
        <v>149</v>
      </c>
      <c r="H593" s="7" t="s">
        <v>234</v>
      </c>
      <c r="I593" s="7" t="s">
        <v>235</v>
      </c>
      <c r="J593" s="7" t="s">
        <v>229</v>
      </c>
      <c r="K593" s="7" t="s">
        <v>233</v>
      </c>
      <c r="L593" s="7" t="s">
        <v>804</v>
      </c>
      <c r="M593" s="7" t="s">
        <v>805</v>
      </c>
      <c r="N593" s="16"/>
      <c r="O593" s="7"/>
      <c r="P593" s="22"/>
      <c r="Q593" s="8" t="n">
        <v>1085</v>
      </c>
      <c r="R593" s="8" t="n">
        <v>-1085</v>
      </c>
      <c r="S593" s="7" t="s">
        <v>33</v>
      </c>
      <c r="T593" s="7"/>
      <c r="U593" s="7"/>
      <c r="V593" s="20"/>
      <c r="W593" s="7"/>
      <c r="X593" s="7"/>
      <c r="Y593" s="7"/>
      <c r="Z593" s="7"/>
      <c r="AA593" s="23" t="n">
        <f aca="false">YEAR(C593)</f>
        <v>2025</v>
      </c>
    </row>
    <row r="594" customFormat="false" ht="15" hidden="false" customHeight="false" outlineLevel="0" collapsed="false">
      <c r="A594" s="7" t="s">
        <v>1836</v>
      </c>
      <c r="B594" s="7" t="s">
        <v>137</v>
      </c>
      <c r="C594" s="20" t="n">
        <v>45683</v>
      </c>
      <c r="D594" s="20" t="n">
        <v>45710</v>
      </c>
      <c r="E594" s="20"/>
      <c r="F594" s="7" t="s">
        <v>759</v>
      </c>
      <c r="G594" s="7" t="s">
        <v>153</v>
      </c>
      <c r="H594" s="7" t="s">
        <v>242</v>
      </c>
      <c r="I594" s="7" t="s">
        <v>243</v>
      </c>
      <c r="J594" s="7" t="s">
        <v>229</v>
      </c>
      <c r="K594" s="7" t="s">
        <v>241</v>
      </c>
      <c r="L594" s="7" t="s">
        <v>571</v>
      </c>
      <c r="M594" s="7"/>
      <c r="N594" s="16"/>
      <c r="O594" s="7"/>
      <c r="P594" s="22"/>
      <c r="Q594" s="8" t="n">
        <v>301.07</v>
      </c>
      <c r="R594" s="8" t="n">
        <v>-301.07</v>
      </c>
      <c r="S594" s="7" t="s">
        <v>765</v>
      </c>
      <c r="T594" s="7"/>
      <c r="U594" s="7"/>
      <c r="V594" s="20"/>
      <c r="W594" s="7"/>
      <c r="X594" s="7"/>
      <c r="Y594" s="7"/>
      <c r="Z594" s="7"/>
      <c r="AA594" s="23" t="n">
        <f aca="false">YEAR(C594)</f>
        <v>2025</v>
      </c>
    </row>
    <row r="595" customFormat="false" ht="15" hidden="false" customHeight="false" outlineLevel="0" collapsed="false">
      <c r="A595" s="7" t="s">
        <v>1837</v>
      </c>
      <c r="B595" s="7" t="s">
        <v>137</v>
      </c>
      <c r="C595" s="20" t="n">
        <v>45688</v>
      </c>
      <c r="D595" s="20" t="n">
        <v>45688</v>
      </c>
      <c r="E595" s="20"/>
      <c r="F595" s="7" t="s">
        <v>759</v>
      </c>
      <c r="G595" s="7" t="s">
        <v>153</v>
      </c>
      <c r="H595" s="7" t="s">
        <v>246</v>
      </c>
      <c r="I595" s="7" t="s">
        <v>247</v>
      </c>
      <c r="J595" s="7" t="s">
        <v>236</v>
      </c>
      <c r="K595" s="7" t="s">
        <v>189</v>
      </c>
      <c r="L595" s="7" t="s">
        <v>808</v>
      </c>
      <c r="M595" s="7" t="s">
        <v>556</v>
      </c>
      <c r="N595" s="16"/>
      <c r="O595" s="7"/>
      <c r="P595" s="22"/>
      <c r="Q595" s="8" t="n">
        <v>953.86</v>
      </c>
      <c r="R595" s="8" t="n">
        <v>-953.86</v>
      </c>
      <c r="S595" s="7" t="s">
        <v>775</v>
      </c>
      <c r="T595" s="7"/>
      <c r="U595" s="7"/>
      <c r="V595" s="20"/>
      <c r="W595" s="7"/>
      <c r="X595" s="7" t="s">
        <v>784</v>
      </c>
      <c r="Y595" s="7"/>
      <c r="Z595" s="7"/>
      <c r="AA595" s="23" t="n">
        <f aca="false">YEAR(C595)</f>
        <v>2025</v>
      </c>
    </row>
    <row r="596" customFormat="false" ht="15" hidden="false" customHeight="false" outlineLevel="0" collapsed="false">
      <c r="A596" s="7" t="s">
        <v>1838</v>
      </c>
      <c r="B596" s="7" t="s">
        <v>137</v>
      </c>
      <c r="C596" s="20" t="n">
        <v>45688</v>
      </c>
      <c r="D596" s="20" t="n">
        <v>45688</v>
      </c>
      <c r="E596" s="20"/>
      <c r="F596" s="7" t="s">
        <v>759</v>
      </c>
      <c r="G596" s="7" t="s">
        <v>153</v>
      </c>
      <c r="H596" s="7" t="s">
        <v>574</v>
      </c>
      <c r="I596" s="7" t="s">
        <v>364</v>
      </c>
      <c r="J596" s="7" t="s">
        <v>761</v>
      </c>
      <c r="K596" s="7" t="s">
        <v>772</v>
      </c>
      <c r="L596" s="7" t="s">
        <v>575</v>
      </c>
      <c r="M596" s="7" t="s">
        <v>556</v>
      </c>
      <c r="N596" s="16"/>
      <c r="O596" s="7"/>
      <c r="P596" s="22"/>
      <c r="Q596" s="8" t="n">
        <v>25000</v>
      </c>
      <c r="R596" s="8" t="n">
        <v>-25000</v>
      </c>
      <c r="S596" s="7" t="s">
        <v>783</v>
      </c>
      <c r="T596" s="7"/>
      <c r="U596" s="7"/>
      <c r="V596" s="20"/>
      <c r="W596" s="7"/>
      <c r="X596" s="7" t="s">
        <v>784</v>
      </c>
      <c r="Y596" s="7"/>
      <c r="Z596" s="7"/>
      <c r="AA596" s="23" t="n">
        <f aca="false">YEAR(C596)</f>
        <v>2025</v>
      </c>
    </row>
    <row r="597" customFormat="false" ht="15" hidden="false" customHeight="false" outlineLevel="0" collapsed="false">
      <c r="A597" s="7" t="s">
        <v>1839</v>
      </c>
      <c r="B597" s="7" t="s">
        <v>137</v>
      </c>
      <c r="C597" s="20" t="n">
        <v>45689</v>
      </c>
      <c r="D597" s="20" t="n">
        <v>45689</v>
      </c>
      <c r="E597" s="20"/>
      <c r="F597" s="7" t="s">
        <v>759</v>
      </c>
      <c r="G597" s="7" t="s">
        <v>153</v>
      </c>
      <c r="H597" s="7" t="s">
        <v>545</v>
      </c>
      <c r="I597" s="7" t="s">
        <v>760</v>
      </c>
      <c r="J597" s="7" t="s">
        <v>761</v>
      </c>
      <c r="K597" s="7" t="s">
        <v>762</v>
      </c>
      <c r="L597" s="7" t="s">
        <v>546</v>
      </c>
      <c r="M597" s="7"/>
      <c r="N597" s="16"/>
      <c r="O597" s="7"/>
      <c r="P597" s="22"/>
      <c r="Q597" s="8" t="n">
        <v>4200</v>
      </c>
      <c r="R597" s="8" t="n">
        <v>-4200</v>
      </c>
      <c r="S597" s="7" t="s">
        <v>763</v>
      </c>
      <c r="T597" s="7"/>
      <c r="U597" s="7"/>
      <c r="V597" s="20"/>
      <c r="W597" s="7"/>
      <c r="X597" s="7"/>
      <c r="Y597" s="7"/>
      <c r="Z597" s="7"/>
      <c r="AA597" s="23" t="n">
        <f aca="false">YEAR(C597)</f>
        <v>2025</v>
      </c>
    </row>
    <row r="598" customFormat="false" ht="15" hidden="false" customHeight="false" outlineLevel="0" collapsed="false">
      <c r="A598" s="7" t="s">
        <v>1840</v>
      </c>
      <c r="B598" s="7" t="s">
        <v>137</v>
      </c>
      <c r="C598" s="20" t="n">
        <v>45696</v>
      </c>
      <c r="D598" s="20" t="n">
        <v>45738</v>
      </c>
      <c r="E598" s="20"/>
      <c r="F598" s="7" t="s">
        <v>759</v>
      </c>
      <c r="G598" s="7" t="s">
        <v>153</v>
      </c>
      <c r="H598" s="7" t="s">
        <v>244</v>
      </c>
      <c r="I598" s="7" t="s">
        <v>245</v>
      </c>
      <c r="J598" s="7" t="s">
        <v>229</v>
      </c>
      <c r="K598" s="7" t="s">
        <v>233</v>
      </c>
      <c r="L598" s="7" t="s">
        <v>570</v>
      </c>
      <c r="M598" s="7"/>
      <c r="N598" s="16"/>
      <c r="O598" s="7"/>
      <c r="P598" s="22"/>
      <c r="Q598" s="8" t="n">
        <v>165</v>
      </c>
      <c r="R598" s="8" t="n">
        <v>-165</v>
      </c>
      <c r="S598" s="7" t="s">
        <v>765</v>
      </c>
      <c r="T598" s="7"/>
      <c r="U598" s="7"/>
      <c r="V598" s="20"/>
      <c r="W598" s="7"/>
      <c r="X598" s="7"/>
      <c r="Y598" s="7"/>
      <c r="Z598" s="7"/>
      <c r="AA598" s="23" t="n">
        <f aca="false">YEAR(C598)</f>
        <v>2025</v>
      </c>
    </row>
    <row r="599" customFormat="false" ht="15" hidden="false" customHeight="false" outlineLevel="0" collapsed="false">
      <c r="A599" s="7" t="s">
        <v>1841</v>
      </c>
      <c r="B599" s="7" t="s">
        <v>137</v>
      </c>
      <c r="C599" s="20" t="n">
        <v>45698</v>
      </c>
      <c r="D599" s="20" t="n">
        <v>45698</v>
      </c>
      <c r="E599" s="20"/>
      <c r="F599" s="7" t="s">
        <v>759</v>
      </c>
      <c r="G599" s="7" t="s">
        <v>153</v>
      </c>
      <c r="H599" s="7" t="s">
        <v>237</v>
      </c>
      <c r="I599" s="7" t="s">
        <v>238</v>
      </c>
      <c r="J599" s="7" t="s">
        <v>236</v>
      </c>
      <c r="K599" s="7" t="s">
        <v>189</v>
      </c>
      <c r="L599" s="7" t="s">
        <v>1842</v>
      </c>
      <c r="M599" s="7" t="s">
        <v>768</v>
      </c>
      <c r="N599" s="16"/>
      <c r="O599" s="7"/>
      <c r="P599" s="22"/>
      <c r="Q599" s="8" t="n">
        <v>45.35</v>
      </c>
      <c r="R599" s="8" t="n">
        <v>-45.35</v>
      </c>
      <c r="S599" s="7" t="s">
        <v>744</v>
      </c>
      <c r="T599" s="7"/>
      <c r="U599" s="7"/>
      <c r="V599" s="20"/>
      <c r="W599" s="7"/>
      <c r="X599" s="7" t="s">
        <v>769</v>
      </c>
      <c r="Y599" s="7"/>
      <c r="Z599" s="7"/>
      <c r="AA599" s="23" t="n">
        <f aca="false">YEAR(C599)</f>
        <v>2025</v>
      </c>
    </row>
    <row r="600" customFormat="false" ht="15" hidden="false" customHeight="false" outlineLevel="0" collapsed="false">
      <c r="A600" s="7" t="s">
        <v>1843</v>
      </c>
      <c r="B600" s="7" t="s">
        <v>137</v>
      </c>
      <c r="C600" s="20" t="n">
        <v>45698</v>
      </c>
      <c r="D600" s="20" t="n">
        <v>45698</v>
      </c>
      <c r="E600" s="20"/>
      <c r="F600" s="7" t="s">
        <v>759</v>
      </c>
      <c r="G600" s="7" t="s">
        <v>153</v>
      </c>
      <c r="H600" s="7" t="s">
        <v>559</v>
      </c>
      <c r="I600" s="7" t="s">
        <v>771</v>
      </c>
      <c r="J600" s="7" t="s">
        <v>761</v>
      </c>
      <c r="K600" s="7" t="s">
        <v>772</v>
      </c>
      <c r="L600" s="7" t="s">
        <v>1844</v>
      </c>
      <c r="M600" s="7" t="s">
        <v>768</v>
      </c>
      <c r="N600" s="16"/>
      <c r="O600" s="7"/>
      <c r="P600" s="22"/>
      <c r="Q600" s="8" t="n">
        <v>799.74</v>
      </c>
      <c r="R600" s="8" t="n">
        <v>-799.74</v>
      </c>
      <c r="S600" s="7" t="s">
        <v>744</v>
      </c>
      <c r="T600" s="7"/>
      <c r="U600" s="7"/>
      <c r="V600" s="20"/>
      <c r="W600" s="7"/>
      <c r="X600" s="7" t="s">
        <v>769</v>
      </c>
      <c r="Y600" s="7"/>
      <c r="Z600" s="7"/>
      <c r="AA600" s="23" t="n">
        <f aca="false">YEAR(C600)</f>
        <v>2025</v>
      </c>
    </row>
    <row r="601" customFormat="false" ht="15" hidden="false" customHeight="false" outlineLevel="0" collapsed="false">
      <c r="A601" s="7" t="s">
        <v>1845</v>
      </c>
      <c r="B601" s="7" t="s">
        <v>137</v>
      </c>
      <c r="C601" s="20" t="n">
        <v>45700</v>
      </c>
      <c r="D601" s="20" t="n">
        <v>45700</v>
      </c>
      <c r="E601" s="20"/>
      <c r="F601" s="7" t="s">
        <v>759</v>
      </c>
      <c r="G601" s="7" t="s">
        <v>153</v>
      </c>
      <c r="H601" s="7" t="s">
        <v>240</v>
      </c>
      <c r="I601" s="7" t="s">
        <v>239</v>
      </c>
      <c r="J601" s="7" t="s">
        <v>229</v>
      </c>
      <c r="K601" s="7" t="s">
        <v>239</v>
      </c>
      <c r="L601" s="7" t="s">
        <v>548</v>
      </c>
      <c r="M601" s="7" t="s">
        <v>547</v>
      </c>
      <c r="N601" s="16"/>
      <c r="O601" s="7"/>
      <c r="P601" s="22"/>
      <c r="Q601" s="8" t="n">
        <v>423.48</v>
      </c>
      <c r="R601" s="8" t="n">
        <v>-423.48</v>
      </c>
      <c r="S601" s="7" t="s">
        <v>775</v>
      </c>
      <c r="T601" s="7"/>
      <c r="U601" s="7"/>
      <c r="V601" s="20"/>
      <c r="W601" s="7"/>
      <c r="X601" s="7"/>
      <c r="Y601" s="7"/>
      <c r="Z601" s="7"/>
      <c r="AA601" s="23" t="n">
        <f aca="false">YEAR(C601)</f>
        <v>2025</v>
      </c>
    </row>
    <row r="602" customFormat="false" ht="15" hidden="false" customHeight="false" outlineLevel="0" collapsed="false">
      <c r="A602" s="7" t="s">
        <v>1846</v>
      </c>
      <c r="B602" s="7" t="s">
        <v>137</v>
      </c>
      <c r="C602" s="20" t="n">
        <v>45704</v>
      </c>
      <c r="D602" s="20" t="n">
        <v>45704</v>
      </c>
      <c r="E602" s="20"/>
      <c r="F602" s="7" t="s">
        <v>759</v>
      </c>
      <c r="G602" s="7" t="s">
        <v>149</v>
      </c>
      <c r="H602" s="7" t="s">
        <v>237</v>
      </c>
      <c r="I602" s="7" t="s">
        <v>238</v>
      </c>
      <c r="J602" s="7" t="s">
        <v>236</v>
      </c>
      <c r="K602" s="7" t="s">
        <v>189</v>
      </c>
      <c r="L602" s="7" t="s">
        <v>1847</v>
      </c>
      <c r="M602" s="7" t="s">
        <v>556</v>
      </c>
      <c r="N602" s="16"/>
      <c r="O602" s="7"/>
      <c r="P602" s="22"/>
      <c r="Q602" s="8" t="n">
        <v>395.33</v>
      </c>
      <c r="R602" s="8" t="n">
        <v>-395.33</v>
      </c>
      <c r="S602" s="7" t="s">
        <v>744</v>
      </c>
      <c r="T602" s="7"/>
      <c r="U602" s="7"/>
      <c r="V602" s="20"/>
      <c r="W602" s="7"/>
      <c r="X602" s="7" t="s">
        <v>1552</v>
      </c>
      <c r="Y602" s="7"/>
      <c r="Z602" s="7"/>
      <c r="AA602" s="23" t="n">
        <f aca="false">YEAR(C602)</f>
        <v>2025</v>
      </c>
    </row>
    <row r="603" customFormat="false" ht="15" hidden="false" customHeight="false" outlineLevel="0" collapsed="false">
      <c r="A603" s="7" t="s">
        <v>1848</v>
      </c>
      <c r="B603" s="7" t="s">
        <v>137</v>
      </c>
      <c r="C603" s="20" t="n">
        <v>45704</v>
      </c>
      <c r="D603" s="20" t="n">
        <v>45704</v>
      </c>
      <c r="E603" s="20"/>
      <c r="F603" s="7" t="s">
        <v>759</v>
      </c>
      <c r="G603" s="7" t="s">
        <v>149</v>
      </c>
      <c r="H603" s="7" t="s">
        <v>559</v>
      </c>
      <c r="I603" s="7" t="s">
        <v>771</v>
      </c>
      <c r="J603" s="7" t="s">
        <v>761</v>
      </c>
      <c r="K603" s="7" t="s">
        <v>772</v>
      </c>
      <c r="L603" s="7" t="s">
        <v>1849</v>
      </c>
      <c r="M603" s="7" t="s">
        <v>556</v>
      </c>
      <c r="N603" s="16"/>
      <c r="O603" s="7"/>
      <c r="P603" s="22"/>
      <c r="Q603" s="8" t="n">
        <v>1337.16</v>
      </c>
      <c r="R603" s="8" t="n">
        <v>-1337.16</v>
      </c>
      <c r="S603" s="7" t="s">
        <v>744</v>
      </c>
      <c r="T603" s="7"/>
      <c r="U603" s="7"/>
      <c r="V603" s="20"/>
      <c r="W603" s="7"/>
      <c r="X603" s="7" t="s">
        <v>1552</v>
      </c>
      <c r="Y603" s="7"/>
      <c r="Z603" s="7"/>
      <c r="AA603" s="23" t="n">
        <f aca="false">YEAR(C603)</f>
        <v>2025</v>
      </c>
    </row>
    <row r="604" customFormat="false" ht="15" hidden="false" customHeight="false" outlineLevel="0" collapsed="false">
      <c r="A604" s="7" t="s">
        <v>1850</v>
      </c>
      <c r="B604" s="7" t="s">
        <v>137</v>
      </c>
      <c r="C604" s="20" t="n">
        <v>45714</v>
      </c>
      <c r="D604" s="20" t="n">
        <v>45738</v>
      </c>
      <c r="E604" s="20"/>
      <c r="F604" s="7" t="s">
        <v>759</v>
      </c>
      <c r="G604" s="7" t="s">
        <v>153</v>
      </c>
      <c r="H604" s="7" t="s">
        <v>242</v>
      </c>
      <c r="I604" s="7" t="s">
        <v>243</v>
      </c>
      <c r="J604" s="7" t="s">
        <v>229</v>
      </c>
      <c r="K604" s="7" t="s">
        <v>241</v>
      </c>
      <c r="L604" s="7" t="s">
        <v>571</v>
      </c>
      <c r="M604" s="7"/>
      <c r="N604" s="16"/>
      <c r="O604" s="7"/>
      <c r="P604" s="22"/>
      <c r="Q604" s="8" t="n">
        <v>313.01</v>
      </c>
      <c r="R604" s="8" t="n">
        <v>-313.01</v>
      </c>
      <c r="S604" s="7" t="s">
        <v>765</v>
      </c>
      <c r="T604" s="7"/>
      <c r="U604" s="7"/>
      <c r="V604" s="20"/>
      <c r="W604" s="7"/>
      <c r="X604" s="7"/>
      <c r="Y604" s="7"/>
      <c r="Z604" s="7"/>
      <c r="AA604" s="23" t="n">
        <f aca="false">YEAR(C604)</f>
        <v>2025</v>
      </c>
    </row>
    <row r="605" customFormat="false" ht="15" hidden="false" customHeight="false" outlineLevel="0" collapsed="false">
      <c r="A605" s="7" t="s">
        <v>1851</v>
      </c>
      <c r="B605" s="7" t="s">
        <v>137</v>
      </c>
      <c r="C605" s="20" t="n">
        <v>45715</v>
      </c>
      <c r="D605" s="20" t="n">
        <v>45715</v>
      </c>
      <c r="E605" s="20"/>
      <c r="F605" s="7" t="s">
        <v>759</v>
      </c>
      <c r="G605" s="7" t="s">
        <v>153</v>
      </c>
      <c r="H605" s="7" t="s">
        <v>252</v>
      </c>
      <c r="I605" s="7" t="s">
        <v>253</v>
      </c>
      <c r="J605" s="7" t="s">
        <v>229</v>
      </c>
      <c r="K605" s="7" t="s">
        <v>233</v>
      </c>
      <c r="L605" s="7" t="s">
        <v>819</v>
      </c>
      <c r="M605" s="7" t="s">
        <v>820</v>
      </c>
      <c r="N605" s="16"/>
      <c r="O605" s="7"/>
      <c r="P605" s="22"/>
      <c r="Q605" s="8" t="n">
        <v>3700</v>
      </c>
      <c r="R605" s="8" t="n">
        <v>-3700</v>
      </c>
      <c r="S605" s="7" t="s">
        <v>33</v>
      </c>
      <c r="T605" s="7"/>
      <c r="U605" s="7"/>
      <c r="V605" s="20"/>
      <c r="W605" s="7"/>
      <c r="X605" s="7"/>
      <c r="Y605" s="7"/>
      <c r="Z605" s="7"/>
      <c r="AA605" s="23" t="n">
        <f aca="false">YEAR(C605)</f>
        <v>2025</v>
      </c>
    </row>
    <row r="606" customFormat="false" ht="15" hidden="false" customHeight="false" outlineLevel="0" collapsed="false">
      <c r="A606" s="7" t="s">
        <v>1852</v>
      </c>
      <c r="B606" s="7" t="s">
        <v>137</v>
      </c>
      <c r="C606" s="20" t="n">
        <v>45716</v>
      </c>
      <c r="D606" s="20" t="n">
        <v>45716</v>
      </c>
      <c r="E606" s="20"/>
      <c r="F606" s="7" t="s">
        <v>759</v>
      </c>
      <c r="G606" s="7" t="s">
        <v>153</v>
      </c>
      <c r="H606" s="7" t="s">
        <v>246</v>
      </c>
      <c r="I606" s="7" t="s">
        <v>247</v>
      </c>
      <c r="J606" s="7" t="s">
        <v>236</v>
      </c>
      <c r="K606" s="7" t="s">
        <v>189</v>
      </c>
      <c r="L606" s="7" t="s">
        <v>808</v>
      </c>
      <c r="M606" s="7" t="s">
        <v>556</v>
      </c>
      <c r="N606" s="16"/>
      <c r="O606" s="7"/>
      <c r="P606" s="22"/>
      <c r="Q606" s="8" t="n">
        <v>736.82</v>
      </c>
      <c r="R606" s="8" t="n">
        <v>-736.82</v>
      </c>
      <c r="S606" s="7" t="s">
        <v>775</v>
      </c>
      <c r="T606" s="7"/>
      <c r="U606" s="7"/>
      <c r="V606" s="20"/>
      <c r="W606" s="7"/>
      <c r="X606" s="7" t="s">
        <v>784</v>
      </c>
      <c r="Y606" s="7"/>
      <c r="Z606" s="7"/>
      <c r="AA606" s="23" t="n">
        <f aca="false">YEAR(C606)</f>
        <v>2025</v>
      </c>
    </row>
    <row r="607" customFormat="false" ht="15" hidden="false" customHeight="false" outlineLevel="0" collapsed="false">
      <c r="A607" s="7" t="s">
        <v>1853</v>
      </c>
      <c r="B607" s="7" t="s">
        <v>137</v>
      </c>
      <c r="C607" s="20" t="n">
        <v>45717</v>
      </c>
      <c r="D607" s="20" t="n">
        <v>45717</v>
      </c>
      <c r="E607" s="20"/>
      <c r="F607" s="7" t="s">
        <v>759</v>
      </c>
      <c r="G607" s="7" t="s">
        <v>153</v>
      </c>
      <c r="H607" s="7" t="s">
        <v>545</v>
      </c>
      <c r="I607" s="7" t="s">
        <v>760</v>
      </c>
      <c r="J607" s="7" t="s">
        <v>761</v>
      </c>
      <c r="K607" s="7" t="s">
        <v>762</v>
      </c>
      <c r="L607" s="7" t="s">
        <v>546</v>
      </c>
      <c r="M607" s="7"/>
      <c r="N607" s="16"/>
      <c r="O607" s="7"/>
      <c r="P607" s="22"/>
      <c r="Q607" s="8" t="n">
        <v>4200</v>
      </c>
      <c r="R607" s="8" t="n">
        <v>-4200</v>
      </c>
      <c r="S607" s="7" t="s">
        <v>763</v>
      </c>
      <c r="T607" s="7"/>
      <c r="U607" s="7"/>
      <c r="V607" s="20"/>
      <c r="W607" s="7"/>
      <c r="X607" s="7"/>
      <c r="Y607" s="7"/>
      <c r="Z607" s="7"/>
      <c r="AA607" s="23" t="n">
        <f aca="false">YEAR(C607)</f>
        <v>2025</v>
      </c>
    </row>
    <row r="608" customFormat="false" ht="15" hidden="false" customHeight="false" outlineLevel="0" collapsed="false">
      <c r="A608" s="7" t="s">
        <v>1854</v>
      </c>
      <c r="B608" s="7" t="s">
        <v>137</v>
      </c>
      <c r="C608" s="20" t="n">
        <v>45718</v>
      </c>
      <c r="D608" s="20" t="n">
        <v>45748</v>
      </c>
      <c r="E608" s="20"/>
      <c r="F608" s="7" t="s">
        <v>759</v>
      </c>
      <c r="G608" s="7" t="s">
        <v>146</v>
      </c>
      <c r="H608" s="7" t="s">
        <v>255</v>
      </c>
      <c r="I608" s="7" t="s">
        <v>256</v>
      </c>
      <c r="J608" s="7" t="s">
        <v>221</v>
      </c>
      <c r="K608" s="7" t="s">
        <v>254</v>
      </c>
      <c r="L608" s="7" t="s">
        <v>825</v>
      </c>
      <c r="M608" s="7" t="s">
        <v>563</v>
      </c>
      <c r="N608" s="16"/>
      <c r="O608" s="7"/>
      <c r="P608" s="22"/>
      <c r="Q608" s="8" t="n">
        <v>3008</v>
      </c>
      <c r="R608" s="8" t="n">
        <v>-3008</v>
      </c>
      <c r="S608" s="7" t="s">
        <v>751</v>
      </c>
      <c r="T608" s="7"/>
      <c r="U608" s="7" t="s">
        <v>1855</v>
      </c>
      <c r="V608" s="20" t="n">
        <v>45748</v>
      </c>
      <c r="W608" s="7"/>
      <c r="X608" s="7"/>
      <c r="Y608" s="7" t="s">
        <v>709</v>
      </c>
      <c r="Z608" s="7"/>
      <c r="AA608" s="23" t="n">
        <f aca="false">YEAR(C608)</f>
        <v>2025</v>
      </c>
    </row>
    <row r="609" customFormat="false" ht="15" hidden="false" customHeight="false" outlineLevel="0" collapsed="false">
      <c r="A609" s="7" t="s">
        <v>1856</v>
      </c>
      <c r="B609" s="7" t="s">
        <v>137</v>
      </c>
      <c r="C609" s="20" t="n">
        <v>45722</v>
      </c>
      <c r="D609" s="20" t="n">
        <v>45756</v>
      </c>
      <c r="E609" s="20"/>
      <c r="F609" s="7" t="s">
        <v>759</v>
      </c>
      <c r="G609" s="7" t="s">
        <v>136</v>
      </c>
      <c r="H609" s="7" t="s">
        <v>223</v>
      </c>
      <c r="I609" s="7" t="s">
        <v>224</v>
      </c>
      <c r="J609" s="7" t="s">
        <v>221</v>
      </c>
      <c r="K609" s="7" t="s">
        <v>222</v>
      </c>
      <c r="L609" s="7" t="s">
        <v>828</v>
      </c>
      <c r="M609" s="7" t="s">
        <v>589</v>
      </c>
      <c r="N609" s="16" t="n">
        <v>96</v>
      </c>
      <c r="O609" s="7" t="s">
        <v>801</v>
      </c>
      <c r="P609" s="22" t="n">
        <v>25.44</v>
      </c>
      <c r="Q609" s="8" t="n">
        <v>2442.24</v>
      </c>
      <c r="R609" s="8" t="n">
        <v>-2442.24</v>
      </c>
      <c r="S609" s="7" t="s">
        <v>751</v>
      </c>
      <c r="T609" s="7"/>
      <c r="U609" s="7" t="s">
        <v>1857</v>
      </c>
      <c r="V609" s="20" t="n">
        <v>45752</v>
      </c>
      <c r="W609" s="7"/>
      <c r="X609" s="7"/>
      <c r="Y609" s="7" t="s">
        <v>722</v>
      </c>
      <c r="Z609" s="7"/>
      <c r="AA609" s="23" t="n">
        <f aca="false">YEAR(C609)</f>
        <v>2025</v>
      </c>
    </row>
    <row r="610" customFormat="false" ht="15" hidden="false" customHeight="false" outlineLevel="0" collapsed="false">
      <c r="A610" s="7" t="s">
        <v>1858</v>
      </c>
      <c r="B610" s="7" t="s">
        <v>137</v>
      </c>
      <c r="C610" s="20" t="n">
        <v>45723</v>
      </c>
      <c r="D610" s="20" t="n">
        <v>45723</v>
      </c>
      <c r="E610" s="20"/>
      <c r="F610" s="7" t="s">
        <v>759</v>
      </c>
      <c r="G610" s="7" t="s">
        <v>153</v>
      </c>
      <c r="H610" s="7" t="s">
        <v>1549</v>
      </c>
      <c r="I610" s="7" t="s">
        <v>529</v>
      </c>
      <c r="J610" s="7" t="s">
        <v>761</v>
      </c>
      <c r="K610" s="7" t="s">
        <v>772</v>
      </c>
      <c r="L610" s="7" t="s">
        <v>1859</v>
      </c>
      <c r="M610" s="7" t="s">
        <v>778</v>
      </c>
      <c r="N610" s="16"/>
      <c r="O610" s="7"/>
      <c r="P610" s="22"/>
      <c r="Q610" s="8" t="n">
        <v>165000</v>
      </c>
      <c r="R610" s="8" t="n">
        <v>165000</v>
      </c>
      <c r="S610" s="7" t="s">
        <v>1551</v>
      </c>
      <c r="T610" s="7"/>
      <c r="U610" s="7"/>
      <c r="V610" s="20"/>
      <c r="W610" s="7"/>
      <c r="X610" s="7" t="s">
        <v>1860</v>
      </c>
      <c r="Y610" s="7"/>
      <c r="Z610" s="7"/>
      <c r="AA610" s="23" t="n">
        <f aca="false">YEAR(C610)</f>
        <v>2025</v>
      </c>
    </row>
    <row r="611" customFormat="false" ht="15" hidden="false" customHeight="false" outlineLevel="0" collapsed="false">
      <c r="A611" s="7" t="s">
        <v>1861</v>
      </c>
      <c r="B611" s="7" t="s">
        <v>137</v>
      </c>
      <c r="C611" s="20" t="n">
        <v>45723</v>
      </c>
      <c r="D611" s="20" t="n">
        <v>45723</v>
      </c>
      <c r="E611" s="20"/>
      <c r="F611" s="7" t="s">
        <v>759</v>
      </c>
      <c r="G611" s="7" t="s">
        <v>153</v>
      </c>
      <c r="H611" s="7" t="s">
        <v>561</v>
      </c>
      <c r="I611" s="7" t="s">
        <v>363</v>
      </c>
      <c r="J611" s="7" t="s">
        <v>761</v>
      </c>
      <c r="K611" s="7" t="s">
        <v>772</v>
      </c>
      <c r="L611" s="7" t="s">
        <v>562</v>
      </c>
      <c r="M611" s="7" t="s">
        <v>556</v>
      </c>
      <c r="N611" s="16"/>
      <c r="O611" s="7"/>
      <c r="P611" s="22"/>
      <c r="Q611" s="8" t="n">
        <v>42000</v>
      </c>
      <c r="R611" s="8" t="n">
        <v>42000</v>
      </c>
      <c r="S611" s="7" t="s">
        <v>783</v>
      </c>
      <c r="T611" s="7"/>
      <c r="U611" s="7"/>
      <c r="V611" s="20"/>
      <c r="W611" s="7"/>
      <c r="X611" s="7" t="s">
        <v>784</v>
      </c>
      <c r="Y611" s="7"/>
      <c r="Z611" s="7"/>
      <c r="AA611" s="23" t="n">
        <f aca="false">YEAR(C611)</f>
        <v>2025</v>
      </c>
    </row>
    <row r="612" customFormat="false" ht="15" hidden="false" customHeight="false" outlineLevel="0" collapsed="false">
      <c r="A612" s="7" t="s">
        <v>1862</v>
      </c>
      <c r="B612" s="7" t="s">
        <v>137</v>
      </c>
      <c r="C612" s="20" t="n">
        <v>45723</v>
      </c>
      <c r="D612" s="20" t="n">
        <v>45723</v>
      </c>
      <c r="E612" s="20"/>
      <c r="F612" s="7" t="s">
        <v>759</v>
      </c>
      <c r="G612" s="7" t="s">
        <v>153</v>
      </c>
      <c r="H612" s="7" t="s">
        <v>1555</v>
      </c>
      <c r="I612" s="7" t="s">
        <v>1556</v>
      </c>
      <c r="J612" s="7" t="s">
        <v>761</v>
      </c>
      <c r="K612" s="7" t="s">
        <v>1557</v>
      </c>
      <c r="L612" s="7" t="s">
        <v>1863</v>
      </c>
      <c r="M612" s="7" t="s">
        <v>1559</v>
      </c>
      <c r="N612" s="16"/>
      <c r="O612" s="7"/>
      <c r="P612" s="22"/>
      <c r="Q612" s="8" t="n">
        <v>268500</v>
      </c>
      <c r="R612" s="8" t="n">
        <v>-268500</v>
      </c>
      <c r="S612" s="7" t="s">
        <v>1560</v>
      </c>
      <c r="T612" s="7"/>
      <c r="U612" s="7"/>
      <c r="V612" s="20"/>
      <c r="W612" s="7" t="s">
        <v>1864</v>
      </c>
      <c r="X612" s="7"/>
      <c r="Y612" s="7"/>
      <c r="Z612" s="7"/>
      <c r="AA612" s="23" t="n">
        <f aca="false">YEAR(C612)</f>
        <v>2025</v>
      </c>
    </row>
    <row r="613" customFormat="false" ht="15" hidden="false" customHeight="false" outlineLevel="0" collapsed="false">
      <c r="A613" s="7" t="s">
        <v>1865</v>
      </c>
      <c r="B613" s="7" t="s">
        <v>137</v>
      </c>
      <c r="C613" s="20" t="n">
        <v>45723</v>
      </c>
      <c r="D613" s="20" t="n">
        <v>45723</v>
      </c>
      <c r="E613" s="20"/>
      <c r="F613" s="7" t="s">
        <v>759</v>
      </c>
      <c r="G613" s="7" t="s">
        <v>153</v>
      </c>
      <c r="H613" s="7" t="s">
        <v>1585</v>
      </c>
      <c r="I613" s="7" t="s">
        <v>1586</v>
      </c>
      <c r="J613" s="7" t="s">
        <v>761</v>
      </c>
      <c r="K613" s="7" t="s">
        <v>1557</v>
      </c>
      <c r="L613" s="7" t="s">
        <v>1866</v>
      </c>
      <c r="M613" s="7" t="s">
        <v>1559</v>
      </c>
      <c r="N613" s="16"/>
      <c r="O613" s="7"/>
      <c r="P613" s="22"/>
      <c r="Q613" s="8" t="n">
        <v>58000</v>
      </c>
      <c r="R613" s="8" t="n">
        <v>58000</v>
      </c>
      <c r="S613" s="7" t="s">
        <v>1867</v>
      </c>
      <c r="T613" s="7"/>
      <c r="U613" s="7"/>
      <c r="V613" s="20"/>
      <c r="W613" s="7" t="s">
        <v>1868</v>
      </c>
      <c r="X613" s="7"/>
      <c r="Y613" s="7"/>
      <c r="Z613" s="7"/>
      <c r="AA613" s="23" t="n">
        <f aca="false">YEAR(C613)</f>
        <v>2025</v>
      </c>
    </row>
    <row r="614" customFormat="false" ht="15" hidden="false" customHeight="false" outlineLevel="0" collapsed="false">
      <c r="A614" s="7" t="s">
        <v>1869</v>
      </c>
      <c r="B614" s="7" t="s">
        <v>137</v>
      </c>
      <c r="C614" s="20" t="n">
        <v>45724</v>
      </c>
      <c r="D614" s="20" t="n">
        <v>45769</v>
      </c>
      <c r="E614" s="20"/>
      <c r="F614" s="7" t="s">
        <v>759</v>
      </c>
      <c r="G614" s="7" t="s">
        <v>153</v>
      </c>
      <c r="H614" s="7" t="s">
        <v>244</v>
      </c>
      <c r="I614" s="7" t="s">
        <v>245</v>
      </c>
      <c r="J614" s="7" t="s">
        <v>229</v>
      </c>
      <c r="K614" s="7" t="s">
        <v>233</v>
      </c>
      <c r="L614" s="7" t="s">
        <v>570</v>
      </c>
      <c r="M614" s="7"/>
      <c r="N614" s="16"/>
      <c r="O614" s="7"/>
      <c r="P614" s="22"/>
      <c r="Q614" s="8" t="n">
        <v>165</v>
      </c>
      <c r="R614" s="8" t="n">
        <v>-165</v>
      </c>
      <c r="S614" s="7" t="s">
        <v>765</v>
      </c>
      <c r="T614" s="7"/>
      <c r="U614" s="7"/>
      <c r="V614" s="20"/>
      <c r="W614" s="7"/>
      <c r="X614" s="7"/>
      <c r="Y614" s="7"/>
      <c r="Z614" s="7"/>
      <c r="AA614" s="23" t="n">
        <f aca="false">YEAR(C614)</f>
        <v>2025</v>
      </c>
    </row>
    <row r="615" customFormat="false" ht="15" hidden="false" customHeight="false" outlineLevel="0" collapsed="false">
      <c r="A615" s="7" t="s">
        <v>1870</v>
      </c>
      <c r="B615" s="7" t="s">
        <v>137</v>
      </c>
      <c r="C615" s="20" t="n">
        <v>45726</v>
      </c>
      <c r="D615" s="20" t="n">
        <v>45726</v>
      </c>
      <c r="E615" s="20"/>
      <c r="F615" s="7" t="s">
        <v>759</v>
      </c>
      <c r="G615" s="7" t="s">
        <v>153</v>
      </c>
      <c r="H615" s="7" t="s">
        <v>237</v>
      </c>
      <c r="I615" s="7" t="s">
        <v>238</v>
      </c>
      <c r="J615" s="7" t="s">
        <v>236</v>
      </c>
      <c r="K615" s="7" t="s">
        <v>189</v>
      </c>
      <c r="L615" s="7" t="s">
        <v>1871</v>
      </c>
      <c r="M615" s="7" t="s">
        <v>768</v>
      </c>
      <c r="N615" s="16"/>
      <c r="O615" s="7"/>
      <c r="P615" s="22"/>
      <c r="Q615" s="8" t="n">
        <v>42.75</v>
      </c>
      <c r="R615" s="8" t="n">
        <v>-42.75</v>
      </c>
      <c r="S615" s="7" t="s">
        <v>744</v>
      </c>
      <c r="T615" s="7"/>
      <c r="U615" s="7"/>
      <c r="V615" s="20"/>
      <c r="W615" s="7"/>
      <c r="X615" s="7" t="s">
        <v>769</v>
      </c>
      <c r="Y615" s="7"/>
      <c r="Z615" s="7"/>
      <c r="AA615" s="23" t="n">
        <f aca="false">YEAR(C615)</f>
        <v>2025</v>
      </c>
    </row>
    <row r="616" customFormat="false" ht="15" hidden="false" customHeight="false" outlineLevel="0" collapsed="false">
      <c r="A616" s="7" t="s">
        <v>1872</v>
      </c>
      <c r="B616" s="7" t="s">
        <v>137</v>
      </c>
      <c r="C616" s="20" t="n">
        <v>45726</v>
      </c>
      <c r="D616" s="20" t="n">
        <v>45726</v>
      </c>
      <c r="E616" s="20"/>
      <c r="F616" s="7" t="s">
        <v>759</v>
      </c>
      <c r="G616" s="7" t="s">
        <v>153</v>
      </c>
      <c r="H616" s="7" t="s">
        <v>559</v>
      </c>
      <c r="I616" s="7" t="s">
        <v>771</v>
      </c>
      <c r="J616" s="7" t="s">
        <v>761</v>
      </c>
      <c r="K616" s="7" t="s">
        <v>772</v>
      </c>
      <c r="L616" s="7" t="s">
        <v>1873</v>
      </c>
      <c r="M616" s="7" t="s">
        <v>768</v>
      </c>
      <c r="N616" s="16"/>
      <c r="O616" s="7"/>
      <c r="P616" s="22"/>
      <c r="Q616" s="8" t="n">
        <v>802.34</v>
      </c>
      <c r="R616" s="8" t="n">
        <v>-802.34</v>
      </c>
      <c r="S616" s="7" t="s">
        <v>744</v>
      </c>
      <c r="T616" s="7"/>
      <c r="U616" s="7"/>
      <c r="V616" s="20"/>
      <c r="W616" s="7"/>
      <c r="X616" s="7" t="s">
        <v>769</v>
      </c>
      <c r="Y616" s="7"/>
      <c r="Z616" s="7"/>
      <c r="AA616" s="23" t="n">
        <f aca="false">YEAR(C616)</f>
        <v>2025</v>
      </c>
    </row>
    <row r="617" customFormat="false" ht="15" hidden="false" customHeight="false" outlineLevel="0" collapsed="false">
      <c r="A617" s="7" t="s">
        <v>1874</v>
      </c>
      <c r="B617" s="7" t="s">
        <v>137</v>
      </c>
      <c r="C617" s="20" t="n">
        <v>45728</v>
      </c>
      <c r="D617" s="20" t="n">
        <v>45728</v>
      </c>
      <c r="E617" s="20"/>
      <c r="F617" s="7" t="s">
        <v>759</v>
      </c>
      <c r="G617" s="7" t="s">
        <v>153</v>
      </c>
      <c r="H617" s="7" t="s">
        <v>240</v>
      </c>
      <c r="I617" s="7" t="s">
        <v>239</v>
      </c>
      <c r="J617" s="7" t="s">
        <v>229</v>
      </c>
      <c r="K617" s="7" t="s">
        <v>239</v>
      </c>
      <c r="L617" s="7" t="s">
        <v>548</v>
      </c>
      <c r="M617" s="7" t="s">
        <v>547</v>
      </c>
      <c r="N617" s="16"/>
      <c r="O617" s="7"/>
      <c r="P617" s="22"/>
      <c r="Q617" s="8" t="n">
        <v>274.99</v>
      </c>
      <c r="R617" s="8" t="n">
        <v>-274.99</v>
      </c>
      <c r="S617" s="7" t="s">
        <v>775</v>
      </c>
      <c r="T617" s="7"/>
      <c r="U617" s="7"/>
      <c r="V617" s="20"/>
      <c r="W617" s="7"/>
      <c r="X617" s="7"/>
      <c r="Y617" s="7"/>
      <c r="Z617" s="7"/>
      <c r="AA617" s="23" t="n">
        <f aca="false">YEAR(C617)</f>
        <v>2025</v>
      </c>
    </row>
    <row r="618" customFormat="false" ht="15" hidden="false" customHeight="false" outlineLevel="0" collapsed="false">
      <c r="A618" s="7" t="s">
        <v>1875</v>
      </c>
      <c r="B618" s="7" t="s">
        <v>137</v>
      </c>
      <c r="C618" s="20" t="n">
        <v>45730</v>
      </c>
      <c r="D618" s="20" t="n">
        <v>45761</v>
      </c>
      <c r="E618" s="20"/>
      <c r="F618" s="7" t="s">
        <v>759</v>
      </c>
      <c r="G618" s="7" t="s">
        <v>153</v>
      </c>
      <c r="H618" s="7" t="s">
        <v>261</v>
      </c>
      <c r="I618" s="7" t="s">
        <v>262</v>
      </c>
      <c r="J618" s="7" t="s">
        <v>221</v>
      </c>
      <c r="K618" s="7" t="s">
        <v>260</v>
      </c>
      <c r="L618" s="7" t="s">
        <v>623</v>
      </c>
      <c r="M618" s="7" t="s">
        <v>538</v>
      </c>
      <c r="N618" s="16"/>
      <c r="O618" s="7"/>
      <c r="P618" s="22"/>
      <c r="Q618" s="8" t="n">
        <v>1500.64</v>
      </c>
      <c r="R618" s="8" t="n">
        <v>-1500.64</v>
      </c>
      <c r="S618" s="7" t="s">
        <v>751</v>
      </c>
      <c r="T618" s="7"/>
      <c r="U618" s="7" t="s">
        <v>1876</v>
      </c>
      <c r="V618" s="20" t="n">
        <v>45760</v>
      </c>
      <c r="W618" s="7"/>
      <c r="X618" s="7"/>
      <c r="Y618" s="7"/>
      <c r="Z618" s="7"/>
      <c r="AA618" s="23" t="n">
        <f aca="false">YEAR(C618)</f>
        <v>2025</v>
      </c>
    </row>
    <row r="619" customFormat="false" ht="15" hidden="false" customHeight="false" outlineLevel="0" collapsed="false">
      <c r="A619" s="7" t="s">
        <v>1877</v>
      </c>
      <c r="B619" s="7" t="s">
        <v>137</v>
      </c>
      <c r="C619" s="20" t="n">
        <v>45731</v>
      </c>
      <c r="D619" s="20" t="n">
        <v>45731</v>
      </c>
      <c r="E619" s="20"/>
      <c r="F619" s="7" t="s">
        <v>759</v>
      </c>
      <c r="G619" s="7" t="s">
        <v>146</v>
      </c>
      <c r="H619" s="7" t="s">
        <v>258</v>
      </c>
      <c r="I619" s="7" t="s">
        <v>259</v>
      </c>
      <c r="J619" s="7" t="s">
        <v>221</v>
      </c>
      <c r="K619" s="7" t="s">
        <v>257</v>
      </c>
      <c r="L619" s="7" t="s">
        <v>839</v>
      </c>
      <c r="M619" s="7" t="s">
        <v>840</v>
      </c>
      <c r="N619" s="16"/>
      <c r="O619" s="7"/>
      <c r="P619" s="22"/>
      <c r="Q619" s="8" t="n">
        <v>1440</v>
      </c>
      <c r="R619" s="8" t="n">
        <v>-1440</v>
      </c>
      <c r="S619" s="7" t="s">
        <v>33</v>
      </c>
      <c r="T619" s="7"/>
      <c r="U619" s="7"/>
      <c r="V619" s="20"/>
      <c r="W619" s="7"/>
      <c r="X619" s="7"/>
      <c r="Y619" s="7" t="s">
        <v>709</v>
      </c>
      <c r="Z619" s="7"/>
      <c r="AA619" s="23" t="n">
        <f aca="false">YEAR(C619)</f>
        <v>2025</v>
      </c>
    </row>
    <row r="620" customFormat="false" ht="15" hidden="false" customHeight="false" outlineLevel="0" collapsed="false">
      <c r="A620" s="7" t="s">
        <v>1878</v>
      </c>
      <c r="B620" s="7" t="s">
        <v>137</v>
      </c>
      <c r="C620" s="20" t="n">
        <v>45731</v>
      </c>
      <c r="D620" s="20" t="n">
        <v>45731</v>
      </c>
      <c r="E620" s="20"/>
      <c r="F620" s="7" t="s">
        <v>759</v>
      </c>
      <c r="G620" s="7" t="s">
        <v>141</v>
      </c>
      <c r="H620" s="7" t="s">
        <v>258</v>
      </c>
      <c r="I620" s="7" t="s">
        <v>259</v>
      </c>
      <c r="J620" s="7" t="s">
        <v>221</v>
      </c>
      <c r="K620" s="7" t="s">
        <v>257</v>
      </c>
      <c r="L620" s="7" t="s">
        <v>842</v>
      </c>
      <c r="M620" s="7" t="s">
        <v>840</v>
      </c>
      <c r="N620" s="16"/>
      <c r="O620" s="7"/>
      <c r="P620" s="22"/>
      <c r="Q620" s="8" t="n">
        <v>3500</v>
      </c>
      <c r="R620" s="8" t="n">
        <v>-3500</v>
      </c>
      <c r="S620" s="7" t="s">
        <v>33</v>
      </c>
      <c r="T620" s="7"/>
      <c r="U620" s="7"/>
      <c r="V620" s="20"/>
      <c r="W620" s="7"/>
      <c r="X620" s="7"/>
      <c r="Y620" s="7" t="s">
        <v>710</v>
      </c>
      <c r="Z620" s="7"/>
      <c r="AA620" s="23" t="n">
        <f aca="false">YEAR(C620)</f>
        <v>2025</v>
      </c>
    </row>
    <row r="621" customFormat="false" ht="15" hidden="false" customHeight="false" outlineLevel="0" collapsed="false">
      <c r="A621" s="7" t="s">
        <v>1879</v>
      </c>
      <c r="B621" s="7" t="s">
        <v>137</v>
      </c>
      <c r="C621" s="20" t="n">
        <v>45731</v>
      </c>
      <c r="D621" s="20" t="n">
        <v>45731</v>
      </c>
      <c r="E621" s="20"/>
      <c r="F621" s="7" t="s">
        <v>759</v>
      </c>
      <c r="G621" s="7" t="s">
        <v>144</v>
      </c>
      <c r="H621" s="7" t="s">
        <v>258</v>
      </c>
      <c r="I621" s="7" t="s">
        <v>259</v>
      </c>
      <c r="J621" s="7" t="s">
        <v>221</v>
      </c>
      <c r="K621" s="7" t="s">
        <v>257</v>
      </c>
      <c r="L621" s="7" t="s">
        <v>1354</v>
      </c>
      <c r="M621" s="7" t="s">
        <v>840</v>
      </c>
      <c r="N621" s="16"/>
      <c r="O621" s="7"/>
      <c r="P621" s="22"/>
      <c r="Q621" s="8" t="n">
        <v>960</v>
      </c>
      <c r="R621" s="8" t="n">
        <v>-960</v>
      </c>
      <c r="S621" s="7" t="s">
        <v>33</v>
      </c>
      <c r="T621" s="7"/>
      <c r="U621" s="7"/>
      <c r="V621" s="20"/>
      <c r="W621" s="7"/>
      <c r="X621" s="7"/>
      <c r="Y621" s="7" t="s">
        <v>711</v>
      </c>
      <c r="Z621" s="7"/>
      <c r="AA621" s="23" t="n">
        <f aca="false">YEAR(C621)</f>
        <v>2025</v>
      </c>
    </row>
    <row r="622" customFormat="false" ht="15" hidden="false" customHeight="false" outlineLevel="0" collapsed="false">
      <c r="A622" s="7" t="s">
        <v>1880</v>
      </c>
      <c r="B622" s="7" t="s">
        <v>137</v>
      </c>
      <c r="C622" s="20" t="n">
        <v>45732</v>
      </c>
      <c r="D622" s="20" t="n">
        <v>45732</v>
      </c>
      <c r="E622" s="20"/>
      <c r="F622" s="7" t="s">
        <v>759</v>
      </c>
      <c r="G622" s="7" t="s">
        <v>149</v>
      </c>
      <c r="H622" s="7" t="s">
        <v>237</v>
      </c>
      <c r="I622" s="7" t="s">
        <v>238</v>
      </c>
      <c r="J622" s="7" t="s">
        <v>236</v>
      </c>
      <c r="K622" s="7" t="s">
        <v>189</v>
      </c>
      <c r="L622" s="7" t="s">
        <v>1881</v>
      </c>
      <c r="M622" s="7" t="s">
        <v>556</v>
      </c>
      <c r="N622" s="16"/>
      <c r="O622" s="7"/>
      <c r="P622" s="22"/>
      <c r="Q622" s="8" t="n">
        <v>387.25</v>
      </c>
      <c r="R622" s="8" t="n">
        <v>-387.25</v>
      </c>
      <c r="S622" s="7" t="s">
        <v>744</v>
      </c>
      <c r="T622" s="7"/>
      <c r="U622" s="7"/>
      <c r="V622" s="20"/>
      <c r="W622" s="7"/>
      <c r="X622" s="7" t="s">
        <v>1552</v>
      </c>
      <c r="Y622" s="7"/>
      <c r="Z622" s="7"/>
      <c r="AA622" s="23" t="n">
        <f aca="false">YEAR(C622)</f>
        <v>2025</v>
      </c>
    </row>
    <row r="623" customFormat="false" ht="15" hidden="false" customHeight="false" outlineLevel="0" collapsed="false">
      <c r="A623" s="7" t="s">
        <v>1882</v>
      </c>
      <c r="B623" s="7" t="s">
        <v>137</v>
      </c>
      <c r="C623" s="20" t="n">
        <v>45732</v>
      </c>
      <c r="D623" s="20" t="n">
        <v>45732</v>
      </c>
      <c r="E623" s="20"/>
      <c r="F623" s="7" t="s">
        <v>759</v>
      </c>
      <c r="G623" s="7" t="s">
        <v>149</v>
      </c>
      <c r="H623" s="7" t="s">
        <v>559</v>
      </c>
      <c r="I623" s="7" t="s">
        <v>771</v>
      </c>
      <c r="J623" s="7" t="s">
        <v>761</v>
      </c>
      <c r="K623" s="7" t="s">
        <v>772</v>
      </c>
      <c r="L623" s="7" t="s">
        <v>1883</v>
      </c>
      <c r="M623" s="7" t="s">
        <v>556</v>
      </c>
      <c r="N623" s="16"/>
      <c r="O623" s="7"/>
      <c r="P623" s="22"/>
      <c r="Q623" s="8" t="n">
        <v>1345.24</v>
      </c>
      <c r="R623" s="8" t="n">
        <v>-1345.24</v>
      </c>
      <c r="S623" s="7" t="s">
        <v>744</v>
      </c>
      <c r="T623" s="7"/>
      <c r="U623" s="7"/>
      <c r="V623" s="20"/>
      <c r="W623" s="7"/>
      <c r="X623" s="7" t="s">
        <v>1552</v>
      </c>
      <c r="Y623" s="7"/>
      <c r="Z623" s="7"/>
      <c r="AA623" s="23" t="n">
        <f aca="false">YEAR(C623)</f>
        <v>2025</v>
      </c>
    </row>
    <row r="624" customFormat="false" ht="15" hidden="false" customHeight="false" outlineLevel="0" collapsed="false">
      <c r="A624" s="7" t="s">
        <v>1884</v>
      </c>
      <c r="B624" s="7" t="s">
        <v>137</v>
      </c>
      <c r="C624" s="20" t="n">
        <v>45742</v>
      </c>
      <c r="D624" s="20" t="n">
        <v>45769</v>
      </c>
      <c r="E624" s="20"/>
      <c r="F624" s="7" t="s">
        <v>759</v>
      </c>
      <c r="G624" s="7" t="s">
        <v>153</v>
      </c>
      <c r="H624" s="7" t="s">
        <v>242</v>
      </c>
      <c r="I624" s="7" t="s">
        <v>243</v>
      </c>
      <c r="J624" s="7" t="s">
        <v>229</v>
      </c>
      <c r="K624" s="7" t="s">
        <v>241</v>
      </c>
      <c r="L624" s="7" t="s">
        <v>571</v>
      </c>
      <c r="M624" s="7"/>
      <c r="N624" s="16"/>
      <c r="O624" s="7"/>
      <c r="P624" s="22"/>
      <c r="Q624" s="8" t="n">
        <v>336.8</v>
      </c>
      <c r="R624" s="8" t="n">
        <v>-336.8</v>
      </c>
      <c r="S624" s="7" t="s">
        <v>765</v>
      </c>
      <c r="T624" s="7"/>
      <c r="U624" s="7"/>
      <c r="V624" s="20"/>
      <c r="W624" s="7"/>
      <c r="X624" s="7"/>
      <c r="Y624" s="7"/>
      <c r="Z624" s="7"/>
      <c r="AA624" s="23" t="n">
        <f aca="false">YEAR(C624)</f>
        <v>2025</v>
      </c>
    </row>
    <row r="625" customFormat="false" ht="15" hidden="false" customHeight="false" outlineLevel="0" collapsed="false">
      <c r="A625" s="7" t="s">
        <v>1885</v>
      </c>
      <c r="B625" s="7" t="s">
        <v>137</v>
      </c>
      <c r="C625" s="20" t="n">
        <v>45744</v>
      </c>
      <c r="D625" s="20" t="n">
        <v>45775</v>
      </c>
      <c r="E625" s="20"/>
      <c r="F625" s="7" t="s">
        <v>759</v>
      </c>
      <c r="G625" s="7" t="s">
        <v>146</v>
      </c>
      <c r="H625" s="7" t="s">
        <v>264</v>
      </c>
      <c r="I625" s="7" t="s">
        <v>263</v>
      </c>
      <c r="J625" s="7" t="s">
        <v>221</v>
      </c>
      <c r="K625" s="7" t="s">
        <v>263</v>
      </c>
      <c r="L625" s="7" t="s">
        <v>847</v>
      </c>
      <c r="M625" s="7" t="s">
        <v>563</v>
      </c>
      <c r="N625" s="16"/>
      <c r="O625" s="7"/>
      <c r="P625" s="22"/>
      <c r="Q625" s="8" t="n">
        <v>1176</v>
      </c>
      <c r="R625" s="8" t="n">
        <v>-1176</v>
      </c>
      <c r="S625" s="7" t="s">
        <v>751</v>
      </c>
      <c r="T625" s="7"/>
      <c r="U625" s="7" t="s">
        <v>1886</v>
      </c>
      <c r="V625" s="20" t="n">
        <v>45774</v>
      </c>
      <c r="W625" s="7"/>
      <c r="X625" s="7"/>
      <c r="Y625" s="7" t="s">
        <v>709</v>
      </c>
      <c r="Z625" s="7"/>
      <c r="AA625" s="23" t="n">
        <f aca="false">YEAR(C625)</f>
        <v>2025</v>
      </c>
    </row>
    <row r="626" customFormat="false" ht="15" hidden="false" customHeight="false" outlineLevel="0" collapsed="false">
      <c r="A626" s="7" t="s">
        <v>1887</v>
      </c>
      <c r="B626" s="7" t="s">
        <v>137</v>
      </c>
      <c r="C626" s="20" t="n">
        <v>45747</v>
      </c>
      <c r="D626" s="20" t="n">
        <v>45747</v>
      </c>
      <c r="E626" s="20"/>
      <c r="F626" s="7" t="s">
        <v>759</v>
      </c>
      <c r="G626" s="7" t="s">
        <v>153</v>
      </c>
      <c r="H626" s="7" t="s">
        <v>246</v>
      </c>
      <c r="I626" s="7" t="s">
        <v>247</v>
      </c>
      <c r="J626" s="7" t="s">
        <v>236</v>
      </c>
      <c r="K626" s="7" t="s">
        <v>189</v>
      </c>
      <c r="L626" s="7" t="s">
        <v>808</v>
      </c>
      <c r="M626" s="7" t="s">
        <v>556</v>
      </c>
      <c r="N626" s="16"/>
      <c r="O626" s="7"/>
      <c r="P626" s="22"/>
      <c r="Q626" s="8" t="n">
        <v>1060.29</v>
      </c>
      <c r="R626" s="8" t="n">
        <v>-1060.29</v>
      </c>
      <c r="S626" s="7" t="s">
        <v>775</v>
      </c>
      <c r="T626" s="7"/>
      <c r="U626" s="7"/>
      <c r="V626" s="20"/>
      <c r="W626" s="7"/>
      <c r="X626" s="7" t="s">
        <v>784</v>
      </c>
      <c r="Y626" s="7"/>
      <c r="Z626" s="7"/>
      <c r="AA626" s="23" t="n">
        <f aca="false">YEAR(C626)</f>
        <v>2025</v>
      </c>
    </row>
    <row r="627" customFormat="false" ht="15" hidden="false" customHeight="false" outlineLevel="0" collapsed="false">
      <c r="A627" s="7" t="s">
        <v>1888</v>
      </c>
      <c r="B627" s="7" t="s">
        <v>137</v>
      </c>
      <c r="C627" s="20" t="n">
        <v>45748</v>
      </c>
      <c r="D627" s="20" t="n">
        <v>45748</v>
      </c>
      <c r="E627" s="20"/>
      <c r="F627" s="7" t="s">
        <v>759</v>
      </c>
      <c r="G627" s="7" t="s">
        <v>153</v>
      </c>
      <c r="H627" s="7" t="s">
        <v>561</v>
      </c>
      <c r="I627" s="7" t="s">
        <v>363</v>
      </c>
      <c r="J627" s="7" t="s">
        <v>761</v>
      </c>
      <c r="K627" s="7" t="s">
        <v>772</v>
      </c>
      <c r="L627" s="7" t="s">
        <v>562</v>
      </c>
      <c r="M627" s="7" t="s">
        <v>556</v>
      </c>
      <c r="N627" s="16"/>
      <c r="O627" s="7"/>
      <c r="P627" s="22"/>
      <c r="Q627" s="8" t="n">
        <v>17000</v>
      </c>
      <c r="R627" s="8" t="n">
        <v>17000</v>
      </c>
      <c r="S627" s="7" t="s">
        <v>783</v>
      </c>
      <c r="T627" s="7"/>
      <c r="U627" s="7"/>
      <c r="V627" s="20"/>
      <c r="W627" s="7"/>
      <c r="X627" s="7" t="s">
        <v>784</v>
      </c>
      <c r="Y627" s="7"/>
      <c r="Z627" s="7"/>
      <c r="AA627" s="23" t="n">
        <f aca="false">YEAR(C627)</f>
        <v>2025</v>
      </c>
    </row>
    <row r="628" customFormat="false" ht="15" hidden="false" customHeight="false" outlineLevel="0" collapsed="false">
      <c r="A628" s="7" t="s">
        <v>1889</v>
      </c>
      <c r="B628" s="7" t="s">
        <v>137</v>
      </c>
      <c r="C628" s="20" t="n">
        <v>45748</v>
      </c>
      <c r="D628" s="20" t="n">
        <v>45748</v>
      </c>
      <c r="E628" s="20"/>
      <c r="F628" s="7" t="s">
        <v>759</v>
      </c>
      <c r="G628" s="7" t="s">
        <v>153</v>
      </c>
      <c r="H628" s="7" t="s">
        <v>545</v>
      </c>
      <c r="I628" s="7" t="s">
        <v>760</v>
      </c>
      <c r="J628" s="7" t="s">
        <v>761</v>
      </c>
      <c r="K628" s="7" t="s">
        <v>762</v>
      </c>
      <c r="L628" s="7" t="s">
        <v>546</v>
      </c>
      <c r="M628" s="7"/>
      <c r="N628" s="16"/>
      <c r="O628" s="7"/>
      <c r="P628" s="22"/>
      <c r="Q628" s="8" t="n">
        <v>4200</v>
      </c>
      <c r="R628" s="8" t="n">
        <v>-4200</v>
      </c>
      <c r="S628" s="7" t="s">
        <v>763</v>
      </c>
      <c r="T628" s="7"/>
      <c r="U628" s="7"/>
      <c r="V628" s="20"/>
      <c r="W628" s="7"/>
      <c r="X628" s="7"/>
      <c r="Y628" s="7"/>
      <c r="Z628" s="7"/>
      <c r="AA628" s="23" t="n">
        <f aca="false">YEAR(C628)</f>
        <v>2025</v>
      </c>
    </row>
    <row r="629" customFormat="false" ht="15" hidden="false" customHeight="false" outlineLevel="0" collapsed="false">
      <c r="A629" s="7" t="s">
        <v>1890</v>
      </c>
      <c r="B629" s="7" t="s">
        <v>137</v>
      </c>
      <c r="C629" s="20" t="n">
        <v>45748</v>
      </c>
      <c r="D629" s="20" t="n">
        <v>45778</v>
      </c>
      <c r="E629" s="20"/>
      <c r="F629" s="7" t="s">
        <v>759</v>
      </c>
      <c r="G629" s="7" t="s">
        <v>141</v>
      </c>
      <c r="H629" s="7" t="s">
        <v>255</v>
      </c>
      <c r="I629" s="7" t="s">
        <v>256</v>
      </c>
      <c r="J629" s="7" t="s">
        <v>221</v>
      </c>
      <c r="K629" s="7" t="s">
        <v>254</v>
      </c>
      <c r="L629" s="7" t="s">
        <v>850</v>
      </c>
      <c r="M629" s="7" t="s">
        <v>563</v>
      </c>
      <c r="N629" s="16"/>
      <c r="O629" s="7"/>
      <c r="P629" s="22"/>
      <c r="Q629" s="8" t="n">
        <v>6875</v>
      </c>
      <c r="R629" s="8" t="n">
        <v>-6875</v>
      </c>
      <c r="S629" s="7" t="s">
        <v>751</v>
      </c>
      <c r="T629" s="7"/>
      <c r="U629" s="7" t="s">
        <v>1891</v>
      </c>
      <c r="V629" s="20" t="n">
        <v>45778</v>
      </c>
      <c r="W629" s="7"/>
      <c r="X629" s="7"/>
      <c r="Y629" s="7" t="s">
        <v>710</v>
      </c>
      <c r="Z629" s="7"/>
      <c r="AA629" s="23" t="n">
        <f aca="false">YEAR(C629)</f>
        <v>2025</v>
      </c>
    </row>
    <row r="630" customFormat="false" ht="15" hidden="false" customHeight="false" outlineLevel="0" collapsed="false">
      <c r="A630" s="7" t="s">
        <v>1892</v>
      </c>
      <c r="B630" s="7" t="s">
        <v>137</v>
      </c>
      <c r="C630" s="20" t="n">
        <v>45750</v>
      </c>
      <c r="D630" s="20" t="n">
        <v>45750</v>
      </c>
      <c r="E630" s="20"/>
      <c r="F630" s="7" t="s">
        <v>759</v>
      </c>
      <c r="G630" s="7" t="s">
        <v>136</v>
      </c>
      <c r="H630" s="7" t="s">
        <v>303</v>
      </c>
      <c r="I630" s="7" t="s">
        <v>304</v>
      </c>
      <c r="J630" s="7" t="s">
        <v>248</v>
      </c>
      <c r="K630" s="7" t="s">
        <v>286</v>
      </c>
      <c r="L630" s="7" t="s">
        <v>1893</v>
      </c>
      <c r="M630" s="7" t="s">
        <v>551</v>
      </c>
      <c r="N630" s="16"/>
      <c r="O630" s="7"/>
      <c r="P630" s="22"/>
      <c r="Q630" s="8" t="n">
        <v>8135.04</v>
      </c>
      <c r="R630" s="8" t="n">
        <v>8135.04</v>
      </c>
      <c r="S630" s="7" t="s">
        <v>33</v>
      </c>
      <c r="T630" s="7"/>
      <c r="U630" s="7"/>
      <c r="V630" s="20"/>
      <c r="W630" s="7"/>
      <c r="X630" s="7"/>
      <c r="Y630" s="7"/>
      <c r="Z630" s="7"/>
      <c r="AA630" s="23" t="n">
        <f aca="false">YEAR(C630)</f>
        <v>2025</v>
      </c>
    </row>
    <row r="631" customFormat="false" ht="15" hidden="false" customHeight="false" outlineLevel="0" collapsed="false">
      <c r="A631" s="7" t="s">
        <v>1894</v>
      </c>
      <c r="B631" s="7" t="s">
        <v>137</v>
      </c>
      <c r="C631" s="20" t="n">
        <v>45750</v>
      </c>
      <c r="D631" s="20" t="n">
        <v>45750</v>
      </c>
      <c r="E631" s="20"/>
      <c r="F631" s="7" t="s">
        <v>759</v>
      </c>
      <c r="G631" s="7" t="s">
        <v>144</v>
      </c>
      <c r="H631" s="7" t="s">
        <v>303</v>
      </c>
      <c r="I631" s="7" t="s">
        <v>304</v>
      </c>
      <c r="J631" s="7" t="s">
        <v>248</v>
      </c>
      <c r="K631" s="7" t="s">
        <v>286</v>
      </c>
      <c r="L631" s="7" t="s">
        <v>1895</v>
      </c>
      <c r="M631" s="7" t="s">
        <v>551</v>
      </c>
      <c r="N631" s="16"/>
      <c r="O631" s="7"/>
      <c r="P631" s="22"/>
      <c r="Q631" s="8" t="n">
        <v>6100.8</v>
      </c>
      <c r="R631" s="8" t="n">
        <v>6100.8</v>
      </c>
      <c r="S631" s="7" t="s">
        <v>33</v>
      </c>
      <c r="T631" s="7"/>
      <c r="U631" s="7"/>
      <c r="V631" s="20"/>
      <c r="W631" s="7"/>
      <c r="X631" s="7"/>
      <c r="Y631" s="7"/>
      <c r="Z631" s="7"/>
      <c r="AA631" s="23" t="n">
        <f aca="false">YEAR(C631)</f>
        <v>2025</v>
      </c>
    </row>
    <row r="632" customFormat="false" ht="15" hidden="false" customHeight="false" outlineLevel="0" collapsed="false">
      <c r="A632" s="7" t="s">
        <v>1896</v>
      </c>
      <c r="B632" s="7" t="s">
        <v>137</v>
      </c>
      <c r="C632" s="20" t="n">
        <v>45750</v>
      </c>
      <c r="D632" s="20" t="n">
        <v>45750</v>
      </c>
      <c r="E632" s="20"/>
      <c r="F632" s="7" t="s">
        <v>759</v>
      </c>
      <c r="G632" s="7" t="s">
        <v>146</v>
      </c>
      <c r="H632" s="7" t="s">
        <v>303</v>
      </c>
      <c r="I632" s="7" t="s">
        <v>304</v>
      </c>
      <c r="J632" s="7" t="s">
        <v>248</v>
      </c>
      <c r="K632" s="7" t="s">
        <v>286</v>
      </c>
      <c r="L632" s="7" t="s">
        <v>1897</v>
      </c>
      <c r="M632" s="7" t="s">
        <v>551</v>
      </c>
      <c r="N632" s="16"/>
      <c r="O632" s="7"/>
      <c r="P632" s="22"/>
      <c r="Q632" s="8" t="n">
        <v>2455.2</v>
      </c>
      <c r="R632" s="8" t="n">
        <v>2455.2</v>
      </c>
      <c r="S632" s="7" t="s">
        <v>33</v>
      </c>
      <c r="T632" s="7"/>
      <c r="U632" s="7"/>
      <c r="V632" s="20"/>
      <c r="W632" s="7"/>
      <c r="X632" s="7"/>
      <c r="Y632" s="7"/>
      <c r="Z632" s="7"/>
      <c r="AA632" s="23" t="n">
        <f aca="false">YEAR(C632)</f>
        <v>2025</v>
      </c>
    </row>
    <row r="633" customFormat="false" ht="15" hidden="false" customHeight="false" outlineLevel="0" collapsed="false">
      <c r="A633" s="7" t="s">
        <v>1898</v>
      </c>
      <c r="B633" s="7" t="s">
        <v>137</v>
      </c>
      <c r="C633" s="20" t="n">
        <v>45752</v>
      </c>
      <c r="D633" s="20" t="n">
        <v>45646</v>
      </c>
      <c r="E633" s="20"/>
      <c r="F633" s="7" t="s">
        <v>759</v>
      </c>
      <c r="G633" s="7" t="s">
        <v>141</v>
      </c>
      <c r="H633" s="7" t="s">
        <v>255</v>
      </c>
      <c r="I633" s="7" t="s">
        <v>256</v>
      </c>
      <c r="J633" s="7" t="s">
        <v>221</v>
      </c>
      <c r="K633" s="7" t="s">
        <v>254</v>
      </c>
      <c r="L633" s="7" t="s">
        <v>630</v>
      </c>
      <c r="M633" s="7" t="s">
        <v>563</v>
      </c>
      <c r="N633" s="16" t="n">
        <v>125</v>
      </c>
      <c r="O633" s="7" t="s">
        <v>801</v>
      </c>
      <c r="P633" s="22"/>
      <c r="Q633" s="8" t="n">
        <v>12925</v>
      </c>
      <c r="R633" s="8" t="n">
        <v>-12925</v>
      </c>
      <c r="S633" s="7" t="s">
        <v>33</v>
      </c>
      <c r="T633" s="7"/>
      <c r="U633" s="7"/>
      <c r="V633" s="20"/>
      <c r="W633" s="7"/>
      <c r="X633" s="7"/>
      <c r="Y633" s="7" t="s">
        <v>710</v>
      </c>
      <c r="Z633" s="7"/>
      <c r="AA633" s="23" t="n">
        <f aca="false">YEAR(C633)</f>
        <v>2025</v>
      </c>
    </row>
    <row r="634" customFormat="false" ht="15" hidden="false" customHeight="false" outlineLevel="0" collapsed="false">
      <c r="A634" s="7" t="s">
        <v>1899</v>
      </c>
      <c r="B634" s="7" t="s">
        <v>137</v>
      </c>
      <c r="C634" s="20" t="n">
        <v>45753</v>
      </c>
      <c r="D634" s="20" t="n">
        <v>45783</v>
      </c>
      <c r="E634" s="20"/>
      <c r="F634" s="7" t="s">
        <v>759</v>
      </c>
      <c r="G634" s="7" t="s">
        <v>149</v>
      </c>
      <c r="H634" s="7" t="s">
        <v>261</v>
      </c>
      <c r="I634" s="7" t="s">
        <v>262</v>
      </c>
      <c r="J634" s="7" t="s">
        <v>221</v>
      </c>
      <c r="K634" s="7" t="s">
        <v>260</v>
      </c>
      <c r="L634" s="7" t="s">
        <v>579</v>
      </c>
      <c r="M634" s="7" t="s">
        <v>538</v>
      </c>
      <c r="N634" s="16"/>
      <c r="O634" s="7"/>
      <c r="P634" s="22"/>
      <c r="Q634" s="8" t="n">
        <v>1334.81</v>
      </c>
      <c r="R634" s="8" t="n">
        <v>-1334.81</v>
      </c>
      <c r="S634" s="7" t="s">
        <v>751</v>
      </c>
      <c r="T634" s="7"/>
      <c r="U634" s="7" t="s">
        <v>1900</v>
      </c>
      <c r="V634" s="20" t="n">
        <v>45783</v>
      </c>
      <c r="W634" s="7" t="s">
        <v>1561</v>
      </c>
      <c r="X634" s="7"/>
      <c r="Y634" s="7"/>
      <c r="Z634" s="7"/>
      <c r="AA634" s="23" t="n">
        <f aca="false">YEAR(C634)</f>
        <v>2025</v>
      </c>
    </row>
    <row r="635" customFormat="false" ht="15" hidden="false" customHeight="false" outlineLevel="0" collapsed="false">
      <c r="A635" s="7" t="s">
        <v>1901</v>
      </c>
      <c r="B635" s="7" t="s">
        <v>137</v>
      </c>
      <c r="C635" s="20" t="n">
        <v>45755</v>
      </c>
      <c r="D635" s="20" t="n">
        <v>45799</v>
      </c>
      <c r="E635" s="20"/>
      <c r="F635" s="7" t="s">
        <v>759</v>
      </c>
      <c r="G635" s="7" t="s">
        <v>153</v>
      </c>
      <c r="H635" s="7" t="s">
        <v>244</v>
      </c>
      <c r="I635" s="7" t="s">
        <v>245</v>
      </c>
      <c r="J635" s="7" t="s">
        <v>229</v>
      </c>
      <c r="K635" s="7" t="s">
        <v>233</v>
      </c>
      <c r="L635" s="7" t="s">
        <v>570</v>
      </c>
      <c r="M635" s="7"/>
      <c r="N635" s="16"/>
      <c r="O635" s="7"/>
      <c r="P635" s="22"/>
      <c r="Q635" s="8" t="n">
        <v>165</v>
      </c>
      <c r="R635" s="8" t="n">
        <v>-165</v>
      </c>
      <c r="S635" s="7" t="s">
        <v>765</v>
      </c>
      <c r="T635" s="7"/>
      <c r="U635" s="7"/>
      <c r="V635" s="20"/>
      <c r="W635" s="7"/>
      <c r="X635" s="7"/>
      <c r="Y635" s="7"/>
      <c r="Z635" s="7"/>
      <c r="AA635" s="23" t="n">
        <f aca="false">YEAR(C635)</f>
        <v>2025</v>
      </c>
    </row>
    <row r="636" customFormat="false" ht="15" hidden="false" customHeight="false" outlineLevel="0" collapsed="false">
      <c r="A636" s="7" t="s">
        <v>1902</v>
      </c>
      <c r="B636" s="7" t="s">
        <v>137</v>
      </c>
      <c r="C636" s="20" t="n">
        <v>45756</v>
      </c>
      <c r="D636" s="20" t="n">
        <v>45646</v>
      </c>
      <c r="E636" s="20"/>
      <c r="F636" s="7" t="s">
        <v>759</v>
      </c>
      <c r="G636" s="7" t="s">
        <v>141</v>
      </c>
      <c r="H636" s="7" t="s">
        <v>266</v>
      </c>
      <c r="I636" s="7" t="s">
        <v>265</v>
      </c>
      <c r="J636" s="7" t="s">
        <v>221</v>
      </c>
      <c r="K636" s="7" t="s">
        <v>265</v>
      </c>
      <c r="L636" s="7" t="s">
        <v>629</v>
      </c>
      <c r="M636" s="7" t="s">
        <v>628</v>
      </c>
      <c r="N636" s="16" t="n">
        <v>125</v>
      </c>
      <c r="O636" s="7" t="s">
        <v>801</v>
      </c>
      <c r="P636" s="22"/>
      <c r="Q636" s="8" t="n">
        <v>15225</v>
      </c>
      <c r="R636" s="8" t="n">
        <v>-15225</v>
      </c>
      <c r="S636" s="7" t="s">
        <v>33</v>
      </c>
      <c r="T636" s="7"/>
      <c r="U636" s="7"/>
      <c r="V636" s="20"/>
      <c r="W636" s="7"/>
      <c r="X636" s="7"/>
      <c r="Y636" s="7" t="s">
        <v>710</v>
      </c>
      <c r="Z636" s="7"/>
      <c r="AA636" s="23" t="n">
        <f aca="false">YEAR(C636)</f>
        <v>2025</v>
      </c>
    </row>
    <row r="637" customFormat="false" ht="15" hidden="false" customHeight="false" outlineLevel="0" collapsed="false">
      <c r="A637" s="7" t="s">
        <v>1903</v>
      </c>
      <c r="B637" s="7" t="s">
        <v>137</v>
      </c>
      <c r="C637" s="20" t="n">
        <v>45757</v>
      </c>
      <c r="D637" s="20" t="n">
        <v>45757</v>
      </c>
      <c r="E637" s="20"/>
      <c r="F637" s="7" t="s">
        <v>759</v>
      </c>
      <c r="G637" s="7" t="s">
        <v>153</v>
      </c>
      <c r="H637" s="7" t="s">
        <v>237</v>
      </c>
      <c r="I637" s="7" t="s">
        <v>238</v>
      </c>
      <c r="J637" s="7" t="s">
        <v>236</v>
      </c>
      <c r="K637" s="7" t="s">
        <v>189</v>
      </c>
      <c r="L637" s="7" t="s">
        <v>1904</v>
      </c>
      <c r="M637" s="7" t="s">
        <v>768</v>
      </c>
      <c r="N637" s="16"/>
      <c r="O637" s="7"/>
      <c r="P637" s="22"/>
      <c r="Q637" s="8" t="n">
        <v>40.15</v>
      </c>
      <c r="R637" s="8" t="n">
        <v>-40.15</v>
      </c>
      <c r="S637" s="7" t="s">
        <v>744</v>
      </c>
      <c r="T637" s="7"/>
      <c r="U637" s="7"/>
      <c r="V637" s="20"/>
      <c r="W637" s="7"/>
      <c r="X637" s="7" t="s">
        <v>769</v>
      </c>
      <c r="Y637" s="7"/>
      <c r="Z637" s="7"/>
      <c r="AA637" s="23" t="n">
        <f aca="false">YEAR(C637)</f>
        <v>2025</v>
      </c>
    </row>
    <row r="638" customFormat="false" ht="15" hidden="false" customHeight="false" outlineLevel="0" collapsed="false">
      <c r="A638" s="7" t="s">
        <v>1905</v>
      </c>
      <c r="B638" s="7" t="s">
        <v>137</v>
      </c>
      <c r="C638" s="20" t="n">
        <v>45757</v>
      </c>
      <c r="D638" s="20" t="n">
        <v>45757</v>
      </c>
      <c r="E638" s="20"/>
      <c r="F638" s="7" t="s">
        <v>759</v>
      </c>
      <c r="G638" s="7" t="s">
        <v>153</v>
      </c>
      <c r="H638" s="7" t="s">
        <v>559</v>
      </c>
      <c r="I638" s="7" t="s">
        <v>771</v>
      </c>
      <c r="J638" s="7" t="s">
        <v>761</v>
      </c>
      <c r="K638" s="7" t="s">
        <v>772</v>
      </c>
      <c r="L638" s="7" t="s">
        <v>1906</v>
      </c>
      <c r="M638" s="7" t="s">
        <v>768</v>
      </c>
      <c r="N638" s="16"/>
      <c r="O638" s="7"/>
      <c r="P638" s="22"/>
      <c r="Q638" s="8" t="n">
        <v>804.94</v>
      </c>
      <c r="R638" s="8" t="n">
        <v>-804.94</v>
      </c>
      <c r="S638" s="7" t="s">
        <v>744</v>
      </c>
      <c r="T638" s="7"/>
      <c r="U638" s="7"/>
      <c r="V638" s="20"/>
      <c r="W638" s="7"/>
      <c r="X638" s="7" t="s">
        <v>769</v>
      </c>
      <c r="Y638" s="7"/>
      <c r="Z638" s="7"/>
      <c r="AA638" s="23" t="n">
        <f aca="false">YEAR(C638)</f>
        <v>2025</v>
      </c>
    </row>
    <row r="639" customFormat="false" ht="15" hidden="false" customHeight="false" outlineLevel="0" collapsed="false">
      <c r="A639" s="7" t="s">
        <v>1907</v>
      </c>
      <c r="B639" s="7" t="s">
        <v>137</v>
      </c>
      <c r="C639" s="20" t="n">
        <v>45759</v>
      </c>
      <c r="D639" s="20" t="n">
        <v>45759</v>
      </c>
      <c r="E639" s="20"/>
      <c r="F639" s="7" t="s">
        <v>759</v>
      </c>
      <c r="G639" s="7" t="s">
        <v>153</v>
      </c>
      <c r="H639" s="7" t="s">
        <v>240</v>
      </c>
      <c r="I639" s="7" t="s">
        <v>239</v>
      </c>
      <c r="J639" s="7" t="s">
        <v>229</v>
      </c>
      <c r="K639" s="7" t="s">
        <v>239</v>
      </c>
      <c r="L639" s="7" t="s">
        <v>548</v>
      </c>
      <c r="M639" s="7" t="s">
        <v>547</v>
      </c>
      <c r="N639" s="16"/>
      <c r="O639" s="7"/>
      <c r="P639" s="22"/>
      <c r="Q639" s="8" t="n">
        <v>290.24</v>
      </c>
      <c r="R639" s="8" t="n">
        <v>-290.24</v>
      </c>
      <c r="S639" s="7" t="s">
        <v>775</v>
      </c>
      <c r="T639" s="7"/>
      <c r="U639" s="7"/>
      <c r="V639" s="20"/>
      <c r="W639" s="7"/>
      <c r="X639" s="7"/>
      <c r="Y639" s="7"/>
      <c r="Z639" s="7"/>
      <c r="AA639" s="23" t="n">
        <f aca="false">YEAR(C639)</f>
        <v>2025</v>
      </c>
    </row>
    <row r="640" customFormat="false" ht="15" hidden="false" customHeight="false" outlineLevel="0" collapsed="false">
      <c r="A640" s="7" t="s">
        <v>1908</v>
      </c>
      <c r="B640" s="7" t="s">
        <v>137</v>
      </c>
      <c r="C640" s="20" t="n">
        <v>45759</v>
      </c>
      <c r="D640" s="20" t="n">
        <v>45793</v>
      </c>
      <c r="E640" s="20"/>
      <c r="F640" s="7" t="s">
        <v>759</v>
      </c>
      <c r="G640" s="7" t="s">
        <v>136</v>
      </c>
      <c r="H640" s="7" t="s">
        <v>264</v>
      </c>
      <c r="I640" s="7" t="s">
        <v>263</v>
      </c>
      <c r="J640" s="7" t="s">
        <v>221</v>
      </c>
      <c r="K640" s="7" t="s">
        <v>263</v>
      </c>
      <c r="L640" s="7" t="s">
        <v>872</v>
      </c>
      <c r="M640" s="7" t="s">
        <v>591</v>
      </c>
      <c r="N640" s="16" t="n">
        <v>96</v>
      </c>
      <c r="O640" s="7" t="s">
        <v>801</v>
      </c>
      <c r="P640" s="22" t="n">
        <v>23.32</v>
      </c>
      <c r="Q640" s="8" t="n">
        <v>2238.72</v>
      </c>
      <c r="R640" s="8" t="n">
        <v>-2238.72</v>
      </c>
      <c r="S640" s="7" t="s">
        <v>751</v>
      </c>
      <c r="T640" s="7"/>
      <c r="U640" s="7" t="s">
        <v>1909</v>
      </c>
      <c r="V640" s="20" t="n">
        <v>45789</v>
      </c>
      <c r="W640" s="7"/>
      <c r="X640" s="7"/>
      <c r="Y640" s="7" t="s">
        <v>722</v>
      </c>
      <c r="Z640" s="7"/>
      <c r="AA640" s="23" t="n">
        <f aca="false">YEAR(C640)</f>
        <v>2025</v>
      </c>
    </row>
    <row r="641" customFormat="false" ht="15" hidden="false" customHeight="false" outlineLevel="0" collapsed="false">
      <c r="A641" s="7" t="s">
        <v>1910</v>
      </c>
      <c r="B641" s="7" t="s">
        <v>137</v>
      </c>
      <c r="C641" s="20" t="n">
        <v>45759</v>
      </c>
      <c r="D641" s="20" t="n">
        <v>45793</v>
      </c>
      <c r="E641" s="20"/>
      <c r="F641" s="7" t="s">
        <v>759</v>
      </c>
      <c r="G641" s="7" t="s">
        <v>136</v>
      </c>
      <c r="H641" s="7" t="s">
        <v>223</v>
      </c>
      <c r="I641" s="7" t="s">
        <v>224</v>
      </c>
      <c r="J641" s="7" t="s">
        <v>221</v>
      </c>
      <c r="K641" s="7" t="s">
        <v>222</v>
      </c>
      <c r="L641" s="7" t="s">
        <v>875</v>
      </c>
      <c r="M641" s="7" t="s">
        <v>589</v>
      </c>
      <c r="N641" s="16" t="n">
        <v>96</v>
      </c>
      <c r="O641" s="7" t="s">
        <v>801</v>
      </c>
      <c r="P641" s="22" t="n">
        <v>9.54</v>
      </c>
      <c r="Q641" s="8" t="n">
        <v>915.84</v>
      </c>
      <c r="R641" s="8" t="n">
        <v>-915.84</v>
      </c>
      <c r="S641" s="7" t="s">
        <v>751</v>
      </c>
      <c r="T641" s="7"/>
      <c r="U641" s="7" t="s">
        <v>1911</v>
      </c>
      <c r="V641" s="20" t="n">
        <v>45789</v>
      </c>
      <c r="W641" s="7"/>
      <c r="X641" s="7"/>
      <c r="Y641" s="7" t="s">
        <v>722</v>
      </c>
      <c r="Z641" s="7"/>
      <c r="AA641" s="23" t="n">
        <f aca="false">YEAR(C641)</f>
        <v>2025</v>
      </c>
    </row>
    <row r="642" customFormat="false" ht="15" hidden="false" customHeight="false" outlineLevel="0" collapsed="false">
      <c r="A642" s="7" t="s">
        <v>1912</v>
      </c>
      <c r="B642" s="7" t="s">
        <v>137</v>
      </c>
      <c r="C642" s="20" t="n">
        <v>45762</v>
      </c>
      <c r="D642" s="20" t="n">
        <v>45762</v>
      </c>
      <c r="E642" s="20"/>
      <c r="F642" s="7" t="s">
        <v>759</v>
      </c>
      <c r="G642" s="7" t="s">
        <v>153</v>
      </c>
      <c r="H642" s="7" t="s">
        <v>786</v>
      </c>
      <c r="I642" s="7" t="s">
        <v>787</v>
      </c>
      <c r="J642" s="7" t="s">
        <v>761</v>
      </c>
      <c r="K642" s="7" t="s">
        <v>762</v>
      </c>
      <c r="L642" s="7" t="s">
        <v>788</v>
      </c>
      <c r="M642" s="7"/>
      <c r="N642" s="16"/>
      <c r="O642" s="7"/>
      <c r="P642" s="22"/>
      <c r="Q642" s="8" t="n">
        <v>1500</v>
      </c>
      <c r="R642" s="8" t="n">
        <v>-1500</v>
      </c>
      <c r="S642" s="7" t="s">
        <v>789</v>
      </c>
      <c r="T642" s="7"/>
      <c r="U642" s="7"/>
      <c r="V642" s="20"/>
      <c r="W642" s="7"/>
      <c r="X642" s="7"/>
      <c r="Y642" s="7"/>
      <c r="Z642" s="7"/>
      <c r="AA642" s="23" t="n">
        <f aca="false">YEAR(C642)</f>
        <v>2025</v>
      </c>
    </row>
    <row r="643" customFormat="false" ht="15" hidden="false" customHeight="false" outlineLevel="0" collapsed="false">
      <c r="A643" s="7" t="s">
        <v>1913</v>
      </c>
      <c r="B643" s="7" t="s">
        <v>137</v>
      </c>
      <c r="C643" s="20" t="n">
        <v>45763</v>
      </c>
      <c r="D643" s="20" t="n">
        <v>45763</v>
      </c>
      <c r="E643" s="20"/>
      <c r="F643" s="7" t="s">
        <v>759</v>
      </c>
      <c r="G643" s="7" t="s">
        <v>149</v>
      </c>
      <c r="H643" s="7" t="s">
        <v>237</v>
      </c>
      <c r="I643" s="7" t="s">
        <v>238</v>
      </c>
      <c r="J643" s="7" t="s">
        <v>236</v>
      </c>
      <c r="K643" s="7" t="s">
        <v>189</v>
      </c>
      <c r="L643" s="7" t="s">
        <v>1914</v>
      </c>
      <c r="M643" s="7" t="s">
        <v>556</v>
      </c>
      <c r="N643" s="16"/>
      <c r="O643" s="7"/>
      <c r="P643" s="22"/>
      <c r="Q643" s="8" t="n">
        <v>379.12</v>
      </c>
      <c r="R643" s="8" t="n">
        <v>-379.12</v>
      </c>
      <c r="S643" s="7" t="s">
        <v>744</v>
      </c>
      <c r="T643" s="7"/>
      <c r="U643" s="7"/>
      <c r="V643" s="20"/>
      <c r="W643" s="7"/>
      <c r="X643" s="7" t="s">
        <v>1552</v>
      </c>
      <c r="Y643" s="7"/>
      <c r="Z643" s="7"/>
      <c r="AA643" s="23" t="n">
        <f aca="false">YEAR(C643)</f>
        <v>2025</v>
      </c>
    </row>
    <row r="644" customFormat="false" ht="15" hidden="false" customHeight="false" outlineLevel="0" collapsed="false">
      <c r="A644" s="7" t="s">
        <v>1915</v>
      </c>
      <c r="B644" s="7" t="s">
        <v>137</v>
      </c>
      <c r="C644" s="20" t="n">
        <v>45763</v>
      </c>
      <c r="D644" s="20" t="n">
        <v>45763</v>
      </c>
      <c r="E644" s="20"/>
      <c r="F644" s="7" t="s">
        <v>759</v>
      </c>
      <c r="G644" s="7" t="s">
        <v>149</v>
      </c>
      <c r="H644" s="7" t="s">
        <v>559</v>
      </c>
      <c r="I644" s="7" t="s">
        <v>771</v>
      </c>
      <c r="J644" s="7" t="s">
        <v>761</v>
      </c>
      <c r="K644" s="7" t="s">
        <v>772</v>
      </c>
      <c r="L644" s="7" t="s">
        <v>1916</v>
      </c>
      <c r="M644" s="7" t="s">
        <v>556</v>
      </c>
      <c r="N644" s="16"/>
      <c r="O644" s="7"/>
      <c r="P644" s="22"/>
      <c r="Q644" s="8" t="n">
        <v>1353.37</v>
      </c>
      <c r="R644" s="8" t="n">
        <v>-1353.37</v>
      </c>
      <c r="S644" s="7" t="s">
        <v>744</v>
      </c>
      <c r="T644" s="7"/>
      <c r="U644" s="7"/>
      <c r="V644" s="20"/>
      <c r="W644" s="7"/>
      <c r="X644" s="7" t="s">
        <v>1552</v>
      </c>
      <c r="Y644" s="7"/>
      <c r="Z644" s="7"/>
      <c r="AA644" s="23" t="n">
        <f aca="false">YEAR(C644)</f>
        <v>2025</v>
      </c>
    </row>
    <row r="645" customFormat="false" ht="15" hidden="false" customHeight="false" outlineLevel="0" collapsed="false">
      <c r="A645" s="7" t="s">
        <v>1917</v>
      </c>
      <c r="B645" s="7" t="s">
        <v>137</v>
      </c>
      <c r="C645" s="20" t="n">
        <v>45768</v>
      </c>
      <c r="D645" s="20" t="n">
        <v>45798</v>
      </c>
      <c r="E645" s="20"/>
      <c r="F645" s="7" t="s">
        <v>759</v>
      </c>
      <c r="G645" s="7" t="s">
        <v>141</v>
      </c>
      <c r="H645" s="7" t="s">
        <v>268</v>
      </c>
      <c r="I645" s="7" t="s">
        <v>269</v>
      </c>
      <c r="J645" s="7" t="s">
        <v>221</v>
      </c>
      <c r="K645" s="7" t="s">
        <v>267</v>
      </c>
      <c r="L645" s="7" t="s">
        <v>882</v>
      </c>
      <c r="M645" s="7" t="s">
        <v>563</v>
      </c>
      <c r="N645" s="16"/>
      <c r="O645" s="7"/>
      <c r="P645" s="22"/>
      <c r="Q645" s="8" t="n">
        <v>1071</v>
      </c>
      <c r="R645" s="8" t="n">
        <v>-1071</v>
      </c>
      <c r="S645" s="7" t="s">
        <v>751</v>
      </c>
      <c r="T645" s="7"/>
      <c r="U645" s="7" t="s">
        <v>1918</v>
      </c>
      <c r="V645" s="20" t="n">
        <v>45798</v>
      </c>
      <c r="W645" s="7"/>
      <c r="X645" s="7"/>
      <c r="Y645" s="7" t="s">
        <v>710</v>
      </c>
      <c r="Z645" s="7"/>
      <c r="AA645" s="23" t="n">
        <f aca="false">YEAR(C645)</f>
        <v>2025</v>
      </c>
    </row>
    <row r="646" customFormat="false" ht="15" hidden="false" customHeight="false" outlineLevel="0" collapsed="false">
      <c r="A646" s="7" t="s">
        <v>1919</v>
      </c>
      <c r="B646" s="7" t="s">
        <v>137</v>
      </c>
      <c r="C646" s="20" t="n">
        <v>45769</v>
      </c>
      <c r="D646" s="20" t="n">
        <v>45799</v>
      </c>
      <c r="E646" s="20"/>
      <c r="F646" s="7" t="s">
        <v>759</v>
      </c>
      <c r="G646" s="7" t="s">
        <v>153</v>
      </c>
      <c r="H646" s="7" t="s">
        <v>234</v>
      </c>
      <c r="I646" s="7" t="s">
        <v>235</v>
      </c>
      <c r="J646" s="7" t="s">
        <v>229</v>
      </c>
      <c r="K646" s="7" t="s">
        <v>233</v>
      </c>
      <c r="L646" s="7" t="s">
        <v>888</v>
      </c>
      <c r="M646" s="7"/>
      <c r="N646" s="16"/>
      <c r="O646" s="7"/>
      <c r="P646" s="22"/>
      <c r="Q646" s="8" t="n">
        <v>480</v>
      </c>
      <c r="R646" s="8" t="n">
        <v>-480</v>
      </c>
      <c r="S646" s="7" t="s">
        <v>765</v>
      </c>
      <c r="T646" s="7"/>
      <c r="U646" s="7"/>
      <c r="V646" s="20"/>
      <c r="W646" s="7"/>
      <c r="X646" s="7"/>
      <c r="Y646" s="7"/>
      <c r="Z646" s="7"/>
      <c r="AA646" s="23" t="n">
        <f aca="false">YEAR(C646)</f>
        <v>2025</v>
      </c>
    </row>
    <row r="647" customFormat="false" ht="15" hidden="false" customHeight="false" outlineLevel="0" collapsed="false">
      <c r="A647" s="7" t="s">
        <v>1920</v>
      </c>
      <c r="B647" s="7" t="s">
        <v>137</v>
      </c>
      <c r="C647" s="20" t="n">
        <v>45770</v>
      </c>
      <c r="D647" s="20" t="n">
        <v>45800</v>
      </c>
      <c r="E647" s="20"/>
      <c r="F647" s="7" t="s">
        <v>759</v>
      </c>
      <c r="G647" s="7" t="s">
        <v>141</v>
      </c>
      <c r="H647" s="7" t="s">
        <v>264</v>
      </c>
      <c r="I647" s="7" t="s">
        <v>263</v>
      </c>
      <c r="J647" s="7" t="s">
        <v>221</v>
      </c>
      <c r="K647" s="7" t="s">
        <v>263</v>
      </c>
      <c r="L647" s="7" t="s">
        <v>885</v>
      </c>
      <c r="M647" s="7" t="s">
        <v>563</v>
      </c>
      <c r="N647" s="16"/>
      <c r="O647" s="7"/>
      <c r="P647" s="22"/>
      <c r="Q647" s="8" t="n">
        <v>4186.88</v>
      </c>
      <c r="R647" s="8" t="n">
        <v>-4186.88</v>
      </c>
      <c r="S647" s="7" t="s">
        <v>751</v>
      </c>
      <c r="T647" s="7"/>
      <c r="U647" s="7" t="s">
        <v>1921</v>
      </c>
      <c r="V647" s="20" t="n">
        <v>45800</v>
      </c>
      <c r="W647" s="7"/>
      <c r="X647" s="7"/>
      <c r="Y647" s="7" t="s">
        <v>710</v>
      </c>
      <c r="Z647" s="7"/>
      <c r="AA647" s="23" t="n">
        <f aca="false">YEAR(C647)</f>
        <v>2025</v>
      </c>
    </row>
    <row r="648" customFormat="false" ht="15" hidden="false" customHeight="false" outlineLevel="0" collapsed="false">
      <c r="A648" s="7" t="s">
        <v>1922</v>
      </c>
      <c r="B648" s="7" t="s">
        <v>137</v>
      </c>
      <c r="C648" s="20" t="n">
        <v>45772</v>
      </c>
      <c r="D648" s="20" t="n">
        <v>45806</v>
      </c>
      <c r="E648" s="20"/>
      <c r="F648" s="7" t="s">
        <v>759</v>
      </c>
      <c r="G648" s="7" t="s">
        <v>136</v>
      </c>
      <c r="H648" s="7" t="s">
        <v>255</v>
      </c>
      <c r="I648" s="7" t="s">
        <v>256</v>
      </c>
      <c r="J648" s="7" t="s">
        <v>221</v>
      </c>
      <c r="K648" s="7" t="s">
        <v>254</v>
      </c>
      <c r="L648" s="7" t="s">
        <v>892</v>
      </c>
      <c r="M648" s="7" t="s">
        <v>591</v>
      </c>
      <c r="N648" s="16" t="n">
        <v>96</v>
      </c>
      <c r="O648" s="7" t="s">
        <v>801</v>
      </c>
      <c r="P648" s="22" t="n">
        <v>35.8</v>
      </c>
      <c r="Q648" s="8" t="n">
        <v>3436.8</v>
      </c>
      <c r="R648" s="8" t="n">
        <v>-3436.8</v>
      </c>
      <c r="S648" s="7" t="s">
        <v>751</v>
      </c>
      <c r="T648" s="7"/>
      <c r="U648" s="7" t="s">
        <v>1923</v>
      </c>
      <c r="V648" s="20" t="n">
        <v>45802</v>
      </c>
      <c r="W648" s="7"/>
      <c r="X648" s="7"/>
      <c r="Y648" s="7" t="s">
        <v>722</v>
      </c>
      <c r="Z648" s="7"/>
      <c r="AA648" s="23" t="n">
        <f aca="false">YEAR(C648)</f>
        <v>2025</v>
      </c>
    </row>
    <row r="649" customFormat="false" ht="15" hidden="false" customHeight="false" outlineLevel="0" collapsed="false">
      <c r="A649" s="7" t="s">
        <v>1924</v>
      </c>
      <c r="B649" s="7" t="s">
        <v>137</v>
      </c>
      <c r="C649" s="20" t="n">
        <v>45773</v>
      </c>
      <c r="D649" s="20" t="n">
        <v>45799</v>
      </c>
      <c r="E649" s="20"/>
      <c r="F649" s="7" t="s">
        <v>759</v>
      </c>
      <c r="G649" s="7" t="s">
        <v>153</v>
      </c>
      <c r="H649" s="7" t="s">
        <v>242</v>
      </c>
      <c r="I649" s="7" t="s">
        <v>243</v>
      </c>
      <c r="J649" s="7" t="s">
        <v>229</v>
      </c>
      <c r="K649" s="7" t="s">
        <v>241</v>
      </c>
      <c r="L649" s="7" t="s">
        <v>571</v>
      </c>
      <c r="M649" s="7"/>
      <c r="N649" s="16"/>
      <c r="O649" s="7"/>
      <c r="P649" s="22"/>
      <c r="Q649" s="8" t="n">
        <v>306.62</v>
      </c>
      <c r="R649" s="8" t="n">
        <v>-306.62</v>
      </c>
      <c r="S649" s="7" t="s">
        <v>765</v>
      </c>
      <c r="T649" s="7"/>
      <c r="U649" s="7"/>
      <c r="V649" s="20"/>
      <c r="W649" s="7"/>
      <c r="X649" s="7"/>
      <c r="Y649" s="7"/>
      <c r="Z649" s="7"/>
      <c r="AA649" s="23" t="n">
        <f aca="false">YEAR(C649)</f>
        <v>2025</v>
      </c>
    </row>
    <row r="650" customFormat="false" ht="15" hidden="false" customHeight="false" outlineLevel="0" collapsed="false">
      <c r="A650" s="7" t="s">
        <v>1925</v>
      </c>
      <c r="B650" s="7" t="s">
        <v>137</v>
      </c>
      <c r="C650" s="20" t="n">
        <v>45777</v>
      </c>
      <c r="D650" s="20" t="n">
        <v>45777</v>
      </c>
      <c r="E650" s="20"/>
      <c r="F650" s="7" t="s">
        <v>759</v>
      </c>
      <c r="G650" s="7" t="s">
        <v>153</v>
      </c>
      <c r="H650" s="7" t="s">
        <v>246</v>
      </c>
      <c r="I650" s="7" t="s">
        <v>247</v>
      </c>
      <c r="J650" s="7" t="s">
        <v>236</v>
      </c>
      <c r="K650" s="7" t="s">
        <v>189</v>
      </c>
      <c r="L650" s="7" t="s">
        <v>808</v>
      </c>
      <c r="M650" s="7" t="s">
        <v>556</v>
      </c>
      <c r="N650" s="16"/>
      <c r="O650" s="7"/>
      <c r="P650" s="22"/>
      <c r="Q650" s="8" t="n">
        <v>1201.64</v>
      </c>
      <c r="R650" s="8" t="n">
        <v>-1201.64</v>
      </c>
      <c r="S650" s="7" t="s">
        <v>775</v>
      </c>
      <c r="T650" s="7"/>
      <c r="U650" s="7"/>
      <c r="V650" s="20"/>
      <c r="W650" s="7"/>
      <c r="X650" s="7" t="s">
        <v>784</v>
      </c>
      <c r="Y650" s="7"/>
      <c r="Z650" s="7"/>
      <c r="AA650" s="23" t="n">
        <f aca="false">YEAR(C650)</f>
        <v>2025</v>
      </c>
    </row>
    <row r="651" customFormat="false" ht="15" hidden="false" customHeight="false" outlineLevel="0" collapsed="false">
      <c r="A651" s="7" t="s">
        <v>1926</v>
      </c>
      <c r="B651" s="7" t="s">
        <v>137</v>
      </c>
      <c r="C651" s="20" t="n">
        <v>45778</v>
      </c>
      <c r="D651" s="20" t="n">
        <v>45778</v>
      </c>
      <c r="E651" s="20"/>
      <c r="F651" s="7" t="s">
        <v>759</v>
      </c>
      <c r="G651" s="7" t="s">
        <v>153</v>
      </c>
      <c r="H651" s="7" t="s">
        <v>545</v>
      </c>
      <c r="I651" s="7" t="s">
        <v>760</v>
      </c>
      <c r="J651" s="7" t="s">
        <v>761</v>
      </c>
      <c r="K651" s="7" t="s">
        <v>762</v>
      </c>
      <c r="L651" s="7" t="s">
        <v>546</v>
      </c>
      <c r="M651" s="7"/>
      <c r="N651" s="16"/>
      <c r="O651" s="7"/>
      <c r="P651" s="22"/>
      <c r="Q651" s="8" t="n">
        <v>4200</v>
      </c>
      <c r="R651" s="8" t="n">
        <v>-4200</v>
      </c>
      <c r="S651" s="7" t="s">
        <v>763</v>
      </c>
      <c r="T651" s="7"/>
      <c r="U651" s="7"/>
      <c r="V651" s="20"/>
      <c r="W651" s="7"/>
      <c r="X651" s="7"/>
      <c r="Y651" s="7"/>
      <c r="Z651" s="7"/>
      <c r="AA651" s="23" t="n">
        <f aca="false">YEAR(C651)</f>
        <v>2025</v>
      </c>
    </row>
    <row r="652" customFormat="false" ht="15" hidden="false" customHeight="false" outlineLevel="0" collapsed="false">
      <c r="A652" s="7" t="s">
        <v>1927</v>
      </c>
      <c r="B652" s="7" t="s">
        <v>137</v>
      </c>
      <c r="C652" s="20" t="n">
        <v>45779</v>
      </c>
      <c r="D652" s="20" t="n">
        <v>45810</v>
      </c>
      <c r="E652" s="20"/>
      <c r="F652" s="7" t="s">
        <v>759</v>
      </c>
      <c r="G652" s="7" t="s">
        <v>146</v>
      </c>
      <c r="H652" s="7" t="s">
        <v>264</v>
      </c>
      <c r="I652" s="7" t="s">
        <v>263</v>
      </c>
      <c r="J652" s="7" t="s">
        <v>221</v>
      </c>
      <c r="K652" s="7" t="s">
        <v>263</v>
      </c>
      <c r="L652" s="7" t="s">
        <v>1928</v>
      </c>
      <c r="M652" s="7" t="s">
        <v>563</v>
      </c>
      <c r="N652" s="16"/>
      <c r="O652" s="7"/>
      <c r="P652" s="22"/>
      <c r="Q652" s="8" t="n">
        <v>1480</v>
      </c>
      <c r="R652" s="8" t="n">
        <v>-1480</v>
      </c>
      <c r="S652" s="7" t="s">
        <v>751</v>
      </c>
      <c r="T652" s="7"/>
      <c r="U652" s="7" t="s">
        <v>1929</v>
      </c>
      <c r="V652" s="20" t="n">
        <v>45809</v>
      </c>
      <c r="W652" s="7"/>
      <c r="X652" s="7"/>
      <c r="Y652" s="7" t="s">
        <v>709</v>
      </c>
      <c r="Z652" s="7"/>
      <c r="AA652" s="23" t="n">
        <f aca="false">YEAR(C652)</f>
        <v>2025</v>
      </c>
    </row>
    <row r="653" customFormat="false" ht="15" hidden="false" customHeight="false" outlineLevel="0" collapsed="false">
      <c r="A653" s="7" t="s">
        <v>1930</v>
      </c>
      <c r="B653" s="7" t="s">
        <v>137</v>
      </c>
      <c r="C653" s="20" t="n">
        <v>45785</v>
      </c>
      <c r="D653" s="20" t="n">
        <v>45830</v>
      </c>
      <c r="E653" s="20"/>
      <c r="F653" s="7" t="s">
        <v>759</v>
      </c>
      <c r="G653" s="7" t="s">
        <v>153</v>
      </c>
      <c r="H653" s="7" t="s">
        <v>244</v>
      </c>
      <c r="I653" s="7" t="s">
        <v>245</v>
      </c>
      <c r="J653" s="7" t="s">
        <v>229</v>
      </c>
      <c r="K653" s="7" t="s">
        <v>233</v>
      </c>
      <c r="L653" s="7" t="s">
        <v>570</v>
      </c>
      <c r="M653" s="7"/>
      <c r="N653" s="16"/>
      <c r="O653" s="7"/>
      <c r="P653" s="22"/>
      <c r="Q653" s="8" t="n">
        <v>165</v>
      </c>
      <c r="R653" s="8" t="n">
        <v>-165</v>
      </c>
      <c r="S653" s="7" t="s">
        <v>765</v>
      </c>
      <c r="T653" s="7"/>
      <c r="U653" s="7"/>
      <c r="V653" s="20"/>
      <c r="W653" s="7"/>
      <c r="X653" s="7"/>
      <c r="Y653" s="7"/>
      <c r="Z653" s="7"/>
      <c r="AA653" s="23" t="n">
        <f aca="false">YEAR(C653)</f>
        <v>2025</v>
      </c>
    </row>
    <row r="654" customFormat="false" ht="15" hidden="false" customHeight="false" outlineLevel="0" collapsed="false">
      <c r="A654" s="7" t="s">
        <v>1931</v>
      </c>
      <c r="B654" s="7" t="s">
        <v>137</v>
      </c>
      <c r="C654" s="20" t="n">
        <v>45786</v>
      </c>
      <c r="D654" s="20" t="n">
        <v>45831</v>
      </c>
      <c r="E654" s="20"/>
      <c r="F654" s="7" t="s">
        <v>759</v>
      </c>
      <c r="G654" s="7" t="s">
        <v>144</v>
      </c>
      <c r="H654" s="7" t="s">
        <v>266</v>
      </c>
      <c r="I654" s="7" t="s">
        <v>265</v>
      </c>
      <c r="J654" s="7" t="s">
        <v>221</v>
      </c>
      <c r="K654" s="7" t="s">
        <v>265</v>
      </c>
      <c r="L654" s="7" t="s">
        <v>1393</v>
      </c>
      <c r="M654" s="7" t="s">
        <v>628</v>
      </c>
      <c r="N654" s="16" t="n">
        <v>80</v>
      </c>
      <c r="O654" s="7" t="s">
        <v>801</v>
      </c>
      <c r="P654" s="22"/>
      <c r="Q654" s="8" t="n">
        <v>4872</v>
      </c>
      <c r="R654" s="8" t="n">
        <v>-4872</v>
      </c>
      <c r="S654" s="7" t="s">
        <v>751</v>
      </c>
      <c r="T654" s="7"/>
      <c r="U654" s="7" t="s">
        <v>1932</v>
      </c>
      <c r="V654" s="20" t="n">
        <v>45831</v>
      </c>
      <c r="W654" s="7"/>
      <c r="X654" s="7"/>
      <c r="Y654" s="7" t="s">
        <v>711</v>
      </c>
      <c r="Z654" s="7"/>
      <c r="AA654" s="23" t="n">
        <f aca="false">YEAR(C654)</f>
        <v>2025</v>
      </c>
    </row>
    <row r="655" customFormat="false" ht="15" hidden="false" customHeight="false" outlineLevel="0" collapsed="false">
      <c r="A655" s="7" t="s">
        <v>1933</v>
      </c>
      <c r="B655" s="7" t="s">
        <v>137</v>
      </c>
      <c r="C655" s="20" t="n">
        <v>45787</v>
      </c>
      <c r="D655" s="20" t="n">
        <v>45787</v>
      </c>
      <c r="E655" s="20"/>
      <c r="F655" s="7" t="s">
        <v>759</v>
      </c>
      <c r="G655" s="7" t="s">
        <v>153</v>
      </c>
      <c r="H655" s="7" t="s">
        <v>237</v>
      </c>
      <c r="I655" s="7" t="s">
        <v>238</v>
      </c>
      <c r="J655" s="7" t="s">
        <v>236</v>
      </c>
      <c r="K655" s="7" t="s">
        <v>189</v>
      </c>
      <c r="L655" s="7" t="s">
        <v>1934</v>
      </c>
      <c r="M655" s="7" t="s">
        <v>768</v>
      </c>
      <c r="N655" s="16"/>
      <c r="O655" s="7"/>
      <c r="P655" s="22"/>
      <c r="Q655" s="8" t="n">
        <v>37.53</v>
      </c>
      <c r="R655" s="8" t="n">
        <v>-37.53</v>
      </c>
      <c r="S655" s="7" t="s">
        <v>744</v>
      </c>
      <c r="T655" s="7"/>
      <c r="U655" s="7"/>
      <c r="V655" s="20"/>
      <c r="W655" s="7"/>
      <c r="X655" s="7" t="s">
        <v>769</v>
      </c>
      <c r="Y655" s="7"/>
      <c r="Z655" s="7"/>
      <c r="AA655" s="23" t="n">
        <f aca="false">YEAR(C655)</f>
        <v>2025</v>
      </c>
    </row>
    <row r="656" customFormat="false" ht="15" hidden="false" customHeight="false" outlineLevel="0" collapsed="false">
      <c r="A656" s="7" t="s">
        <v>1935</v>
      </c>
      <c r="B656" s="7" t="s">
        <v>137</v>
      </c>
      <c r="C656" s="20" t="n">
        <v>45787</v>
      </c>
      <c r="D656" s="20" t="n">
        <v>45787</v>
      </c>
      <c r="E656" s="20"/>
      <c r="F656" s="7" t="s">
        <v>759</v>
      </c>
      <c r="G656" s="7" t="s">
        <v>153</v>
      </c>
      <c r="H656" s="7" t="s">
        <v>559</v>
      </c>
      <c r="I656" s="7" t="s">
        <v>771</v>
      </c>
      <c r="J656" s="7" t="s">
        <v>761</v>
      </c>
      <c r="K656" s="7" t="s">
        <v>772</v>
      </c>
      <c r="L656" s="7" t="s">
        <v>1936</v>
      </c>
      <c r="M656" s="7" t="s">
        <v>768</v>
      </c>
      <c r="N656" s="16"/>
      <c r="O656" s="7"/>
      <c r="P656" s="22"/>
      <c r="Q656" s="8" t="n">
        <v>807.56</v>
      </c>
      <c r="R656" s="8" t="n">
        <v>-807.56</v>
      </c>
      <c r="S656" s="7" t="s">
        <v>744</v>
      </c>
      <c r="T656" s="7"/>
      <c r="U656" s="7"/>
      <c r="V656" s="20"/>
      <c r="W656" s="7"/>
      <c r="X656" s="7" t="s">
        <v>769</v>
      </c>
      <c r="Y656" s="7"/>
      <c r="Z656" s="7"/>
      <c r="AA656" s="23" t="n">
        <f aca="false">YEAR(C656)</f>
        <v>2025</v>
      </c>
    </row>
    <row r="657" customFormat="false" ht="15" hidden="false" customHeight="false" outlineLevel="0" collapsed="false">
      <c r="A657" s="7" t="s">
        <v>1937</v>
      </c>
      <c r="B657" s="7" t="s">
        <v>137</v>
      </c>
      <c r="C657" s="20" t="n">
        <v>45789</v>
      </c>
      <c r="D657" s="20" t="n">
        <v>45789</v>
      </c>
      <c r="E657" s="20"/>
      <c r="F657" s="7" t="s">
        <v>759</v>
      </c>
      <c r="G657" s="7" t="s">
        <v>153</v>
      </c>
      <c r="H657" s="7" t="s">
        <v>240</v>
      </c>
      <c r="I657" s="7" t="s">
        <v>239</v>
      </c>
      <c r="J657" s="7" t="s">
        <v>229</v>
      </c>
      <c r="K657" s="7" t="s">
        <v>239</v>
      </c>
      <c r="L657" s="7" t="s">
        <v>548</v>
      </c>
      <c r="M657" s="7" t="s">
        <v>547</v>
      </c>
      <c r="N657" s="16"/>
      <c r="O657" s="7"/>
      <c r="P657" s="22"/>
      <c r="Q657" s="8" t="n">
        <v>253.74</v>
      </c>
      <c r="R657" s="8" t="n">
        <v>-253.74</v>
      </c>
      <c r="S657" s="7" t="s">
        <v>775</v>
      </c>
      <c r="T657" s="7"/>
      <c r="U657" s="7"/>
      <c r="V657" s="20"/>
      <c r="W657" s="7"/>
      <c r="X657" s="7"/>
      <c r="Y657" s="7"/>
      <c r="Z657" s="7"/>
      <c r="AA657" s="23" t="n">
        <f aca="false">YEAR(C657)</f>
        <v>2025</v>
      </c>
    </row>
    <row r="658" customFormat="false" ht="15" hidden="false" customHeight="false" outlineLevel="0" collapsed="false">
      <c r="A658" s="7" t="s">
        <v>1938</v>
      </c>
      <c r="B658" s="7" t="s">
        <v>137</v>
      </c>
      <c r="C658" s="20" t="n">
        <v>45793</v>
      </c>
      <c r="D658" s="20" t="n">
        <v>45793</v>
      </c>
      <c r="E658" s="20"/>
      <c r="F658" s="7" t="s">
        <v>759</v>
      </c>
      <c r="G658" s="7" t="s">
        <v>149</v>
      </c>
      <c r="H658" s="7" t="s">
        <v>271</v>
      </c>
      <c r="I658" s="7" t="s">
        <v>272</v>
      </c>
      <c r="J658" s="7" t="s">
        <v>221</v>
      </c>
      <c r="K658" s="7" t="s">
        <v>270</v>
      </c>
      <c r="L658" s="7" t="s">
        <v>1565</v>
      </c>
      <c r="M658" s="7" t="s">
        <v>541</v>
      </c>
      <c r="N658" s="16"/>
      <c r="O658" s="7"/>
      <c r="P658" s="22"/>
      <c r="Q658" s="8" t="n">
        <v>774.13</v>
      </c>
      <c r="R658" s="8" t="n">
        <v>-774.13</v>
      </c>
      <c r="S658" s="7" t="s">
        <v>744</v>
      </c>
      <c r="T658" s="7"/>
      <c r="U658" s="7"/>
      <c r="V658" s="20"/>
      <c r="W658" s="7"/>
      <c r="X658" s="7"/>
      <c r="Y658" s="7"/>
      <c r="Z658" s="7"/>
      <c r="AA658" s="23" t="n">
        <f aca="false">YEAR(C658)</f>
        <v>2025</v>
      </c>
    </row>
    <row r="659" customFormat="false" ht="15" hidden="false" customHeight="false" outlineLevel="0" collapsed="false">
      <c r="A659" s="7" t="s">
        <v>1939</v>
      </c>
      <c r="B659" s="7" t="s">
        <v>137</v>
      </c>
      <c r="C659" s="20" t="n">
        <v>45793</v>
      </c>
      <c r="D659" s="20" t="n">
        <v>45793</v>
      </c>
      <c r="E659" s="20"/>
      <c r="F659" s="7" t="s">
        <v>759</v>
      </c>
      <c r="G659" s="7" t="s">
        <v>153</v>
      </c>
      <c r="H659" s="7" t="s">
        <v>271</v>
      </c>
      <c r="I659" s="7" t="s">
        <v>272</v>
      </c>
      <c r="J659" s="7" t="s">
        <v>221</v>
      </c>
      <c r="K659" s="7" t="s">
        <v>270</v>
      </c>
      <c r="L659" s="7" t="s">
        <v>544</v>
      </c>
      <c r="M659" s="7" t="s">
        <v>541</v>
      </c>
      <c r="N659" s="16"/>
      <c r="O659" s="7"/>
      <c r="P659" s="22"/>
      <c r="Q659" s="8" t="n">
        <v>516.09</v>
      </c>
      <c r="R659" s="8" t="n">
        <v>-516.09</v>
      </c>
      <c r="S659" s="7" t="s">
        <v>744</v>
      </c>
      <c r="T659" s="7"/>
      <c r="U659" s="7"/>
      <c r="V659" s="20"/>
      <c r="W659" s="7"/>
      <c r="X659" s="7"/>
      <c r="Y659" s="7"/>
      <c r="Z659" s="7"/>
      <c r="AA659" s="23" t="n">
        <f aca="false">YEAR(C659)</f>
        <v>2025</v>
      </c>
    </row>
    <row r="660" customFormat="false" ht="15" hidden="false" customHeight="false" outlineLevel="0" collapsed="false">
      <c r="A660" s="7" t="s">
        <v>1940</v>
      </c>
      <c r="B660" s="7" t="s">
        <v>137</v>
      </c>
      <c r="C660" s="20" t="n">
        <v>45793</v>
      </c>
      <c r="D660" s="20" t="n">
        <v>45793</v>
      </c>
      <c r="E660" s="20"/>
      <c r="F660" s="7" t="s">
        <v>759</v>
      </c>
      <c r="G660" s="7" t="s">
        <v>149</v>
      </c>
      <c r="H660" s="7" t="s">
        <v>237</v>
      </c>
      <c r="I660" s="7" t="s">
        <v>238</v>
      </c>
      <c r="J660" s="7" t="s">
        <v>236</v>
      </c>
      <c r="K660" s="7" t="s">
        <v>189</v>
      </c>
      <c r="L660" s="7" t="s">
        <v>1941</v>
      </c>
      <c r="M660" s="7" t="s">
        <v>556</v>
      </c>
      <c r="N660" s="16"/>
      <c r="O660" s="7"/>
      <c r="P660" s="22"/>
      <c r="Q660" s="8" t="n">
        <v>370.95</v>
      </c>
      <c r="R660" s="8" t="n">
        <v>-370.95</v>
      </c>
      <c r="S660" s="7" t="s">
        <v>744</v>
      </c>
      <c r="T660" s="7"/>
      <c r="U660" s="7"/>
      <c r="V660" s="20"/>
      <c r="W660" s="7"/>
      <c r="X660" s="7" t="s">
        <v>1552</v>
      </c>
      <c r="Y660" s="7"/>
      <c r="Z660" s="7"/>
      <c r="AA660" s="23" t="n">
        <f aca="false">YEAR(C660)</f>
        <v>2025</v>
      </c>
    </row>
    <row r="661" customFormat="false" ht="15" hidden="false" customHeight="false" outlineLevel="0" collapsed="false">
      <c r="A661" s="7" t="s">
        <v>1942</v>
      </c>
      <c r="B661" s="7" t="s">
        <v>137</v>
      </c>
      <c r="C661" s="20" t="n">
        <v>45793</v>
      </c>
      <c r="D661" s="20" t="n">
        <v>45793</v>
      </c>
      <c r="E661" s="20"/>
      <c r="F661" s="7" t="s">
        <v>759</v>
      </c>
      <c r="G661" s="7" t="s">
        <v>149</v>
      </c>
      <c r="H661" s="7" t="s">
        <v>559</v>
      </c>
      <c r="I661" s="7" t="s">
        <v>771</v>
      </c>
      <c r="J661" s="7" t="s">
        <v>761</v>
      </c>
      <c r="K661" s="7" t="s">
        <v>772</v>
      </c>
      <c r="L661" s="7" t="s">
        <v>1943</v>
      </c>
      <c r="M661" s="7" t="s">
        <v>556</v>
      </c>
      <c r="N661" s="16"/>
      <c r="O661" s="7"/>
      <c r="P661" s="22"/>
      <c r="Q661" s="8" t="n">
        <v>1361.54</v>
      </c>
      <c r="R661" s="8" t="n">
        <v>-1361.54</v>
      </c>
      <c r="S661" s="7" t="s">
        <v>744</v>
      </c>
      <c r="T661" s="7"/>
      <c r="U661" s="7"/>
      <c r="V661" s="20"/>
      <c r="W661" s="7"/>
      <c r="X661" s="7" t="s">
        <v>1552</v>
      </c>
      <c r="Y661" s="7"/>
      <c r="Z661" s="7"/>
      <c r="AA661" s="23" t="n">
        <f aca="false">YEAR(C661)</f>
        <v>2025</v>
      </c>
    </row>
    <row r="662" customFormat="false" ht="15" hidden="false" customHeight="false" outlineLevel="0" collapsed="false">
      <c r="A662" s="7" t="s">
        <v>1944</v>
      </c>
      <c r="B662" s="7" t="s">
        <v>137</v>
      </c>
      <c r="C662" s="20" t="n">
        <v>45793</v>
      </c>
      <c r="D662" s="20" t="n">
        <v>45793</v>
      </c>
      <c r="E662" s="20"/>
      <c r="F662" s="7" t="s">
        <v>759</v>
      </c>
      <c r="G662" s="7" t="s">
        <v>153</v>
      </c>
      <c r="H662" s="7" t="s">
        <v>561</v>
      </c>
      <c r="I662" s="7" t="s">
        <v>363</v>
      </c>
      <c r="J662" s="7" t="s">
        <v>761</v>
      </c>
      <c r="K662" s="7" t="s">
        <v>772</v>
      </c>
      <c r="L662" s="7" t="s">
        <v>562</v>
      </c>
      <c r="M662" s="7" t="s">
        <v>556</v>
      </c>
      <c r="N662" s="16"/>
      <c r="O662" s="7"/>
      <c r="P662" s="22"/>
      <c r="Q662" s="8" t="n">
        <v>13000</v>
      </c>
      <c r="R662" s="8" t="n">
        <v>13000</v>
      </c>
      <c r="S662" s="7" t="s">
        <v>783</v>
      </c>
      <c r="T662" s="7"/>
      <c r="U662" s="7"/>
      <c r="V662" s="20"/>
      <c r="W662" s="7"/>
      <c r="X662" s="7" t="s">
        <v>784</v>
      </c>
      <c r="Y662" s="7"/>
      <c r="Z662" s="7"/>
      <c r="AA662" s="23" t="n">
        <f aca="false">YEAR(C662)</f>
        <v>2025</v>
      </c>
    </row>
    <row r="663" customFormat="false" ht="15" hidden="false" customHeight="false" outlineLevel="0" collapsed="false">
      <c r="A663" s="7" t="s">
        <v>1945</v>
      </c>
      <c r="B663" s="7" t="s">
        <v>137</v>
      </c>
      <c r="C663" s="20" t="n">
        <v>45793</v>
      </c>
      <c r="D663" s="20" t="n">
        <v>45823</v>
      </c>
      <c r="E663" s="20"/>
      <c r="F663" s="7" t="s">
        <v>759</v>
      </c>
      <c r="G663" s="7" t="s">
        <v>149</v>
      </c>
      <c r="H663" s="7" t="s">
        <v>273</v>
      </c>
      <c r="I663" s="7" t="s">
        <v>274</v>
      </c>
      <c r="J663" s="7" t="s">
        <v>221</v>
      </c>
      <c r="K663" s="7" t="s">
        <v>270</v>
      </c>
      <c r="L663" s="7" t="s">
        <v>554</v>
      </c>
      <c r="M663" s="7" t="s">
        <v>541</v>
      </c>
      <c r="N663" s="16"/>
      <c r="O663" s="7"/>
      <c r="P663" s="22"/>
      <c r="Q663" s="8" t="n">
        <v>113.54</v>
      </c>
      <c r="R663" s="8" t="n">
        <v>-113.54</v>
      </c>
      <c r="S663" s="7" t="s">
        <v>789</v>
      </c>
      <c r="T663" s="7"/>
      <c r="U663" s="7"/>
      <c r="V663" s="20"/>
      <c r="W663" s="7"/>
      <c r="X663" s="7"/>
      <c r="Y663" s="7"/>
      <c r="Z663" s="7"/>
      <c r="AA663" s="23" t="n">
        <f aca="false">YEAR(C663)</f>
        <v>2025</v>
      </c>
    </row>
    <row r="664" customFormat="false" ht="15" hidden="false" customHeight="false" outlineLevel="0" collapsed="false">
      <c r="A664" s="7" t="s">
        <v>1946</v>
      </c>
      <c r="B664" s="7" t="s">
        <v>137</v>
      </c>
      <c r="C664" s="20" t="n">
        <v>45795</v>
      </c>
      <c r="D664" s="20" t="n">
        <v>45845</v>
      </c>
      <c r="E664" s="20"/>
      <c r="F664" s="7" t="s">
        <v>759</v>
      </c>
      <c r="G664" s="7" t="s">
        <v>136</v>
      </c>
      <c r="H664" s="7" t="s">
        <v>266</v>
      </c>
      <c r="I664" s="7" t="s">
        <v>265</v>
      </c>
      <c r="J664" s="7" t="s">
        <v>221</v>
      </c>
      <c r="K664" s="7" t="s">
        <v>265</v>
      </c>
      <c r="L664" s="7" t="s">
        <v>912</v>
      </c>
      <c r="M664" s="7" t="s">
        <v>591</v>
      </c>
      <c r="N664" s="16" t="n">
        <v>96</v>
      </c>
      <c r="O664" s="7" t="s">
        <v>801</v>
      </c>
      <c r="P664" s="22" t="n">
        <v>86.92</v>
      </c>
      <c r="Q664" s="8" t="n">
        <v>8344.32</v>
      </c>
      <c r="R664" s="8" t="n">
        <v>-8344.32</v>
      </c>
      <c r="S664" s="7" t="s">
        <v>751</v>
      </c>
      <c r="T664" s="7"/>
      <c r="U664" s="7" t="s">
        <v>1947</v>
      </c>
      <c r="V664" s="20" t="n">
        <v>45825</v>
      </c>
      <c r="W664" s="7"/>
      <c r="X664" s="7"/>
      <c r="Y664" s="7" t="s">
        <v>722</v>
      </c>
      <c r="Z664" s="7"/>
      <c r="AA664" s="23" t="n">
        <f aca="false">YEAR(C664)</f>
        <v>2025</v>
      </c>
    </row>
    <row r="665" customFormat="false" ht="15" hidden="false" customHeight="false" outlineLevel="0" collapsed="false">
      <c r="A665" s="7" t="s">
        <v>1948</v>
      </c>
      <c r="B665" s="7" t="s">
        <v>137</v>
      </c>
      <c r="C665" s="20" t="n">
        <v>45795</v>
      </c>
      <c r="D665" s="20" t="n">
        <v>45845</v>
      </c>
      <c r="E665" s="20"/>
      <c r="F665" s="7" t="s">
        <v>759</v>
      </c>
      <c r="G665" s="7" t="s">
        <v>136</v>
      </c>
      <c r="H665" s="7" t="s">
        <v>223</v>
      </c>
      <c r="I665" s="7" t="s">
        <v>224</v>
      </c>
      <c r="J665" s="7" t="s">
        <v>221</v>
      </c>
      <c r="K665" s="7" t="s">
        <v>222</v>
      </c>
      <c r="L665" s="7" t="s">
        <v>915</v>
      </c>
      <c r="M665" s="7" t="s">
        <v>589</v>
      </c>
      <c r="N665" s="16" t="n">
        <v>96</v>
      </c>
      <c r="O665" s="7" t="s">
        <v>801</v>
      </c>
      <c r="P665" s="22" t="n">
        <v>25.44</v>
      </c>
      <c r="Q665" s="8" t="n">
        <v>2442.24</v>
      </c>
      <c r="R665" s="8" t="n">
        <v>-2442.24</v>
      </c>
      <c r="S665" s="7" t="s">
        <v>751</v>
      </c>
      <c r="T665" s="7"/>
      <c r="U665" s="7" t="s">
        <v>1949</v>
      </c>
      <c r="V665" s="20" t="n">
        <v>45825</v>
      </c>
      <c r="W665" s="7"/>
      <c r="X665" s="7"/>
      <c r="Y665" s="7" t="s">
        <v>722</v>
      </c>
      <c r="Z665" s="7"/>
      <c r="AA665" s="23" t="n">
        <f aca="false">YEAR(C665)</f>
        <v>2025</v>
      </c>
    </row>
    <row r="666" customFormat="false" ht="15" hidden="false" customHeight="false" outlineLevel="0" collapsed="false">
      <c r="A666" s="7" t="s">
        <v>1950</v>
      </c>
      <c r="B666" s="7" t="s">
        <v>137</v>
      </c>
      <c r="C666" s="20" t="n">
        <v>45796</v>
      </c>
      <c r="D666" s="20" t="n">
        <v>45826</v>
      </c>
      <c r="E666" s="20"/>
      <c r="F666" s="7" t="s">
        <v>759</v>
      </c>
      <c r="G666" s="7" t="s">
        <v>144</v>
      </c>
      <c r="H666" s="7" t="s">
        <v>268</v>
      </c>
      <c r="I666" s="7" t="s">
        <v>269</v>
      </c>
      <c r="J666" s="7" t="s">
        <v>221</v>
      </c>
      <c r="K666" s="7" t="s">
        <v>267</v>
      </c>
      <c r="L666" s="7" t="s">
        <v>1397</v>
      </c>
      <c r="M666" s="7" t="s">
        <v>563</v>
      </c>
      <c r="N666" s="16"/>
      <c r="O666" s="7"/>
      <c r="P666" s="22"/>
      <c r="Q666" s="8" t="n">
        <v>514.08</v>
      </c>
      <c r="R666" s="8" t="n">
        <v>-514.08</v>
      </c>
      <c r="S666" s="7" t="s">
        <v>751</v>
      </c>
      <c r="T666" s="7"/>
      <c r="U666" s="7" t="s">
        <v>1951</v>
      </c>
      <c r="V666" s="20" t="n">
        <v>45826</v>
      </c>
      <c r="W666" s="7"/>
      <c r="X666" s="7"/>
      <c r="Y666" s="7" t="s">
        <v>711</v>
      </c>
      <c r="Z666" s="7"/>
      <c r="AA666" s="23" t="n">
        <f aca="false">YEAR(C666)</f>
        <v>2025</v>
      </c>
    </row>
    <row r="667" customFormat="false" ht="15" hidden="false" customHeight="false" outlineLevel="0" collapsed="false">
      <c r="A667" s="7" t="s">
        <v>1952</v>
      </c>
      <c r="B667" s="7" t="s">
        <v>137</v>
      </c>
      <c r="C667" s="20" t="n">
        <v>45797</v>
      </c>
      <c r="D667" s="20" t="n">
        <v>45845</v>
      </c>
      <c r="E667" s="20"/>
      <c r="F667" s="7" t="s">
        <v>759</v>
      </c>
      <c r="G667" s="7" t="s">
        <v>136</v>
      </c>
      <c r="H667" s="7" t="s">
        <v>264</v>
      </c>
      <c r="I667" s="7" t="s">
        <v>263</v>
      </c>
      <c r="J667" s="7" t="s">
        <v>221</v>
      </c>
      <c r="K667" s="7" t="s">
        <v>263</v>
      </c>
      <c r="L667" s="7" t="s">
        <v>918</v>
      </c>
      <c r="M667" s="7" t="s">
        <v>591</v>
      </c>
      <c r="N667" s="16" t="n">
        <v>96</v>
      </c>
      <c r="O667" s="7" t="s">
        <v>801</v>
      </c>
      <c r="P667" s="22" t="n">
        <v>19.08</v>
      </c>
      <c r="Q667" s="8" t="n">
        <v>1831.68</v>
      </c>
      <c r="R667" s="8" t="n">
        <v>-1831.68</v>
      </c>
      <c r="S667" s="7" t="s">
        <v>751</v>
      </c>
      <c r="T667" s="7"/>
      <c r="U667" s="7" t="s">
        <v>1953</v>
      </c>
      <c r="V667" s="20" t="n">
        <v>45827</v>
      </c>
      <c r="W667" s="7"/>
      <c r="X667" s="7"/>
      <c r="Y667" s="7" t="s">
        <v>722</v>
      </c>
      <c r="Z667" s="7"/>
      <c r="AA667" s="23" t="n">
        <f aca="false">YEAR(C667)</f>
        <v>2025</v>
      </c>
    </row>
    <row r="668" customFormat="false" ht="15" hidden="false" customHeight="false" outlineLevel="0" collapsed="false">
      <c r="A668" s="7" t="s">
        <v>1954</v>
      </c>
      <c r="B668" s="7" t="s">
        <v>137</v>
      </c>
      <c r="C668" s="20" t="n">
        <v>45798</v>
      </c>
      <c r="D668" s="20" t="n">
        <v>45828</v>
      </c>
      <c r="E668" s="20"/>
      <c r="F668" s="7" t="s">
        <v>759</v>
      </c>
      <c r="G668" s="7" t="s">
        <v>144</v>
      </c>
      <c r="H668" s="7" t="s">
        <v>264</v>
      </c>
      <c r="I668" s="7" t="s">
        <v>263</v>
      </c>
      <c r="J668" s="7" t="s">
        <v>221</v>
      </c>
      <c r="K668" s="7" t="s">
        <v>263</v>
      </c>
      <c r="L668" s="7" t="s">
        <v>885</v>
      </c>
      <c r="M668" s="7" t="s">
        <v>563</v>
      </c>
      <c r="N668" s="16"/>
      <c r="O668" s="7"/>
      <c r="P668" s="22"/>
      <c r="Q668" s="8" t="n">
        <v>2079</v>
      </c>
      <c r="R668" s="8" t="n">
        <v>-2079</v>
      </c>
      <c r="S668" s="7" t="s">
        <v>751</v>
      </c>
      <c r="T668" s="7"/>
      <c r="U668" s="7" t="s">
        <v>1955</v>
      </c>
      <c r="V668" s="20" t="n">
        <v>45828</v>
      </c>
      <c r="W668" s="7"/>
      <c r="X668" s="7"/>
      <c r="Y668" s="7" t="s">
        <v>711</v>
      </c>
      <c r="Z668" s="7"/>
      <c r="AA668" s="23" t="n">
        <f aca="false">YEAR(C668)</f>
        <v>2025</v>
      </c>
    </row>
    <row r="669" customFormat="false" ht="15" hidden="false" customHeight="false" outlineLevel="0" collapsed="false">
      <c r="A669" s="7" t="s">
        <v>1956</v>
      </c>
      <c r="B669" s="7" t="s">
        <v>137</v>
      </c>
      <c r="C669" s="20" t="n">
        <v>45803</v>
      </c>
      <c r="D669" s="20" t="n">
        <v>45830</v>
      </c>
      <c r="E669" s="20"/>
      <c r="F669" s="7" t="s">
        <v>759</v>
      </c>
      <c r="G669" s="7" t="s">
        <v>153</v>
      </c>
      <c r="H669" s="7" t="s">
        <v>242</v>
      </c>
      <c r="I669" s="7" t="s">
        <v>243</v>
      </c>
      <c r="J669" s="7" t="s">
        <v>229</v>
      </c>
      <c r="K669" s="7" t="s">
        <v>241</v>
      </c>
      <c r="L669" s="7" t="s">
        <v>571</v>
      </c>
      <c r="M669" s="7"/>
      <c r="N669" s="16"/>
      <c r="O669" s="7"/>
      <c r="P669" s="22"/>
      <c r="Q669" s="8" t="n">
        <v>373.52</v>
      </c>
      <c r="R669" s="8" t="n">
        <v>-373.52</v>
      </c>
      <c r="S669" s="7" t="s">
        <v>765</v>
      </c>
      <c r="T669" s="7"/>
      <c r="U669" s="7"/>
      <c r="V669" s="20"/>
      <c r="W669" s="7"/>
      <c r="X669" s="7"/>
      <c r="Y669" s="7"/>
      <c r="Z669" s="7"/>
      <c r="AA669" s="23" t="n">
        <f aca="false">YEAR(C669)</f>
        <v>2025</v>
      </c>
    </row>
    <row r="670" customFormat="false" ht="15" hidden="false" customHeight="false" outlineLevel="0" collapsed="false">
      <c r="A670" s="7" t="s">
        <v>1957</v>
      </c>
      <c r="B670" s="7" t="s">
        <v>137</v>
      </c>
      <c r="C670" s="20" t="n">
        <v>45807</v>
      </c>
      <c r="D670" s="20" t="n">
        <v>45807</v>
      </c>
      <c r="E670" s="20"/>
      <c r="F670" s="7" t="s">
        <v>759</v>
      </c>
      <c r="G670" s="7" t="s">
        <v>149</v>
      </c>
      <c r="H670" s="7" t="s">
        <v>271</v>
      </c>
      <c r="I670" s="7" t="s">
        <v>272</v>
      </c>
      <c r="J670" s="7" t="s">
        <v>221</v>
      </c>
      <c r="K670" s="7" t="s">
        <v>270</v>
      </c>
      <c r="L670" s="7" t="s">
        <v>941</v>
      </c>
      <c r="M670" s="7" t="s">
        <v>541</v>
      </c>
      <c r="N670" s="16"/>
      <c r="O670" s="7"/>
      <c r="P670" s="22"/>
      <c r="Q670" s="8" t="n">
        <v>780.5</v>
      </c>
      <c r="R670" s="8" t="n">
        <v>-780.5</v>
      </c>
      <c r="S670" s="7" t="s">
        <v>744</v>
      </c>
      <c r="T670" s="7"/>
      <c r="U670" s="7"/>
      <c r="V670" s="20"/>
      <c r="W670" s="7"/>
      <c r="X670" s="7"/>
      <c r="Y670" s="7"/>
      <c r="Z670" s="7"/>
      <c r="AA670" s="23" t="n">
        <f aca="false">YEAR(C670)</f>
        <v>2025</v>
      </c>
    </row>
    <row r="671" customFormat="false" ht="15" hidden="false" customHeight="false" outlineLevel="0" collapsed="false">
      <c r="A671" s="7" t="s">
        <v>1958</v>
      </c>
      <c r="B671" s="7" t="s">
        <v>137</v>
      </c>
      <c r="C671" s="20" t="n">
        <v>45807</v>
      </c>
      <c r="D671" s="20" t="n">
        <v>45807</v>
      </c>
      <c r="E671" s="20"/>
      <c r="F671" s="7" t="s">
        <v>759</v>
      </c>
      <c r="G671" s="7" t="s">
        <v>153</v>
      </c>
      <c r="H671" s="7" t="s">
        <v>271</v>
      </c>
      <c r="I671" s="7" t="s">
        <v>272</v>
      </c>
      <c r="J671" s="7" t="s">
        <v>221</v>
      </c>
      <c r="K671" s="7" t="s">
        <v>270</v>
      </c>
      <c r="L671" s="7" t="s">
        <v>544</v>
      </c>
      <c r="M671" s="7" t="s">
        <v>541</v>
      </c>
      <c r="N671" s="16"/>
      <c r="O671" s="7"/>
      <c r="P671" s="22"/>
      <c r="Q671" s="8" t="n">
        <v>520.33</v>
      </c>
      <c r="R671" s="8" t="n">
        <v>-520.33</v>
      </c>
      <c r="S671" s="7" t="s">
        <v>744</v>
      </c>
      <c r="T671" s="7"/>
      <c r="U671" s="7"/>
      <c r="V671" s="20"/>
      <c r="W671" s="7"/>
      <c r="X671" s="7"/>
      <c r="Y671" s="7"/>
      <c r="Z671" s="7"/>
      <c r="AA671" s="23" t="n">
        <f aca="false">YEAR(C671)</f>
        <v>2025</v>
      </c>
    </row>
    <row r="672" customFormat="false" ht="15" hidden="false" customHeight="false" outlineLevel="0" collapsed="false">
      <c r="A672" s="7" t="s">
        <v>1959</v>
      </c>
      <c r="B672" s="7" t="s">
        <v>137</v>
      </c>
      <c r="C672" s="20" t="n">
        <v>45807</v>
      </c>
      <c r="D672" s="20" t="n">
        <v>45823</v>
      </c>
      <c r="E672" s="20"/>
      <c r="F672" s="7" t="s">
        <v>759</v>
      </c>
      <c r="G672" s="7" t="s">
        <v>149</v>
      </c>
      <c r="H672" s="7" t="s">
        <v>273</v>
      </c>
      <c r="I672" s="7" t="s">
        <v>274</v>
      </c>
      <c r="J672" s="7" t="s">
        <v>221</v>
      </c>
      <c r="K672" s="7" t="s">
        <v>270</v>
      </c>
      <c r="L672" s="7" t="s">
        <v>554</v>
      </c>
      <c r="M672" s="7" t="s">
        <v>541</v>
      </c>
      <c r="N672" s="16"/>
      <c r="O672" s="7"/>
      <c r="P672" s="22"/>
      <c r="Q672" s="8" t="n">
        <v>114.47</v>
      </c>
      <c r="R672" s="8" t="n">
        <v>-114.47</v>
      </c>
      <c r="S672" s="7" t="s">
        <v>789</v>
      </c>
      <c r="T672" s="7"/>
      <c r="U672" s="7"/>
      <c r="V672" s="20"/>
      <c r="W672" s="7"/>
      <c r="X672" s="7"/>
      <c r="Y672" s="7"/>
      <c r="Z672" s="7"/>
      <c r="AA672" s="23" t="n">
        <f aca="false">YEAR(C672)</f>
        <v>2025</v>
      </c>
    </row>
    <row r="673" customFormat="false" ht="15" hidden="false" customHeight="false" outlineLevel="0" collapsed="false">
      <c r="A673" s="7" t="s">
        <v>1960</v>
      </c>
      <c r="B673" s="7" t="s">
        <v>137</v>
      </c>
      <c r="C673" s="20" t="n">
        <v>45808</v>
      </c>
      <c r="D673" s="20" t="n">
        <v>45808</v>
      </c>
      <c r="E673" s="20"/>
      <c r="F673" s="7" t="s">
        <v>759</v>
      </c>
      <c r="G673" s="7" t="s">
        <v>153</v>
      </c>
      <c r="H673" s="7" t="s">
        <v>246</v>
      </c>
      <c r="I673" s="7" t="s">
        <v>247</v>
      </c>
      <c r="J673" s="7" t="s">
        <v>236</v>
      </c>
      <c r="K673" s="7" t="s">
        <v>189</v>
      </c>
      <c r="L673" s="7" t="s">
        <v>808</v>
      </c>
      <c r="M673" s="7" t="s">
        <v>556</v>
      </c>
      <c r="N673" s="16"/>
      <c r="O673" s="7"/>
      <c r="P673" s="22"/>
      <c r="Q673" s="8" t="n">
        <v>1290.14</v>
      </c>
      <c r="R673" s="8" t="n">
        <v>-1290.14</v>
      </c>
      <c r="S673" s="7" t="s">
        <v>775</v>
      </c>
      <c r="T673" s="7"/>
      <c r="U673" s="7"/>
      <c r="V673" s="20"/>
      <c r="W673" s="7"/>
      <c r="X673" s="7" t="s">
        <v>784</v>
      </c>
      <c r="Y673" s="7"/>
      <c r="Z673" s="7"/>
      <c r="AA673" s="23" t="n">
        <f aca="false">YEAR(C673)</f>
        <v>2025</v>
      </c>
    </row>
    <row r="674" customFormat="false" ht="15" hidden="false" customHeight="false" outlineLevel="0" collapsed="false">
      <c r="A674" s="7" t="s">
        <v>1961</v>
      </c>
      <c r="B674" s="7" t="s">
        <v>137</v>
      </c>
      <c r="C674" s="20" t="n">
        <v>45808</v>
      </c>
      <c r="D674" s="20" t="n">
        <v>45838</v>
      </c>
      <c r="E674" s="20"/>
      <c r="F674" s="7" t="s">
        <v>759</v>
      </c>
      <c r="G674" s="7" t="s">
        <v>141</v>
      </c>
      <c r="H674" s="7" t="s">
        <v>264</v>
      </c>
      <c r="I674" s="7" t="s">
        <v>263</v>
      </c>
      <c r="J674" s="7" t="s">
        <v>221</v>
      </c>
      <c r="K674" s="7" t="s">
        <v>263</v>
      </c>
      <c r="L674" s="7" t="s">
        <v>927</v>
      </c>
      <c r="M674" s="7" t="s">
        <v>563</v>
      </c>
      <c r="N674" s="16"/>
      <c r="O674" s="7"/>
      <c r="P674" s="22"/>
      <c r="Q674" s="8" t="n">
        <v>3425.62</v>
      </c>
      <c r="R674" s="8" t="n">
        <v>-3425.62</v>
      </c>
      <c r="S674" s="7" t="s">
        <v>751</v>
      </c>
      <c r="T674" s="7"/>
      <c r="U674" s="7" t="s">
        <v>1962</v>
      </c>
      <c r="V674" s="20" t="n">
        <v>45838</v>
      </c>
      <c r="W674" s="7"/>
      <c r="X674" s="7"/>
      <c r="Y674" s="7" t="s">
        <v>710</v>
      </c>
      <c r="Z674" s="7"/>
      <c r="AA674" s="23" t="n">
        <f aca="false">YEAR(C674)</f>
        <v>2025</v>
      </c>
    </row>
    <row r="675" customFormat="false" ht="15" hidden="false" customHeight="false" outlineLevel="0" collapsed="false">
      <c r="A675" s="7" t="s">
        <v>1963</v>
      </c>
      <c r="B675" s="7" t="s">
        <v>137</v>
      </c>
      <c r="C675" s="20" t="n">
        <v>45809</v>
      </c>
      <c r="D675" s="20" t="n">
        <v>45809</v>
      </c>
      <c r="E675" s="20"/>
      <c r="F675" s="7" t="s">
        <v>759</v>
      </c>
      <c r="G675" s="7" t="s">
        <v>153</v>
      </c>
      <c r="H675" s="7" t="s">
        <v>561</v>
      </c>
      <c r="I675" s="7" t="s">
        <v>363</v>
      </c>
      <c r="J675" s="7" t="s">
        <v>761</v>
      </c>
      <c r="K675" s="7" t="s">
        <v>772</v>
      </c>
      <c r="L675" s="7" t="s">
        <v>562</v>
      </c>
      <c r="M675" s="7" t="s">
        <v>556</v>
      </c>
      <c r="N675" s="16"/>
      <c r="O675" s="7"/>
      <c r="P675" s="22"/>
      <c r="Q675" s="8" t="n">
        <v>17000</v>
      </c>
      <c r="R675" s="8" t="n">
        <v>17000</v>
      </c>
      <c r="S675" s="7" t="s">
        <v>783</v>
      </c>
      <c r="T675" s="7"/>
      <c r="U675" s="7"/>
      <c r="V675" s="20"/>
      <c r="W675" s="7"/>
      <c r="X675" s="7" t="s">
        <v>784</v>
      </c>
      <c r="Y675" s="7"/>
      <c r="Z675" s="7"/>
      <c r="AA675" s="23" t="n">
        <f aca="false">YEAR(C675)</f>
        <v>2025</v>
      </c>
    </row>
    <row r="676" customFormat="false" ht="15" hidden="false" customHeight="false" outlineLevel="0" collapsed="false">
      <c r="A676" s="7" t="s">
        <v>1964</v>
      </c>
      <c r="B676" s="7" t="s">
        <v>137</v>
      </c>
      <c r="C676" s="20" t="n">
        <v>45809</v>
      </c>
      <c r="D676" s="20" t="n">
        <v>45809</v>
      </c>
      <c r="E676" s="20"/>
      <c r="F676" s="7" t="s">
        <v>759</v>
      </c>
      <c r="G676" s="7" t="s">
        <v>153</v>
      </c>
      <c r="H676" s="7" t="s">
        <v>545</v>
      </c>
      <c r="I676" s="7" t="s">
        <v>760</v>
      </c>
      <c r="J676" s="7" t="s">
        <v>761</v>
      </c>
      <c r="K676" s="7" t="s">
        <v>762</v>
      </c>
      <c r="L676" s="7" t="s">
        <v>546</v>
      </c>
      <c r="M676" s="7"/>
      <c r="N676" s="16"/>
      <c r="O676" s="7"/>
      <c r="P676" s="22"/>
      <c r="Q676" s="8" t="n">
        <v>4200</v>
      </c>
      <c r="R676" s="8" t="n">
        <v>-4200</v>
      </c>
      <c r="S676" s="7" t="s">
        <v>763</v>
      </c>
      <c r="T676" s="7"/>
      <c r="U676" s="7"/>
      <c r="V676" s="20"/>
      <c r="W676" s="7"/>
      <c r="X676" s="7"/>
      <c r="Y676" s="7"/>
      <c r="Z676" s="7"/>
      <c r="AA676" s="23" t="n">
        <f aca="false">YEAR(C676)</f>
        <v>2025</v>
      </c>
    </row>
    <row r="677" customFormat="false" ht="15" hidden="false" customHeight="false" outlineLevel="0" collapsed="false">
      <c r="A677" s="7" t="s">
        <v>1965</v>
      </c>
      <c r="B677" s="7" t="s">
        <v>137</v>
      </c>
      <c r="C677" s="20" t="n">
        <v>45814</v>
      </c>
      <c r="D677" s="20" t="n">
        <v>45845</v>
      </c>
      <c r="E677" s="20"/>
      <c r="F677" s="7" t="s">
        <v>759</v>
      </c>
      <c r="G677" s="7" t="s">
        <v>149</v>
      </c>
      <c r="H677" s="7" t="s">
        <v>261</v>
      </c>
      <c r="I677" s="7" t="s">
        <v>262</v>
      </c>
      <c r="J677" s="7" t="s">
        <v>221</v>
      </c>
      <c r="K677" s="7" t="s">
        <v>260</v>
      </c>
      <c r="L677" s="7" t="s">
        <v>936</v>
      </c>
      <c r="M677" s="7" t="s">
        <v>538</v>
      </c>
      <c r="N677" s="16"/>
      <c r="O677" s="7"/>
      <c r="P677" s="22"/>
      <c r="Q677" s="8" t="n">
        <v>7417.44</v>
      </c>
      <c r="R677" s="8" t="n">
        <v>-7417.44</v>
      </c>
      <c r="S677" s="7" t="s">
        <v>751</v>
      </c>
      <c r="T677" s="7"/>
      <c r="U677" s="7" t="s">
        <v>1966</v>
      </c>
      <c r="V677" s="20" t="n">
        <v>45844</v>
      </c>
      <c r="W677" s="7" t="s">
        <v>938</v>
      </c>
      <c r="X677" s="7"/>
      <c r="Y677" s="7"/>
      <c r="Z677" s="7"/>
      <c r="AA677" s="23" t="n">
        <f aca="false">YEAR(C677)</f>
        <v>2025</v>
      </c>
    </row>
    <row r="678" customFormat="false" ht="15" hidden="false" customHeight="false" outlineLevel="0" collapsed="false">
      <c r="A678" s="7" t="s">
        <v>1967</v>
      </c>
      <c r="B678" s="7" t="s">
        <v>137</v>
      </c>
      <c r="C678" s="20" t="n">
        <v>45816</v>
      </c>
      <c r="D678" s="20" t="n">
        <v>45860</v>
      </c>
      <c r="E678" s="20"/>
      <c r="F678" s="7" t="s">
        <v>759</v>
      </c>
      <c r="G678" s="7" t="s">
        <v>153</v>
      </c>
      <c r="H678" s="7" t="s">
        <v>244</v>
      </c>
      <c r="I678" s="7" t="s">
        <v>245</v>
      </c>
      <c r="J678" s="7" t="s">
        <v>229</v>
      </c>
      <c r="K678" s="7" t="s">
        <v>233</v>
      </c>
      <c r="L678" s="7" t="s">
        <v>570</v>
      </c>
      <c r="M678" s="7"/>
      <c r="N678" s="16"/>
      <c r="O678" s="7"/>
      <c r="P678" s="22"/>
      <c r="Q678" s="8" t="n">
        <v>165</v>
      </c>
      <c r="R678" s="8" t="n">
        <v>-165</v>
      </c>
      <c r="S678" s="7" t="s">
        <v>765</v>
      </c>
      <c r="T678" s="7"/>
      <c r="U678" s="7"/>
      <c r="V678" s="20"/>
      <c r="W678" s="7"/>
      <c r="X678" s="7"/>
      <c r="Y678" s="7"/>
      <c r="Z678" s="7"/>
      <c r="AA678" s="23" t="n">
        <f aca="false">YEAR(C678)</f>
        <v>2025</v>
      </c>
    </row>
    <row r="679" customFormat="false" ht="15" hidden="false" customHeight="false" outlineLevel="0" collapsed="false">
      <c r="A679" s="7" t="s">
        <v>1968</v>
      </c>
      <c r="B679" s="7" t="s">
        <v>137</v>
      </c>
      <c r="C679" s="20" t="n">
        <v>45818</v>
      </c>
      <c r="D679" s="20" t="n">
        <v>45818</v>
      </c>
      <c r="E679" s="20"/>
      <c r="F679" s="7" t="s">
        <v>759</v>
      </c>
      <c r="G679" s="7" t="s">
        <v>153</v>
      </c>
      <c r="H679" s="7" t="s">
        <v>237</v>
      </c>
      <c r="I679" s="7" t="s">
        <v>238</v>
      </c>
      <c r="J679" s="7" t="s">
        <v>236</v>
      </c>
      <c r="K679" s="7" t="s">
        <v>189</v>
      </c>
      <c r="L679" s="7" t="s">
        <v>1969</v>
      </c>
      <c r="M679" s="7" t="s">
        <v>768</v>
      </c>
      <c r="N679" s="16"/>
      <c r="O679" s="7"/>
      <c r="P679" s="22"/>
      <c r="Q679" s="8" t="n">
        <v>34.9</v>
      </c>
      <c r="R679" s="8" t="n">
        <v>-34.9</v>
      </c>
      <c r="S679" s="7" t="s">
        <v>744</v>
      </c>
      <c r="T679" s="7"/>
      <c r="U679" s="7"/>
      <c r="V679" s="20"/>
      <c r="W679" s="7"/>
      <c r="X679" s="7" t="s">
        <v>769</v>
      </c>
      <c r="Y679" s="7"/>
      <c r="Z679" s="7"/>
      <c r="AA679" s="23" t="n">
        <f aca="false">YEAR(C679)</f>
        <v>2025</v>
      </c>
    </row>
    <row r="680" customFormat="false" ht="15" hidden="false" customHeight="false" outlineLevel="0" collapsed="false">
      <c r="A680" s="7" t="s">
        <v>1970</v>
      </c>
      <c r="B680" s="7" t="s">
        <v>137</v>
      </c>
      <c r="C680" s="20" t="n">
        <v>45818</v>
      </c>
      <c r="D680" s="20" t="n">
        <v>45818</v>
      </c>
      <c r="E680" s="20"/>
      <c r="F680" s="7" t="s">
        <v>759</v>
      </c>
      <c r="G680" s="7" t="s">
        <v>153</v>
      </c>
      <c r="H680" s="7" t="s">
        <v>559</v>
      </c>
      <c r="I680" s="7" t="s">
        <v>771</v>
      </c>
      <c r="J680" s="7" t="s">
        <v>761</v>
      </c>
      <c r="K680" s="7" t="s">
        <v>772</v>
      </c>
      <c r="L680" s="7" t="s">
        <v>1971</v>
      </c>
      <c r="M680" s="7" t="s">
        <v>768</v>
      </c>
      <c r="N680" s="16"/>
      <c r="O680" s="7"/>
      <c r="P680" s="22"/>
      <c r="Q680" s="8" t="n">
        <v>810.19</v>
      </c>
      <c r="R680" s="8" t="n">
        <v>-810.19</v>
      </c>
      <c r="S680" s="7" t="s">
        <v>744</v>
      </c>
      <c r="T680" s="7"/>
      <c r="U680" s="7"/>
      <c r="V680" s="20"/>
      <c r="W680" s="7"/>
      <c r="X680" s="7" t="s">
        <v>769</v>
      </c>
      <c r="Y680" s="7"/>
      <c r="Z680" s="7"/>
      <c r="AA680" s="23" t="n">
        <f aca="false">YEAR(C680)</f>
        <v>2025</v>
      </c>
    </row>
    <row r="681" customFormat="false" ht="15" hidden="false" customHeight="false" outlineLevel="0" collapsed="false">
      <c r="A681" s="7" t="s">
        <v>1972</v>
      </c>
      <c r="B681" s="7" t="s">
        <v>137</v>
      </c>
      <c r="C681" s="20" t="n">
        <v>45819</v>
      </c>
      <c r="D681" s="20" t="n">
        <v>45860</v>
      </c>
      <c r="E681" s="20"/>
      <c r="F681" s="7" t="s">
        <v>759</v>
      </c>
      <c r="G681" s="7" t="s">
        <v>149</v>
      </c>
      <c r="H681" s="7" t="s">
        <v>284</v>
      </c>
      <c r="I681" s="7" t="s">
        <v>285</v>
      </c>
      <c r="J681" s="7" t="s">
        <v>221</v>
      </c>
      <c r="K681" s="7" t="s">
        <v>283</v>
      </c>
      <c r="L681" s="7" t="s">
        <v>949</v>
      </c>
      <c r="M681" s="7"/>
      <c r="N681" s="16"/>
      <c r="O681" s="7"/>
      <c r="P681" s="22"/>
      <c r="Q681" s="8" t="n">
        <v>2150</v>
      </c>
      <c r="R681" s="8" t="n">
        <v>-2150</v>
      </c>
      <c r="S681" s="7" t="s">
        <v>765</v>
      </c>
      <c r="T681" s="7"/>
      <c r="U681" s="7"/>
      <c r="V681" s="20"/>
      <c r="W681" s="7"/>
      <c r="X681" s="7"/>
      <c r="Y681" s="7"/>
      <c r="Z681" s="7"/>
      <c r="AA681" s="23" t="n">
        <f aca="false">YEAR(C681)</f>
        <v>2025</v>
      </c>
    </row>
    <row r="682" customFormat="false" ht="15" hidden="false" customHeight="false" outlineLevel="0" collapsed="false">
      <c r="A682" s="7" t="s">
        <v>1973</v>
      </c>
      <c r="B682" s="7" t="s">
        <v>137</v>
      </c>
      <c r="C682" s="20" t="n">
        <v>45820</v>
      </c>
      <c r="D682" s="20" t="n">
        <v>45820</v>
      </c>
      <c r="E682" s="20"/>
      <c r="F682" s="7" t="s">
        <v>759</v>
      </c>
      <c r="G682" s="7" t="s">
        <v>153</v>
      </c>
      <c r="H682" s="7" t="s">
        <v>240</v>
      </c>
      <c r="I682" s="7" t="s">
        <v>239</v>
      </c>
      <c r="J682" s="7" t="s">
        <v>229</v>
      </c>
      <c r="K682" s="7" t="s">
        <v>239</v>
      </c>
      <c r="L682" s="7" t="s">
        <v>548</v>
      </c>
      <c r="M682" s="7" t="s">
        <v>547</v>
      </c>
      <c r="N682" s="16"/>
      <c r="O682" s="7"/>
      <c r="P682" s="22"/>
      <c r="Q682" s="8" t="n">
        <v>261.2</v>
      </c>
      <c r="R682" s="8" t="n">
        <v>-261.2</v>
      </c>
      <c r="S682" s="7" t="s">
        <v>775</v>
      </c>
      <c r="T682" s="7"/>
      <c r="U682" s="7"/>
      <c r="V682" s="20"/>
      <c r="W682" s="7"/>
      <c r="X682" s="7"/>
      <c r="Y682" s="7"/>
      <c r="Z682" s="7"/>
      <c r="AA682" s="23" t="n">
        <f aca="false">YEAR(C682)</f>
        <v>2025</v>
      </c>
    </row>
    <row r="683" customFormat="false" ht="15" hidden="false" customHeight="false" outlineLevel="0" collapsed="false">
      <c r="A683" s="7" t="s">
        <v>1974</v>
      </c>
      <c r="B683" s="7" t="s">
        <v>137</v>
      </c>
      <c r="C683" s="20" t="n">
        <v>45821</v>
      </c>
      <c r="D683" s="20" t="n">
        <v>45821</v>
      </c>
      <c r="E683" s="20"/>
      <c r="F683" s="7" t="s">
        <v>759</v>
      </c>
      <c r="G683" s="7" t="s">
        <v>149</v>
      </c>
      <c r="H683" s="7" t="s">
        <v>271</v>
      </c>
      <c r="I683" s="7" t="s">
        <v>272</v>
      </c>
      <c r="J683" s="7" t="s">
        <v>221</v>
      </c>
      <c r="K683" s="7" t="s">
        <v>270</v>
      </c>
      <c r="L683" s="7" t="s">
        <v>1975</v>
      </c>
      <c r="M683" s="7" t="s">
        <v>541</v>
      </c>
      <c r="N683" s="16"/>
      <c r="O683" s="7"/>
      <c r="P683" s="22"/>
      <c r="Q683" s="8" t="n">
        <v>1341.31</v>
      </c>
      <c r="R683" s="8" t="n">
        <v>-1341.31</v>
      </c>
      <c r="S683" s="7" t="s">
        <v>744</v>
      </c>
      <c r="T683" s="7"/>
      <c r="U683" s="7"/>
      <c r="V683" s="20"/>
      <c r="W683" s="7"/>
      <c r="X683" s="7"/>
      <c r="Y683" s="7"/>
      <c r="Z683" s="7"/>
      <c r="AA683" s="23" t="n">
        <f aca="false">YEAR(C683)</f>
        <v>2025</v>
      </c>
    </row>
    <row r="684" customFormat="false" ht="15" hidden="false" customHeight="false" outlineLevel="0" collapsed="false">
      <c r="A684" s="7" t="s">
        <v>1976</v>
      </c>
      <c r="B684" s="7" t="s">
        <v>137</v>
      </c>
      <c r="C684" s="20" t="n">
        <v>45821</v>
      </c>
      <c r="D684" s="20" t="n">
        <v>45821</v>
      </c>
      <c r="E684" s="20"/>
      <c r="F684" s="7" t="s">
        <v>759</v>
      </c>
      <c r="G684" s="7" t="s">
        <v>153</v>
      </c>
      <c r="H684" s="7" t="s">
        <v>271</v>
      </c>
      <c r="I684" s="7" t="s">
        <v>272</v>
      </c>
      <c r="J684" s="7" t="s">
        <v>221</v>
      </c>
      <c r="K684" s="7" t="s">
        <v>270</v>
      </c>
      <c r="L684" s="7" t="s">
        <v>544</v>
      </c>
      <c r="M684" s="7" t="s">
        <v>541</v>
      </c>
      <c r="N684" s="16"/>
      <c r="O684" s="7"/>
      <c r="P684" s="22"/>
      <c r="Q684" s="8" t="n">
        <v>894.21</v>
      </c>
      <c r="R684" s="8" t="n">
        <v>-894.21</v>
      </c>
      <c r="S684" s="7" t="s">
        <v>744</v>
      </c>
      <c r="T684" s="7"/>
      <c r="U684" s="7"/>
      <c r="V684" s="20"/>
      <c r="W684" s="7"/>
      <c r="X684" s="7"/>
      <c r="Y684" s="7"/>
      <c r="Z684" s="7"/>
      <c r="AA684" s="23" t="n">
        <f aca="false">YEAR(C684)</f>
        <v>2025</v>
      </c>
    </row>
    <row r="685" customFormat="false" ht="15" hidden="false" customHeight="false" outlineLevel="0" collapsed="false">
      <c r="A685" s="7" t="s">
        <v>1977</v>
      </c>
      <c r="B685" s="7" t="s">
        <v>137</v>
      </c>
      <c r="C685" s="20" t="n">
        <v>45821</v>
      </c>
      <c r="D685" s="20" t="n">
        <v>45853</v>
      </c>
      <c r="E685" s="20"/>
      <c r="F685" s="7" t="s">
        <v>759</v>
      </c>
      <c r="G685" s="7" t="s">
        <v>149</v>
      </c>
      <c r="H685" s="7" t="s">
        <v>273</v>
      </c>
      <c r="I685" s="7" t="s">
        <v>274</v>
      </c>
      <c r="J685" s="7" t="s">
        <v>221</v>
      </c>
      <c r="K685" s="7" t="s">
        <v>270</v>
      </c>
      <c r="L685" s="7" t="s">
        <v>554</v>
      </c>
      <c r="M685" s="7" t="s">
        <v>541</v>
      </c>
      <c r="N685" s="16"/>
      <c r="O685" s="7"/>
      <c r="P685" s="22"/>
      <c r="Q685" s="8" t="n">
        <v>196.73</v>
      </c>
      <c r="R685" s="8" t="n">
        <v>-196.73</v>
      </c>
      <c r="S685" s="7" t="s">
        <v>789</v>
      </c>
      <c r="T685" s="7"/>
      <c r="U685" s="7"/>
      <c r="V685" s="20"/>
      <c r="W685" s="7"/>
      <c r="X685" s="7"/>
      <c r="Y685" s="7"/>
      <c r="Z685" s="7"/>
      <c r="AA685" s="23" t="n">
        <f aca="false">YEAR(C685)</f>
        <v>2025</v>
      </c>
    </row>
    <row r="686" customFormat="false" ht="15" hidden="false" customHeight="false" outlineLevel="0" collapsed="false">
      <c r="A686" s="7" t="s">
        <v>1978</v>
      </c>
      <c r="B686" s="7" t="s">
        <v>137</v>
      </c>
      <c r="C686" s="20" t="n">
        <v>45823</v>
      </c>
      <c r="D686" s="20" t="n">
        <v>45823</v>
      </c>
      <c r="E686" s="20"/>
      <c r="F686" s="7" t="s">
        <v>759</v>
      </c>
      <c r="G686" s="7" t="s">
        <v>153</v>
      </c>
      <c r="H686" s="7" t="s">
        <v>786</v>
      </c>
      <c r="I686" s="7" t="s">
        <v>787</v>
      </c>
      <c r="J686" s="7" t="s">
        <v>761</v>
      </c>
      <c r="K686" s="7" t="s">
        <v>762</v>
      </c>
      <c r="L686" s="7" t="s">
        <v>788</v>
      </c>
      <c r="M686" s="7"/>
      <c r="N686" s="16"/>
      <c r="O686" s="7"/>
      <c r="P686" s="22"/>
      <c r="Q686" s="8" t="n">
        <v>1500</v>
      </c>
      <c r="R686" s="8" t="n">
        <v>-1500</v>
      </c>
      <c r="S686" s="7" t="s">
        <v>789</v>
      </c>
      <c r="T686" s="7"/>
      <c r="U686" s="7"/>
      <c r="V686" s="20"/>
      <c r="W686" s="7"/>
      <c r="X686" s="7"/>
      <c r="Y686" s="7"/>
      <c r="Z686" s="7"/>
      <c r="AA686" s="23" t="n">
        <f aca="false">YEAR(C686)</f>
        <v>2025</v>
      </c>
    </row>
    <row r="687" customFormat="false" ht="15" hidden="false" customHeight="false" outlineLevel="0" collapsed="false">
      <c r="A687" s="7" t="s">
        <v>1979</v>
      </c>
      <c r="B687" s="7" t="s">
        <v>137</v>
      </c>
      <c r="C687" s="20" t="n">
        <v>45824</v>
      </c>
      <c r="D687" s="20" t="n">
        <v>45824</v>
      </c>
      <c r="E687" s="20"/>
      <c r="F687" s="7" t="s">
        <v>759</v>
      </c>
      <c r="G687" s="7" t="s">
        <v>149</v>
      </c>
      <c r="H687" s="7" t="s">
        <v>237</v>
      </c>
      <c r="I687" s="7" t="s">
        <v>238</v>
      </c>
      <c r="J687" s="7" t="s">
        <v>236</v>
      </c>
      <c r="K687" s="7" t="s">
        <v>189</v>
      </c>
      <c r="L687" s="7" t="s">
        <v>1980</v>
      </c>
      <c r="M687" s="7" t="s">
        <v>556</v>
      </c>
      <c r="N687" s="16"/>
      <c r="O687" s="7"/>
      <c r="P687" s="22"/>
      <c r="Q687" s="8" t="n">
        <v>362.72</v>
      </c>
      <c r="R687" s="8" t="n">
        <v>-362.72</v>
      </c>
      <c r="S687" s="7" t="s">
        <v>744</v>
      </c>
      <c r="T687" s="7"/>
      <c r="U687" s="7"/>
      <c r="V687" s="20"/>
      <c r="W687" s="7"/>
      <c r="X687" s="7" t="s">
        <v>1552</v>
      </c>
      <c r="Y687" s="7"/>
      <c r="Z687" s="7"/>
      <c r="AA687" s="23" t="n">
        <f aca="false">YEAR(C687)</f>
        <v>2025</v>
      </c>
    </row>
    <row r="688" customFormat="false" ht="15" hidden="false" customHeight="false" outlineLevel="0" collapsed="false">
      <c r="A688" s="7" t="s">
        <v>1981</v>
      </c>
      <c r="B688" s="7" t="s">
        <v>137</v>
      </c>
      <c r="C688" s="20" t="n">
        <v>45824</v>
      </c>
      <c r="D688" s="20" t="n">
        <v>45824</v>
      </c>
      <c r="E688" s="20"/>
      <c r="F688" s="7" t="s">
        <v>759</v>
      </c>
      <c r="G688" s="7" t="s">
        <v>149</v>
      </c>
      <c r="H688" s="7" t="s">
        <v>559</v>
      </c>
      <c r="I688" s="7" t="s">
        <v>771</v>
      </c>
      <c r="J688" s="7" t="s">
        <v>761</v>
      </c>
      <c r="K688" s="7" t="s">
        <v>772</v>
      </c>
      <c r="L688" s="7" t="s">
        <v>1982</v>
      </c>
      <c r="M688" s="7" t="s">
        <v>556</v>
      </c>
      <c r="N688" s="16"/>
      <c r="O688" s="7"/>
      <c r="P688" s="22"/>
      <c r="Q688" s="8" t="n">
        <v>1369.77</v>
      </c>
      <c r="R688" s="8" t="n">
        <v>-1369.77</v>
      </c>
      <c r="S688" s="7" t="s">
        <v>744</v>
      </c>
      <c r="T688" s="7"/>
      <c r="U688" s="7"/>
      <c r="V688" s="20"/>
      <c r="W688" s="7"/>
      <c r="X688" s="7" t="s">
        <v>1552</v>
      </c>
      <c r="Y688" s="7"/>
      <c r="Z688" s="7"/>
      <c r="AA688" s="23" t="n">
        <f aca="false">YEAR(C688)</f>
        <v>2025</v>
      </c>
    </row>
    <row r="689" customFormat="false" ht="15" hidden="false" customHeight="false" outlineLevel="0" collapsed="false">
      <c r="A689" s="7" t="s">
        <v>1983</v>
      </c>
      <c r="B689" s="7" t="s">
        <v>137</v>
      </c>
      <c r="C689" s="20" t="n">
        <v>45826</v>
      </c>
      <c r="D689" s="20" t="n">
        <v>45841</v>
      </c>
      <c r="E689" s="20"/>
      <c r="F689" s="7" t="s">
        <v>759</v>
      </c>
      <c r="G689" s="7" t="s">
        <v>141</v>
      </c>
      <c r="H689" s="7" t="s">
        <v>276</v>
      </c>
      <c r="I689" s="7" t="s">
        <v>277</v>
      </c>
      <c r="J689" s="7" t="s">
        <v>221</v>
      </c>
      <c r="K689" s="7" t="s">
        <v>275</v>
      </c>
      <c r="L689" s="7" t="s">
        <v>1984</v>
      </c>
      <c r="M689" s="7" t="s">
        <v>547</v>
      </c>
      <c r="N689" s="16"/>
      <c r="O689" s="7"/>
      <c r="P689" s="22"/>
      <c r="Q689" s="8" t="n">
        <v>3525</v>
      </c>
      <c r="R689" s="8" t="n">
        <v>-3525</v>
      </c>
      <c r="S689" s="7" t="s">
        <v>751</v>
      </c>
      <c r="T689" s="7"/>
      <c r="U689" s="7" t="s">
        <v>1985</v>
      </c>
      <c r="V689" s="20" t="n">
        <v>45841</v>
      </c>
      <c r="W689" s="7"/>
      <c r="X689" s="7"/>
      <c r="Y689" s="7" t="s">
        <v>710</v>
      </c>
      <c r="Z689" s="7"/>
      <c r="AA689" s="23" t="n">
        <f aca="false">YEAR(C689)</f>
        <v>2025</v>
      </c>
    </row>
    <row r="690" customFormat="false" ht="15" hidden="false" customHeight="false" outlineLevel="0" collapsed="false">
      <c r="A690" s="7" t="s">
        <v>1986</v>
      </c>
      <c r="B690" s="7" t="s">
        <v>137</v>
      </c>
      <c r="C690" s="20" t="n">
        <v>45831</v>
      </c>
      <c r="D690" s="20" t="n">
        <v>45831</v>
      </c>
      <c r="E690" s="20"/>
      <c r="F690" s="7" t="s">
        <v>759</v>
      </c>
      <c r="G690" s="7" t="s">
        <v>153</v>
      </c>
      <c r="H690" s="7" t="s">
        <v>561</v>
      </c>
      <c r="I690" s="7" t="s">
        <v>363</v>
      </c>
      <c r="J690" s="7" t="s">
        <v>761</v>
      </c>
      <c r="K690" s="7" t="s">
        <v>772</v>
      </c>
      <c r="L690" s="7" t="s">
        <v>562</v>
      </c>
      <c r="M690" s="7" t="s">
        <v>556</v>
      </c>
      <c r="N690" s="16"/>
      <c r="O690" s="7"/>
      <c r="P690" s="22"/>
      <c r="Q690" s="8" t="n">
        <v>16000</v>
      </c>
      <c r="R690" s="8" t="n">
        <v>16000</v>
      </c>
      <c r="S690" s="7" t="s">
        <v>783</v>
      </c>
      <c r="T690" s="7"/>
      <c r="U690" s="7"/>
      <c r="V690" s="20"/>
      <c r="W690" s="7"/>
      <c r="X690" s="7" t="s">
        <v>784</v>
      </c>
      <c r="Y690" s="7"/>
      <c r="Z690" s="7"/>
      <c r="AA690" s="23" t="n">
        <f aca="false">YEAR(C690)</f>
        <v>2025</v>
      </c>
    </row>
    <row r="691" customFormat="false" ht="15" hidden="false" customHeight="false" outlineLevel="0" collapsed="false">
      <c r="A691" s="7" t="s">
        <v>1987</v>
      </c>
      <c r="B691" s="7" t="s">
        <v>137</v>
      </c>
      <c r="C691" s="20" t="n">
        <v>45831</v>
      </c>
      <c r="D691" s="20" t="n">
        <v>45861</v>
      </c>
      <c r="E691" s="20"/>
      <c r="F691" s="7" t="s">
        <v>759</v>
      </c>
      <c r="G691" s="7" t="s">
        <v>146</v>
      </c>
      <c r="H691" s="7" t="s">
        <v>268</v>
      </c>
      <c r="I691" s="7" t="s">
        <v>269</v>
      </c>
      <c r="J691" s="7" t="s">
        <v>221</v>
      </c>
      <c r="K691" s="7" t="s">
        <v>267</v>
      </c>
      <c r="L691" s="7" t="s">
        <v>978</v>
      </c>
      <c r="M691" s="7" t="s">
        <v>563</v>
      </c>
      <c r="N691" s="16"/>
      <c r="O691" s="7"/>
      <c r="P691" s="22"/>
      <c r="Q691" s="8" t="n">
        <v>568.48</v>
      </c>
      <c r="R691" s="8" t="n">
        <v>-568.48</v>
      </c>
      <c r="S691" s="7" t="s">
        <v>751</v>
      </c>
      <c r="T691" s="7"/>
      <c r="U691" s="7" t="s">
        <v>1988</v>
      </c>
      <c r="V691" s="20" t="n">
        <v>45861</v>
      </c>
      <c r="W691" s="7"/>
      <c r="X691" s="7"/>
      <c r="Y691" s="7" t="s">
        <v>709</v>
      </c>
      <c r="Z691" s="7"/>
      <c r="AA691" s="23" t="n">
        <f aca="false">YEAR(C691)</f>
        <v>2025</v>
      </c>
    </row>
    <row r="692" customFormat="false" ht="15" hidden="false" customHeight="false" outlineLevel="0" collapsed="false">
      <c r="A692" s="7" t="s">
        <v>1989</v>
      </c>
      <c r="B692" s="7" t="s">
        <v>137</v>
      </c>
      <c r="C692" s="20" t="n">
        <v>45831</v>
      </c>
      <c r="D692" s="20" t="n">
        <v>45867</v>
      </c>
      <c r="E692" s="20"/>
      <c r="F692" s="7" t="s">
        <v>759</v>
      </c>
      <c r="G692" s="7" t="s">
        <v>149</v>
      </c>
      <c r="H692" s="7" t="s">
        <v>279</v>
      </c>
      <c r="I692" s="7" t="s">
        <v>280</v>
      </c>
      <c r="J692" s="7" t="s">
        <v>248</v>
      </c>
      <c r="K692" s="7" t="s">
        <v>278</v>
      </c>
      <c r="L692" s="7" t="s">
        <v>1990</v>
      </c>
      <c r="M692" s="7" t="s">
        <v>603</v>
      </c>
      <c r="N692" s="16" t="n">
        <v>169</v>
      </c>
      <c r="O692" s="7" t="s">
        <v>801</v>
      </c>
      <c r="P692" s="22" t="n">
        <v>42</v>
      </c>
      <c r="Q692" s="8" t="n">
        <v>7098</v>
      </c>
      <c r="R692" s="8" t="n">
        <v>7098</v>
      </c>
      <c r="S692" s="7" t="s">
        <v>33</v>
      </c>
      <c r="T692" s="7" t="s">
        <v>1991</v>
      </c>
      <c r="U692" s="7"/>
      <c r="V692" s="20" t="n">
        <v>45861</v>
      </c>
      <c r="W692" s="7"/>
      <c r="X692" s="7"/>
      <c r="Y692" s="7"/>
      <c r="Z692" s="7"/>
      <c r="AA692" s="23" t="n">
        <f aca="false">YEAR(C692)</f>
        <v>2025</v>
      </c>
    </row>
    <row r="693" customFormat="false" ht="15" hidden="false" customHeight="false" outlineLevel="0" collapsed="false">
      <c r="A693" s="7" t="s">
        <v>1992</v>
      </c>
      <c r="B693" s="7" t="s">
        <v>137</v>
      </c>
      <c r="C693" s="20" t="n">
        <v>45831</v>
      </c>
      <c r="D693" s="20" t="n">
        <v>45867</v>
      </c>
      <c r="E693" s="20"/>
      <c r="F693" s="7" t="s">
        <v>759</v>
      </c>
      <c r="G693" s="7" t="s">
        <v>149</v>
      </c>
      <c r="H693" s="7" t="s">
        <v>281</v>
      </c>
      <c r="I693" s="7" t="s">
        <v>282</v>
      </c>
      <c r="J693" s="7" t="s">
        <v>248</v>
      </c>
      <c r="K693" s="7" t="s">
        <v>278</v>
      </c>
      <c r="L693" s="7" t="s">
        <v>1993</v>
      </c>
      <c r="M693" s="7" t="s">
        <v>603</v>
      </c>
      <c r="N693" s="16" t="n">
        <v>5577</v>
      </c>
      <c r="O693" s="7" t="s">
        <v>798</v>
      </c>
      <c r="P693" s="22" t="n">
        <v>0.2</v>
      </c>
      <c r="Q693" s="8" t="n">
        <v>1115.4</v>
      </c>
      <c r="R693" s="8" t="n">
        <v>1115.4</v>
      </c>
      <c r="S693" s="7" t="s">
        <v>33</v>
      </c>
      <c r="T693" s="7" t="s">
        <v>1991</v>
      </c>
      <c r="U693" s="7"/>
      <c r="V693" s="20" t="n">
        <v>45861</v>
      </c>
      <c r="W693" s="7"/>
      <c r="X693" s="7"/>
      <c r="Y693" s="7"/>
      <c r="Z693" s="7"/>
      <c r="AA693" s="23" t="n">
        <f aca="false">YEAR(C693)</f>
        <v>2025</v>
      </c>
    </row>
    <row r="694" customFormat="false" ht="15" hidden="false" customHeight="false" outlineLevel="0" collapsed="false">
      <c r="A694" s="7" t="s">
        <v>1994</v>
      </c>
      <c r="B694" s="7" t="s">
        <v>137</v>
      </c>
      <c r="C694" s="20" t="n">
        <v>45832</v>
      </c>
      <c r="D694" s="20" t="n">
        <v>45880</v>
      </c>
      <c r="E694" s="20"/>
      <c r="F694" s="7" t="s">
        <v>759</v>
      </c>
      <c r="G694" s="7" t="s">
        <v>136</v>
      </c>
      <c r="H694" s="7" t="s">
        <v>264</v>
      </c>
      <c r="I694" s="7" t="s">
        <v>263</v>
      </c>
      <c r="J694" s="7" t="s">
        <v>221</v>
      </c>
      <c r="K694" s="7" t="s">
        <v>263</v>
      </c>
      <c r="L694" s="7" t="s">
        <v>961</v>
      </c>
      <c r="M694" s="7" t="s">
        <v>591</v>
      </c>
      <c r="N694" s="16" t="n">
        <v>96</v>
      </c>
      <c r="O694" s="7" t="s">
        <v>801</v>
      </c>
      <c r="P694" s="22" t="n">
        <v>14.84</v>
      </c>
      <c r="Q694" s="8" t="n">
        <v>1424.64</v>
      </c>
      <c r="R694" s="8" t="n">
        <v>-1424.64</v>
      </c>
      <c r="S694" s="7" t="s">
        <v>751</v>
      </c>
      <c r="T694" s="7"/>
      <c r="U694" s="7" t="s">
        <v>1995</v>
      </c>
      <c r="V694" s="20" t="n">
        <v>45862</v>
      </c>
      <c r="W694" s="7"/>
      <c r="X694" s="7"/>
      <c r="Y694" s="7" t="s">
        <v>722</v>
      </c>
      <c r="Z694" s="7"/>
      <c r="AA694" s="23" t="n">
        <f aca="false">YEAR(C694)</f>
        <v>2025</v>
      </c>
    </row>
    <row r="695" customFormat="false" ht="15" hidden="false" customHeight="false" outlineLevel="0" collapsed="false">
      <c r="A695" s="7" t="s">
        <v>1996</v>
      </c>
      <c r="B695" s="7" t="s">
        <v>137</v>
      </c>
      <c r="C695" s="20" t="n">
        <v>45832</v>
      </c>
      <c r="D695" s="20" t="n">
        <v>45880</v>
      </c>
      <c r="E695" s="20"/>
      <c r="F695" s="7" t="s">
        <v>759</v>
      </c>
      <c r="G695" s="7" t="s">
        <v>136</v>
      </c>
      <c r="H695" s="7" t="s">
        <v>223</v>
      </c>
      <c r="I695" s="7" t="s">
        <v>224</v>
      </c>
      <c r="J695" s="7" t="s">
        <v>221</v>
      </c>
      <c r="K695" s="7" t="s">
        <v>222</v>
      </c>
      <c r="L695" s="7" t="s">
        <v>964</v>
      </c>
      <c r="M695" s="7" t="s">
        <v>589</v>
      </c>
      <c r="N695" s="16" t="n">
        <v>96</v>
      </c>
      <c r="O695" s="7" t="s">
        <v>801</v>
      </c>
      <c r="P695" s="22" t="n">
        <v>9.54</v>
      </c>
      <c r="Q695" s="8" t="n">
        <v>915.84</v>
      </c>
      <c r="R695" s="8" t="n">
        <v>-915.84</v>
      </c>
      <c r="S695" s="7" t="s">
        <v>751</v>
      </c>
      <c r="T695" s="7"/>
      <c r="U695" s="7" t="s">
        <v>1997</v>
      </c>
      <c r="V695" s="20" t="n">
        <v>45862</v>
      </c>
      <c r="W695" s="7"/>
      <c r="X695" s="7"/>
      <c r="Y695" s="7" t="s">
        <v>722</v>
      </c>
      <c r="Z695" s="7"/>
      <c r="AA695" s="23" t="n">
        <f aca="false">YEAR(C695)</f>
        <v>2025</v>
      </c>
    </row>
    <row r="696" customFormat="false" ht="15" hidden="false" customHeight="false" outlineLevel="0" collapsed="false">
      <c r="A696" s="7" t="s">
        <v>1998</v>
      </c>
      <c r="B696" s="7" t="s">
        <v>137</v>
      </c>
      <c r="C696" s="20" t="n">
        <v>45833</v>
      </c>
      <c r="D696" s="20" t="n">
        <v>45875</v>
      </c>
      <c r="E696" s="20"/>
      <c r="F696" s="7" t="s">
        <v>759</v>
      </c>
      <c r="G696" s="7" t="s">
        <v>149</v>
      </c>
      <c r="H696" s="7" t="s">
        <v>279</v>
      </c>
      <c r="I696" s="7" t="s">
        <v>280</v>
      </c>
      <c r="J696" s="7" t="s">
        <v>248</v>
      </c>
      <c r="K696" s="7" t="s">
        <v>278</v>
      </c>
      <c r="L696" s="7" t="s">
        <v>1999</v>
      </c>
      <c r="M696" s="7" t="s">
        <v>606</v>
      </c>
      <c r="N696" s="16" t="n">
        <v>192</v>
      </c>
      <c r="O696" s="7" t="s">
        <v>801</v>
      </c>
      <c r="P696" s="22" t="n">
        <v>42</v>
      </c>
      <c r="Q696" s="8" t="n">
        <v>8064</v>
      </c>
      <c r="R696" s="8" t="n">
        <v>8064</v>
      </c>
      <c r="S696" s="7" t="s">
        <v>33</v>
      </c>
      <c r="T696" s="7" t="s">
        <v>2000</v>
      </c>
      <c r="U696" s="7"/>
      <c r="V696" s="20" t="n">
        <v>45863</v>
      </c>
      <c r="W696" s="7"/>
      <c r="X696" s="7"/>
      <c r="Y696" s="7"/>
      <c r="Z696" s="7"/>
      <c r="AA696" s="23" t="n">
        <f aca="false">YEAR(C696)</f>
        <v>2025</v>
      </c>
    </row>
    <row r="697" customFormat="false" ht="15" hidden="false" customHeight="false" outlineLevel="0" collapsed="false">
      <c r="A697" s="7" t="s">
        <v>2001</v>
      </c>
      <c r="B697" s="7" t="s">
        <v>137</v>
      </c>
      <c r="C697" s="20" t="n">
        <v>45833</v>
      </c>
      <c r="D697" s="20" t="n">
        <v>45875</v>
      </c>
      <c r="E697" s="20"/>
      <c r="F697" s="7" t="s">
        <v>759</v>
      </c>
      <c r="G697" s="7" t="s">
        <v>149</v>
      </c>
      <c r="H697" s="7" t="s">
        <v>281</v>
      </c>
      <c r="I697" s="7" t="s">
        <v>282</v>
      </c>
      <c r="J697" s="7" t="s">
        <v>248</v>
      </c>
      <c r="K697" s="7" t="s">
        <v>278</v>
      </c>
      <c r="L697" s="7" t="s">
        <v>2002</v>
      </c>
      <c r="M697" s="7" t="s">
        <v>606</v>
      </c>
      <c r="N697" s="16" t="n">
        <v>6336</v>
      </c>
      <c r="O697" s="7" t="s">
        <v>798</v>
      </c>
      <c r="P697" s="22" t="n">
        <v>0.2</v>
      </c>
      <c r="Q697" s="8" t="n">
        <v>1267.2</v>
      </c>
      <c r="R697" s="8" t="n">
        <v>1267.2</v>
      </c>
      <c r="S697" s="7" t="s">
        <v>33</v>
      </c>
      <c r="T697" s="7" t="s">
        <v>2000</v>
      </c>
      <c r="U697" s="7"/>
      <c r="V697" s="20" t="n">
        <v>45863</v>
      </c>
      <c r="W697" s="7"/>
      <c r="X697" s="7"/>
      <c r="Y697" s="7"/>
      <c r="Z697" s="7"/>
      <c r="AA697" s="23" t="n">
        <f aca="false">YEAR(C697)</f>
        <v>2025</v>
      </c>
    </row>
    <row r="698" customFormat="false" ht="15" hidden="false" customHeight="false" outlineLevel="0" collapsed="false">
      <c r="A698" s="7" t="s">
        <v>2003</v>
      </c>
      <c r="B698" s="7" t="s">
        <v>137</v>
      </c>
      <c r="C698" s="20" t="n">
        <v>45833</v>
      </c>
      <c r="D698" s="20" t="n">
        <v>45894</v>
      </c>
      <c r="E698" s="20"/>
      <c r="F698" s="7" t="s">
        <v>759</v>
      </c>
      <c r="G698" s="7" t="s">
        <v>149</v>
      </c>
      <c r="H698" s="7" t="s">
        <v>279</v>
      </c>
      <c r="I698" s="7" t="s">
        <v>280</v>
      </c>
      <c r="J698" s="7" t="s">
        <v>248</v>
      </c>
      <c r="K698" s="7" t="s">
        <v>278</v>
      </c>
      <c r="L698" s="7" t="s">
        <v>2004</v>
      </c>
      <c r="M698" s="7" t="s">
        <v>614</v>
      </c>
      <c r="N698" s="16" t="n">
        <v>133</v>
      </c>
      <c r="O698" s="7" t="s">
        <v>801</v>
      </c>
      <c r="P698" s="22" t="n">
        <v>42</v>
      </c>
      <c r="Q698" s="8" t="n">
        <v>5586</v>
      </c>
      <c r="R698" s="8" t="n">
        <v>5586</v>
      </c>
      <c r="S698" s="7" t="s">
        <v>33</v>
      </c>
      <c r="T698" s="7" t="s">
        <v>2005</v>
      </c>
      <c r="U698" s="7"/>
      <c r="V698" s="20" t="n">
        <v>45863</v>
      </c>
      <c r="W698" s="7"/>
      <c r="X698" s="7"/>
      <c r="Y698" s="7"/>
      <c r="Z698" s="7"/>
      <c r="AA698" s="23" t="n">
        <f aca="false">YEAR(C698)</f>
        <v>2025</v>
      </c>
    </row>
    <row r="699" customFormat="false" ht="15" hidden="false" customHeight="false" outlineLevel="0" collapsed="false">
      <c r="A699" s="7" t="s">
        <v>2006</v>
      </c>
      <c r="B699" s="7" t="s">
        <v>137</v>
      </c>
      <c r="C699" s="20" t="n">
        <v>45833</v>
      </c>
      <c r="D699" s="20" t="n">
        <v>45894</v>
      </c>
      <c r="E699" s="20"/>
      <c r="F699" s="7" t="s">
        <v>759</v>
      </c>
      <c r="G699" s="7" t="s">
        <v>149</v>
      </c>
      <c r="H699" s="7" t="s">
        <v>281</v>
      </c>
      <c r="I699" s="7" t="s">
        <v>282</v>
      </c>
      <c r="J699" s="7" t="s">
        <v>248</v>
      </c>
      <c r="K699" s="7" t="s">
        <v>278</v>
      </c>
      <c r="L699" s="7" t="s">
        <v>2007</v>
      </c>
      <c r="M699" s="7" t="s">
        <v>614</v>
      </c>
      <c r="N699" s="16" t="n">
        <v>4389</v>
      </c>
      <c r="O699" s="7" t="s">
        <v>798</v>
      </c>
      <c r="P699" s="22" t="n">
        <v>0.2</v>
      </c>
      <c r="Q699" s="8" t="n">
        <v>877.8</v>
      </c>
      <c r="R699" s="8" t="n">
        <v>877.8</v>
      </c>
      <c r="S699" s="7" t="s">
        <v>33</v>
      </c>
      <c r="T699" s="7" t="s">
        <v>2005</v>
      </c>
      <c r="U699" s="7"/>
      <c r="V699" s="20" t="n">
        <v>45863</v>
      </c>
      <c r="W699" s="7"/>
      <c r="X699" s="7"/>
      <c r="Y699" s="7"/>
      <c r="Z699" s="7"/>
      <c r="AA699" s="23" t="n">
        <f aca="false">YEAR(C699)</f>
        <v>2025</v>
      </c>
    </row>
    <row r="700" customFormat="false" ht="15" hidden="false" customHeight="false" outlineLevel="0" collapsed="false">
      <c r="A700" s="7" t="s">
        <v>2008</v>
      </c>
      <c r="B700" s="7" t="s">
        <v>137</v>
      </c>
      <c r="C700" s="20" t="n">
        <v>45834</v>
      </c>
      <c r="D700" s="20" t="n">
        <v>45845</v>
      </c>
      <c r="E700" s="20"/>
      <c r="F700" s="7" t="s">
        <v>759</v>
      </c>
      <c r="G700" s="7" t="s">
        <v>146</v>
      </c>
      <c r="H700" s="7" t="s">
        <v>250</v>
      </c>
      <c r="I700" s="7" t="s">
        <v>251</v>
      </c>
      <c r="J700" s="7" t="s">
        <v>248</v>
      </c>
      <c r="K700" s="7" t="s">
        <v>249</v>
      </c>
      <c r="L700" s="7" t="s">
        <v>2009</v>
      </c>
      <c r="M700" s="7" t="s">
        <v>626</v>
      </c>
      <c r="N700" s="16" t="n">
        <v>2120</v>
      </c>
      <c r="O700" s="7" t="s">
        <v>798</v>
      </c>
      <c r="P700" s="22" t="n">
        <v>4.82</v>
      </c>
      <c r="Q700" s="8" t="n">
        <v>10218.4</v>
      </c>
      <c r="R700" s="8" t="n">
        <v>10218.4</v>
      </c>
      <c r="S700" s="7" t="s">
        <v>33</v>
      </c>
      <c r="T700" s="7" t="s">
        <v>2010</v>
      </c>
      <c r="U700" s="7"/>
      <c r="V700" s="20" t="n">
        <v>45834</v>
      </c>
      <c r="W700" s="7"/>
      <c r="X700" s="7"/>
      <c r="Y700" s="7" t="s">
        <v>709</v>
      </c>
      <c r="Z700" s="7"/>
      <c r="AA700" s="23" t="n">
        <f aca="false">YEAR(C700)</f>
        <v>2025</v>
      </c>
    </row>
    <row r="701" customFormat="false" ht="15" hidden="false" customHeight="false" outlineLevel="0" collapsed="false">
      <c r="A701" s="7" t="s">
        <v>2011</v>
      </c>
      <c r="B701" s="7" t="s">
        <v>137</v>
      </c>
      <c r="C701" s="20" t="n">
        <v>45834</v>
      </c>
      <c r="D701" s="20" t="n">
        <v>45860</v>
      </c>
      <c r="E701" s="20"/>
      <c r="F701" s="7" t="s">
        <v>759</v>
      </c>
      <c r="G701" s="7" t="s">
        <v>153</v>
      </c>
      <c r="H701" s="7" t="s">
        <v>242</v>
      </c>
      <c r="I701" s="7" t="s">
        <v>243</v>
      </c>
      <c r="J701" s="7" t="s">
        <v>229</v>
      </c>
      <c r="K701" s="7" t="s">
        <v>241</v>
      </c>
      <c r="L701" s="7" t="s">
        <v>571</v>
      </c>
      <c r="M701" s="7"/>
      <c r="N701" s="16"/>
      <c r="O701" s="7"/>
      <c r="P701" s="22"/>
      <c r="Q701" s="8" t="n">
        <v>390.92</v>
      </c>
      <c r="R701" s="8" t="n">
        <v>-390.92</v>
      </c>
      <c r="S701" s="7" t="s">
        <v>765</v>
      </c>
      <c r="T701" s="7"/>
      <c r="U701" s="7"/>
      <c r="V701" s="20"/>
      <c r="W701" s="7"/>
      <c r="X701" s="7"/>
      <c r="Y701" s="7"/>
      <c r="Z701" s="7"/>
      <c r="AA701" s="23" t="n">
        <f aca="false">YEAR(C701)</f>
        <v>2025</v>
      </c>
    </row>
    <row r="702" customFormat="false" ht="15" hidden="false" customHeight="false" outlineLevel="0" collapsed="false">
      <c r="A702" s="7" t="s">
        <v>2012</v>
      </c>
      <c r="B702" s="7" t="s">
        <v>137</v>
      </c>
      <c r="C702" s="20" t="n">
        <v>45835</v>
      </c>
      <c r="D702" s="20" t="n">
        <v>45835</v>
      </c>
      <c r="E702" s="20"/>
      <c r="F702" s="7" t="s">
        <v>759</v>
      </c>
      <c r="G702" s="7" t="s">
        <v>149</v>
      </c>
      <c r="H702" s="7" t="s">
        <v>271</v>
      </c>
      <c r="I702" s="7" t="s">
        <v>272</v>
      </c>
      <c r="J702" s="7" t="s">
        <v>221</v>
      </c>
      <c r="K702" s="7" t="s">
        <v>270</v>
      </c>
      <c r="L702" s="7" t="s">
        <v>1173</v>
      </c>
      <c r="M702" s="7" t="s">
        <v>541</v>
      </c>
      <c r="N702" s="16"/>
      <c r="O702" s="7"/>
      <c r="P702" s="22"/>
      <c r="Q702" s="8" t="n">
        <v>1369.46</v>
      </c>
      <c r="R702" s="8" t="n">
        <v>-1369.46</v>
      </c>
      <c r="S702" s="7" t="s">
        <v>744</v>
      </c>
      <c r="T702" s="7"/>
      <c r="U702" s="7"/>
      <c r="V702" s="20"/>
      <c r="W702" s="7"/>
      <c r="X702" s="7"/>
      <c r="Y702" s="7"/>
      <c r="Z702" s="7"/>
      <c r="AA702" s="23" t="n">
        <f aca="false">YEAR(C702)</f>
        <v>2025</v>
      </c>
    </row>
    <row r="703" customFormat="false" ht="15" hidden="false" customHeight="false" outlineLevel="0" collapsed="false">
      <c r="A703" s="7" t="s">
        <v>2013</v>
      </c>
      <c r="B703" s="7" t="s">
        <v>137</v>
      </c>
      <c r="C703" s="20" t="n">
        <v>45835</v>
      </c>
      <c r="D703" s="20" t="n">
        <v>45835</v>
      </c>
      <c r="E703" s="20"/>
      <c r="F703" s="7" t="s">
        <v>759</v>
      </c>
      <c r="G703" s="7" t="s">
        <v>153</v>
      </c>
      <c r="H703" s="7" t="s">
        <v>271</v>
      </c>
      <c r="I703" s="7" t="s">
        <v>272</v>
      </c>
      <c r="J703" s="7" t="s">
        <v>221</v>
      </c>
      <c r="K703" s="7" t="s">
        <v>270</v>
      </c>
      <c r="L703" s="7" t="s">
        <v>544</v>
      </c>
      <c r="M703" s="7" t="s">
        <v>541</v>
      </c>
      <c r="N703" s="16"/>
      <c r="O703" s="7"/>
      <c r="P703" s="22"/>
      <c r="Q703" s="8" t="n">
        <v>912.97</v>
      </c>
      <c r="R703" s="8" t="n">
        <v>-912.97</v>
      </c>
      <c r="S703" s="7" t="s">
        <v>744</v>
      </c>
      <c r="T703" s="7"/>
      <c r="U703" s="7"/>
      <c r="V703" s="20"/>
      <c r="W703" s="7"/>
      <c r="X703" s="7"/>
      <c r="Y703" s="7"/>
      <c r="Z703" s="7"/>
      <c r="AA703" s="23" t="n">
        <f aca="false">YEAR(C703)</f>
        <v>2025</v>
      </c>
    </row>
    <row r="704" customFormat="false" ht="15" hidden="false" customHeight="false" outlineLevel="0" collapsed="false">
      <c r="A704" s="7" t="s">
        <v>2014</v>
      </c>
      <c r="B704" s="7" t="s">
        <v>137</v>
      </c>
      <c r="C704" s="20" t="n">
        <v>45835</v>
      </c>
      <c r="D704" s="20" t="n">
        <v>45853</v>
      </c>
      <c r="E704" s="20"/>
      <c r="F704" s="7" t="s">
        <v>759</v>
      </c>
      <c r="G704" s="7" t="s">
        <v>149</v>
      </c>
      <c r="H704" s="7" t="s">
        <v>273</v>
      </c>
      <c r="I704" s="7" t="s">
        <v>274</v>
      </c>
      <c r="J704" s="7" t="s">
        <v>221</v>
      </c>
      <c r="K704" s="7" t="s">
        <v>270</v>
      </c>
      <c r="L704" s="7" t="s">
        <v>554</v>
      </c>
      <c r="M704" s="7" t="s">
        <v>541</v>
      </c>
      <c r="N704" s="16"/>
      <c r="O704" s="7"/>
      <c r="P704" s="22"/>
      <c r="Q704" s="8" t="n">
        <v>200.85</v>
      </c>
      <c r="R704" s="8" t="n">
        <v>-200.85</v>
      </c>
      <c r="S704" s="7" t="s">
        <v>789</v>
      </c>
      <c r="T704" s="7"/>
      <c r="U704" s="7"/>
      <c r="V704" s="20"/>
      <c r="W704" s="7"/>
      <c r="X704" s="7"/>
      <c r="Y704" s="7"/>
      <c r="Z704" s="7"/>
      <c r="AA704" s="23" t="n">
        <f aca="false">YEAR(C704)</f>
        <v>2025</v>
      </c>
    </row>
    <row r="705" customFormat="false" ht="15" hidden="false" customHeight="false" outlineLevel="0" collapsed="false">
      <c r="A705" s="7" t="s">
        <v>2015</v>
      </c>
      <c r="B705" s="7" t="s">
        <v>137</v>
      </c>
      <c r="C705" s="20" t="n">
        <v>45836</v>
      </c>
      <c r="D705" s="20" t="n">
        <v>45866</v>
      </c>
      <c r="E705" s="20"/>
      <c r="F705" s="7" t="s">
        <v>759</v>
      </c>
      <c r="G705" s="7" t="s">
        <v>144</v>
      </c>
      <c r="H705" s="7" t="s">
        <v>264</v>
      </c>
      <c r="I705" s="7" t="s">
        <v>263</v>
      </c>
      <c r="J705" s="7" t="s">
        <v>221</v>
      </c>
      <c r="K705" s="7" t="s">
        <v>263</v>
      </c>
      <c r="L705" s="7" t="s">
        <v>927</v>
      </c>
      <c r="M705" s="7" t="s">
        <v>563</v>
      </c>
      <c r="N705" s="16"/>
      <c r="O705" s="7"/>
      <c r="P705" s="22"/>
      <c r="Q705" s="8" t="n">
        <v>1701</v>
      </c>
      <c r="R705" s="8" t="n">
        <v>-1701</v>
      </c>
      <c r="S705" s="7" t="s">
        <v>751</v>
      </c>
      <c r="T705" s="7"/>
      <c r="U705" s="7" t="s">
        <v>2016</v>
      </c>
      <c r="V705" s="20" t="n">
        <v>45866</v>
      </c>
      <c r="W705" s="7"/>
      <c r="X705" s="7"/>
      <c r="Y705" s="7" t="s">
        <v>711</v>
      </c>
      <c r="Z705" s="7"/>
      <c r="AA705" s="23" t="n">
        <f aca="false">YEAR(C705)</f>
        <v>2025</v>
      </c>
    </row>
    <row r="706" customFormat="false" ht="15" hidden="false" customHeight="false" outlineLevel="0" collapsed="false">
      <c r="A706" s="7" t="s">
        <v>2017</v>
      </c>
      <c r="B706" s="7" t="s">
        <v>137</v>
      </c>
      <c r="C706" s="20" t="n">
        <v>45836</v>
      </c>
      <c r="D706" s="20" t="n">
        <v>45866</v>
      </c>
      <c r="E706" s="20"/>
      <c r="F706" s="7" t="s">
        <v>759</v>
      </c>
      <c r="G706" s="7" t="s">
        <v>146</v>
      </c>
      <c r="H706" s="7" t="s">
        <v>261</v>
      </c>
      <c r="I706" s="7" t="s">
        <v>262</v>
      </c>
      <c r="J706" s="7" t="s">
        <v>221</v>
      </c>
      <c r="K706" s="7" t="s">
        <v>260</v>
      </c>
      <c r="L706" s="7" t="s">
        <v>1006</v>
      </c>
      <c r="M706" s="7" t="s">
        <v>538</v>
      </c>
      <c r="N706" s="16"/>
      <c r="O706" s="7"/>
      <c r="P706" s="22"/>
      <c r="Q706" s="8" t="n">
        <v>1356.8</v>
      </c>
      <c r="R706" s="8" t="n">
        <v>-1356.8</v>
      </c>
      <c r="S706" s="7" t="s">
        <v>751</v>
      </c>
      <c r="T706" s="7"/>
      <c r="U706" s="7" t="s">
        <v>2018</v>
      </c>
      <c r="V706" s="20" t="n">
        <v>45866</v>
      </c>
      <c r="W706" s="7"/>
      <c r="X706" s="7"/>
      <c r="Y706" s="7" t="s">
        <v>709</v>
      </c>
      <c r="Z706" s="7"/>
      <c r="AA706" s="23" t="n">
        <f aca="false">YEAR(C706)</f>
        <v>2025</v>
      </c>
    </row>
    <row r="707" customFormat="false" ht="15" hidden="false" customHeight="false" outlineLevel="0" collapsed="false">
      <c r="A707" s="7" t="s">
        <v>2019</v>
      </c>
      <c r="B707" s="7" t="s">
        <v>137</v>
      </c>
      <c r="C707" s="20" t="n">
        <v>45837</v>
      </c>
      <c r="D707" s="20" t="n">
        <v>45905</v>
      </c>
      <c r="E707" s="20"/>
      <c r="F707" s="7" t="s">
        <v>759</v>
      </c>
      <c r="G707" s="7" t="s">
        <v>149</v>
      </c>
      <c r="H707" s="7" t="s">
        <v>279</v>
      </c>
      <c r="I707" s="7" t="s">
        <v>280</v>
      </c>
      <c r="J707" s="7" t="s">
        <v>248</v>
      </c>
      <c r="K707" s="7" t="s">
        <v>278</v>
      </c>
      <c r="L707" s="7" t="s">
        <v>2020</v>
      </c>
      <c r="M707" s="7" t="s">
        <v>1010</v>
      </c>
      <c r="N707" s="16" t="n">
        <v>351</v>
      </c>
      <c r="O707" s="7" t="s">
        <v>801</v>
      </c>
      <c r="P707" s="22" t="n">
        <v>42</v>
      </c>
      <c r="Q707" s="8" t="n">
        <v>14742</v>
      </c>
      <c r="R707" s="8" t="n">
        <v>14742</v>
      </c>
      <c r="S707" s="7" t="s">
        <v>33</v>
      </c>
      <c r="T707" s="7" t="s">
        <v>2021</v>
      </c>
      <c r="U707" s="7"/>
      <c r="V707" s="20" t="n">
        <v>45867</v>
      </c>
      <c r="W707" s="7"/>
      <c r="X707" s="7"/>
      <c r="Y707" s="7"/>
      <c r="Z707" s="7"/>
      <c r="AA707" s="23" t="n">
        <f aca="false">YEAR(C707)</f>
        <v>2025</v>
      </c>
    </row>
    <row r="708" customFormat="false" ht="15" hidden="false" customHeight="false" outlineLevel="0" collapsed="false">
      <c r="A708" s="7" t="s">
        <v>2022</v>
      </c>
      <c r="B708" s="7" t="s">
        <v>137</v>
      </c>
      <c r="C708" s="20" t="n">
        <v>45837</v>
      </c>
      <c r="D708" s="20" t="n">
        <v>45905</v>
      </c>
      <c r="E708" s="20"/>
      <c r="F708" s="7" t="s">
        <v>759</v>
      </c>
      <c r="G708" s="7" t="s">
        <v>149</v>
      </c>
      <c r="H708" s="7" t="s">
        <v>281</v>
      </c>
      <c r="I708" s="7" t="s">
        <v>282</v>
      </c>
      <c r="J708" s="7" t="s">
        <v>248</v>
      </c>
      <c r="K708" s="7" t="s">
        <v>278</v>
      </c>
      <c r="L708" s="7" t="s">
        <v>2023</v>
      </c>
      <c r="M708" s="7" t="s">
        <v>1010</v>
      </c>
      <c r="N708" s="16" t="n">
        <v>11583</v>
      </c>
      <c r="O708" s="7" t="s">
        <v>798</v>
      </c>
      <c r="P708" s="22" t="n">
        <v>0.2</v>
      </c>
      <c r="Q708" s="8" t="n">
        <v>2316.6</v>
      </c>
      <c r="R708" s="8" t="n">
        <v>2316.6</v>
      </c>
      <c r="S708" s="7" t="s">
        <v>33</v>
      </c>
      <c r="T708" s="7" t="s">
        <v>2021</v>
      </c>
      <c r="U708" s="7"/>
      <c r="V708" s="20" t="n">
        <v>45867</v>
      </c>
      <c r="W708" s="7"/>
      <c r="X708" s="7"/>
      <c r="Y708" s="7"/>
      <c r="Z708" s="7"/>
      <c r="AA708" s="23" t="n">
        <f aca="false">YEAR(C708)</f>
        <v>2025</v>
      </c>
    </row>
    <row r="709" customFormat="false" ht="15" hidden="false" customHeight="false" outlineLevel="0" collapsed="false">
      <c r="A709" s="7" t="s">
        <v>2024</v>
      </c>
      <c r="B709" s="7" t="s">
        <v>137</v>
      </c>
      <c r="C709" s="20" t="n">
        <v>45838</v>
      </c>
      <c r="D709" s="20" t="n">
        <v>45838</v>
      </c>
      <c r="E709" s="20"/>
      <c r="F709" s="7" t="s">
        <v>759</v>
      </c>
      <c r="G709" s="7" t="s">
        <v>153</v>
      </c>
      <c r="H709" s="7" t="s">
        <v>246</v>
      </c>
      <c r="I709" s="7" t="s">
        <v>247</v>
      </c>
      <c r="J709" s="7" t="s">
        <v>236</v>
      </c>
      <c r="K709" s="7" t="s">
        <v>189</v>
      </c>
      <c r="L709" s="7" t="s">
        <v>808</v>
      </c>
      <c r="M709" s="7" t="s">
        <v>556</v>
      </c>
      <c r="N709" s="16"/>
      <c r="O709" s="7"/>
      <c r="P709" s="22"/>
      <c r="Q709" s="8" t="n">
        <v>1441.04</v>
      </c>
      <c r="R709" s="8" t="n">
        <v>-1441.04</v>
      </c>
      <c r="S709" s="7" t="s">
        <v>775</v>
      </c>
      <c r="T709" s="7"/>
      <c r="U709" s="7"/>
      <c r="V709" s="20"/>
      <c r="W709" s="7"/>
      <c r="X709" s="7" t="s">
        <v>784</v>
      </c>
      <c r="Y709" s="7"/>
      <c r="Z709" s="7"/>
      <c r="AA709" s="23" t="n">
        <f aca="false">YEAR(C709)</f>
        <v>2025</v>
      </c>
    </row>
    <row r="710" customFormat="false" ht="15" hidden="false" customHeight="false" outlineLevel="0" collapsed="false">
      <c r="A710" s="7" t="s">
        <v>2025</v>
      </c>
      <c r="B710" s="7" t="s">
        <v>137</v>
      </c>
      <c r="C710" s="20" t="n">
        <v>45839</v>
      </c>
      <c r="D710" s="20" t="n">
        <v>45839</v>
      </c>
      <c r="E710" s="20"/>
      <c r="F710" s="7" t="s">
        <v>759</v>
      </c>
      <c r="G710" s="7" t="s">
        <v>153</v>
      </c>
      <c r="H710" s="7" t="s">
        <v>545</v>
      </c>
      <c r="I710" s="7" t="s">
        <v>760</v>
      </c>
      <c r="J710" s="7" t="s">
        <v>761</v>
      </c>
      <c r="K710" s="7" t="s">
        <v>762</v>
      </c>
      <c r="L710" s="7" t="s">
        <v>546</v>
      </c>
      <c r="M710" s="7"/>
      <c r="N710" s="16"/>
      <c r="O710" s="7"/>
      <c r="P710" s="22"/>
      <c r="Q710" s="8" t="n">
        <v>4200</v>
      </c>
      <c r="R710" s="8" t="n">
        <v>-4200</v>
      </c>
      <c r="S710" s="7" t="s">
        <v>763</v>
      </c>
      <c r="T710" s="7"/>
      <c r="U710" s="7"/>
      <c r="V710" s="20"/>
      <c r="W710" s="7"/>
      <c r="X710" s="7"/>
      <c r="Y710" s="7"/>
      <c r="Z710" s="7"/>
      <c r="AA710" s="23" t="n">
        <f aca="false">YEAR(C710)</f>
        <v>2025</v>
      </c>
    </row>
    <row r="711" customFormat="false" ht="15" hidden="false" customHeight="false" outlineLevel="0" collapsed="false">
      <c r="A711" s="7" t="s">
        <v>2026</v>
      </c>
      <c r="B711" s="7" t="s">
        <v>137</v>
      </c>
      <c r="C711" s="20" t="n">
        <v>45840</v>
      </c>
      <c r="D711" s="20" t="n">
        <v>45898</v>
      </c>
      <c r="E711" s="20"/>
      <c r="F711" s="7" t="s">
        <v>759</v>
      </c>
      <c r="G711" s="7" t="s">
        <v>149</v>
      </c>
      <c r="H711" s="7" t="s">
        <v>279</v>
      </c>
      <c r="I711" s="7" t="s">
        <v>280</v>
      </c>
      <c r="J711" s="7" t="s">
        <v>248</v>
      </c>
      <c r="K711" s="7" t="s">
        <v>278</v>
      </c>
      <c r="L711" s="7" t="s">
        <v>2027</v>
      </c>
      <c r="M711" s="7" t="s">
        <v>583</v>
      </c>
      <c r="N711" s="16" t="n">
        <v>507</v>
      </c>
      <c r="O711" s="7" t="s">
        <v>801</v>
      </c>
      <c r="P711" s="22" t="n">
        <v>42</v>
      </c>
      <c r="Q711" s="8" t="n">
        <v>21294</v>
      </c>
      <c r="R711" s="8" t="n">
        <v>21294</v>
      </c>
      <c r="S711" s="7" t="s">
        <v>33</v>
      </c>
      <c r="T711" s="7" t="s">
        <v>2028</v>
      </c>
      <c r="U711" s="7"/>
      <c r="V711" s="20" t="n">
        <v>45870</v>
      </c>
      <c r="W711" s="7"/>
      <c r="X711" s="7"/>
      <c r="Y711" s="7"/>
      <c r="Z711" s="7"/>
      <c r="AA711" s="23" t="n">
        <f aca="false">YEAR(C711)</f>
        <v>2025</v>
      </c>
    </row>
    <row r="712" customFormat="false" ht="15" hidden="false" customHeight="false" outlineLevel="0" collapsed="false">
      <c r="A712" s="7" t="s">
        <v>2029</v>
      </c>
      <c r="B712" s="7" t="s">
        <v>137</v>
      </c>
      <c r="C712" s="20" t="n">
        <v>45840</v>
      </c>
      <c r="D712" s="20" t="n">
        <v>45898</v>
      </c>
      <c r="E712" s="20"/>
      <c r="F712" s="7" t="s">
        <v>759</v>
      </c>
      <c r="G712" s="7" t="s">
        <v>149</v>
      </c>
      <c r="H712" s="7" t="s">
        <v>281</v>
      </c>
      <c r="I712" s="7" t="s">
        <v>282</v>
      </c>
      <c r="J712" s="7" t="s">
        <v>248</v>
      </c>
      <c r="K712" s="7" t="s">
        <v>278</v>
      </c>
      <c r="L712" s="7" t="s">
        <v>2030</v>
      </c>
      <c r="M712" s="7" t="s">
        <v>583</v>
      </c>
      <c r="N712" s="16" t="n">
        <v>16731</v>
      </c>
      <c r="O712" s="7" t="s">
        <v>798</v>
      </c>
      <c r="P712" s="22" t="n">
        <v>0.2</v>
      </c>
      <c r="Q712" s="8" t="n">
        <v>3346.2</v>
      </c>
      <c r="R712" s="8" t="n">
        <v>3346.2</v>
      </c>
      <c r="S712" s="7" t="s">
        <v>33</v>
      </c>
      <c r="T712" s="7" t="s">
        <v>2028</v>
      </c>
      <c r="U712" s="7"/>
      <c r="V712" s="20" t="n">
        <v>45870</v>
      </c>
      <c r="W712" s="7"/>
      <c r="X712" s="7"/>
      <c r="Y712" s="7"/>
      <c r="Z712" s="7"/>
      <c r="AA712" s="23" t="n">
        <f aca="false">YEAR(C712)</f>
        <v>2025</v>
      </c>
    </row>
    <row r="713" customFormat="false" ht="15" hidden="false" customHeight="false" outlineLevel="0" collapsed="false">
      <c r="A713" s="7" t="s">
        <v>2031</v>
      </c>
      <c r="B713" s="7" t="s">
        <v>137</v>
      </c>
      <c r="C713" s="20" t="n">
        <v>45841</v>
      </c>
      <c r="D713" s="20" t="n">
        <v>45841</v>
      </c>
      <c r="E713" s="20"/>
      <c r="F713" s="7" t="s">
        <v>759</v>
      </c>
      <c r="G713" s="7" t="s">
        <v>153</v>
      </c>
      <c r="H713" s="7" t="s">
        <v>561</v>
      </c>
      <c r="I713" s="7" t="s">
        <v>363</v>
      </c>
      <c r="J713" s="7" t="s">
        <v>761</v>
      </c>
      <c r="K713" s="7" t="s">
        <v>772</v>
      </c>
      <c r="L713" s="7" t="s">
        <v>562</v>
      </c>
      <c r="M713" s="7" t="s">
        <v>556</v>
      </c>
      <c r="N713" s="16"/>
      <c r="O713" s="7"/>
      <c r="P713" s="22"/>
      <c r="Q713" s="8" t="n">
        <v>15000</v>
      </c>
      <c r="R713" s="8" t="n">
        <v>15000</v>
      </c>
      <c r="S713" s="7" t="s">
        <v>783</v>
      </c>
      <c r="T713" s="7"/>
      <c r="U713" s="7"/>
      <c r="V713" s="20"/>
      <c r="W713" s="7"/>
      <c r="X713" s="7" t="s">
        <v>784</v>
      </c>
      <c r="Y713" s="7"/>
      <c r="Z713" s="7"/>
      <c r="AA713" s="23" t="n">
        <f aca="false">YEAR(C713)</f>
        <v>2025</v>
      </c>
    </row>
    <row r="714" customFormat="false" ht="15" hidden="false" customHeight="false" outlineLevel="0" collapsed="false">
      <c r="A714" s="7" t="s">
        <v>2032</v>
      </c>
      <c r="B714" s="7" t="s">
        <v>137</v>
      </c>
      <c r="C714" s="20" t="n">
        <v>45844</v>
      </c>
      <c r="D714" s="20" t="n">
        <v>45874</v>
      </c>
      <c r="E714" s="20"/>
      <c r="F714" s="7" t="s">
        <v>759</v>
      </c>
      <c r="G714" s="7" t="s">
        <v>149</v>
      </c>
      <c r="H714" s="7" t="s">
        <v>268</v>
      </c>
      <c r="I714" s="7" t="s">
        <v>269</v>
      </c>
      <c r="J714" s="7" t="s">
        <v>221</v>
      </c>
      <c r="K714" s="7" t="s">
        <v>267</v>
      </c>
      <c r="L714" s="7" t="s">
        <v>2033</v>
      </c>
      <c r="M714" s="7" t="s">
        <v>563</v>
      </c>
      <c r="N714" s="16"/>
      <c r="O714" s="7"/>
      <c r="P714" s="22"/>
      <c r="Q714" s="8" t="n">
        <v>9271.8</v>
      </c>
      <c r="R714" s="8" t="n">
        <v>-9271.8</v>
      </c>
      <c r="S714" s="7" t="s">
        <v>751</v>
      </c>
      <c r="T714" s="7"/>
      <c r="U714" s="7" t="s">
        <v>2034</v>
      </c>
      <c r="V714" s="20" t="n">
        <v>45874</v>
      </c>
      <c r="W714" s="7"/>
      <c r="X714" s="7"/>
      <c r="Y714" s="7"/>
      <c r="Z714" s="7"/>
      <c r="AA714" s="23" t="n">
        <f aca="false">YEAR(C714)</f>
        <v>2025</v>
      </c>
    </row>
    <row r="715" customFormat="false" ht="15" hidden="false" customHeight="false" outlineLevel="0" collapsed="false">
      <c r="A715" s="7" t="s">
        <v>2035</v>
      </c>
      <c r="B715" s="7" t="s">
        <v>137</v>
      </c>
      <c r="C715" s="20" t="n">
        <v>45844</v>
      </c>
      <c r="D715" s="20" t="n">
        <v>45874</v>
      </c>
      <c r="E715" s="20"/>
      <c r="F715" s="7" t="s">
        <v>759</v>
      </c>
      <c r="G715" s="7" t="s">
        <v>149</v>
      </c>
      <c r="H715" s="7" t="s">
        <v>268</v>
      </c>
      <c r="I715" s="7" t="s">
        <v>269</v>
      </c>
      <c r="J715" s="7" t="s">
        <v>221</v>
      </c>
      <c r="K715" s="7" t="s">
        <v>267</v>
      </c>
      <c r="L715" s="7" t="s">
        <v>1025</v>
      </c>
      <c r="M715" s="7" t="s">
        <v>563</v>
      </c>
      <c r="N715" s="16"/>
      <c r="O715" s="7"/>
      <c r="P715" s="22"/>
      <c r="Q715" s="8" t="n">
        <v>1091.25</v>
      </c>
      <c r="R715" s="8" t="n">
        <v>-1091.25</v>
      </c>
      <c r="S715" s="7" t="s">
        <v>751</v>
      </c>
      <c r="T715" s="7"/>
      <c r="U715" s="7" t="s">
        <v>2036</v>
      </c>
      <c r="V715" s="20" t="n">
        <v>45874</v>
      </c>
      <c r="W715" s="7"/>
      <c r="X715" s="7"/>
      <c r="Y715" s="7"/>
      <c r="Z715" s="7"/>
      <c r="AA715" s="23" t="n">
        <f aca="false">YEAR(C715)</f>
        <v>2025</v>
      </c>
    </row>
    <row r="716" customFormat="false" ht="15" hidden="false" customHeight="false" outlineLevel="0" collapsed="false">
      <c r="A716" s="7" t="s">
        <v>2037</v>
      </c>
      <c r="B716" s="7" t="s">
        <v>137</v>
      </c>
      <c r="C716" s="20" t="n">
        <v>45845</v>
      </c>
      <c r="D716" s="20" t="n">
        <v>45884</v>
      </c>
      <c r="E716" s="20"/>
      <c r="F716" s="7" t="s">
        <v>759</v>
      </c>
      <c r="G716" s="7" t="s">
        <v>149</v>
      </c>
      <c r="H716" s="7" t="s">
        <v>279</v>
      </c>
      <c r="I716" s="7" t="s">
        <v>280</v>
      </c>
      <c r="J716" s="7" t="s">
        <v>248</v>
      </c>
      <c r="K716" s="7" t="s">
        <v>278</v>
      </c>
      <c r="L716" s="7" t="s">
        <v>2038</v>
      </c>
      <c r="M716" s="7" t="s">
        <v>593</v>
      </c>
      <c r="N716" s="16" t="n">
        <v>261</v>
      </c>
      <c r="O716" s="7" t="s">
        <v>801</v>
      </c>
      <c r="P716" s="22" t="n">
        <v>42</v>
      </c>
      <c r="Q716" s="8" t="n">
        <v>10962</v>
      </c>
      <c r="R716" s="8" t="n">
        <v>10962</v>
      </c>
      <c r="S716" s="7" t="s">
        <v>33</v>
      </c>
      <c r="T716" s="7" t="s">
        <v>2039</v>
      </c>
      <c r="U716" s="7"/>
      <c r="V716" s="20" t="n">
        <v>45875</v>
      </c>
      <c r="W716" s="7"/>
      <c r="X716" s="7"/>
      <c r="Y716" s="7"/>
      <c r="Z716" s="7"/>
      <c r="AA716" s="23" t="n">
        <f aca="false">YEAR(C716)</f>
        <v>2025</v>
      </c>
    </row>
    <row r="717" customFormat="false" ht="15" hidden="false" customHeight="false" outlineLevel="0" collapsed="false">
      <c r="A717" s="7" t="s">
        <v>2040</v>
      </c>
      <c r="B717" s="7" t="s">
        <v>137</v>
      </c>
      <c r="C717" s="20" t="n">
        <v>45845</v>
      </c>
      <c r="D717" s="20" t="n">
        <v>45884</v>
      </c>
      <c r="E717" s="20"/>
      <c r="F717" s="7" t="s">
        <v>759</v>
      </c>
      <c r="G717" s="7" t="s">
        <v>149</v>
      </c>
      <c r="H717" s="7" t="s">
        <v>281</v>
      </c>
      <c r="I717" s="7" t="s">
        <v>282</v>
      </c>
      <c r="J717" s="7" t="s">
        <v>248</v>
      </c>
      <c r="K717" s="7" t="s">
        <v>278</v>
      </c>
      <c r="L717" s="7" t="s">
        <v>2041</v>
      </c>
      <c r="M717" s="7" t="s">
        <v>593</v>
      </c>
      <c r="N717" s="16" t="n">
        <v>8613</v>
      </c>
      <c r="O717" s="7" t="s">
        <v>798</v>
      </c>
      <c r="P717" s="22" t="n">
        <v>0.2</v>
      </c>
      <c r="Q717" s="8" t="n">
        <v>1722.6</v>
      </c>
      <c r="R717" s="8" t="n">
        <v>1722.6</v>
      </c>
      <c r="S717" s="7" t="s">
        <v>33</v>
      </c>
      <c r="T717" s="7" t="s">
        <v>2039</v>
      </c>
      <c r="U717" s="7"/>
      <c r="V717" s="20" t="n">
        <v>45875</v>
      </c>
      <c r="W717" s="7"/>
      <c r="X717" s="7"/>
      <c r="Y717" s="7"/>
      <c r="Z717" s="7"/>
      <c r="AA717" s="23" t="n">
        <f aca="false">YEAR(C717)</f>
        <v>2025</v>
      </c>
    </row>
    <row r="718" customFormat="false" ht="15" hidden="false" customHeight="false" outlineLevel="0" collapsed="false">
      <c r="A718" s="7" t="s">
        <v>2042</v>
      </c>
      <c r="B718" s="7" t="s">
        <v>137</v>
      </c>
      <c r="C718" s="20" t="n">
        <v>45845</v>
      </c>
      <c r="D718" s="20" t="n">
        <v>45894</v>
      </c>
      <c r="E718" s="20"/>
      <c r="F718" s="7" t="s">
        <v>759</v>
      </c>
      <c r="G718" s="7" t="s">
        <v>149</v>
      </c>
      <c r="H718" s="7" t="s">
        <v>279</v>
      </c>
      <c r="I718" s="7" t="s">
        <v>280</v>
      </c>
      <c r="J718" s="7" t="s">
        <v>248</v>
      </c>
      <c r="K718" s="7" t="s">
        <v>278</v>
      </c>
      <c r="L718" s="7" t="s">
        <v>2043</v>
      </c>
      <c r="M718" s="7" t="s">
        <v>600</v>
      </c>
      <c r="N718" s="16" t="n">
        <v>238</v>
      </c>
      <c r="O718" s="7" t="s">
        <v>801</v>
      </c>
      <c r="P718" s="22" t="n">
        <v>42</v>
      </c>
      <c r="Q718" s="8" t="n">
        <v>9996</v>
      </c>
      <c r="R718" s="8" t="n">
        <v>9996</v>
      </c>
      <c r="S718" s="7" t="s">
        <v>33</v>
      </c>
      <c r="T718" s="7" t="s">
        <v>2044</v>
      </c>
      <c r="U718" s="7"/>
      <c r="V718" s="20" t="n">
        <v>45875</v>
      </c>
      <c r="W718" s="7"/>
      <c r="X718" s="7"/>
      <c r="Y718" s="7"/>
      <c r="Z718" s="7"/>
      <c r="AA718" s="23" t="n">
        <f aca="false">YEAR(C718)</f>
        <v>2025</v>
      </c>
    </row>
    <row r="719" customFormat="false" ht="15" hidden="false" customHeight="false" outlineLevel="0" collapsed="false">
      <c r="A719" s="7" t="s">
        <v>2045</v>
      </c>
      <c r="B719" s="7" t="s">
        <v>137</v>
      </c>
      <c r="C719" s="20" t="n">
        <v>45845</v>
      </c>
      <c r="D719" s="20" t="n">
        <v>45894</v>
      </c>
      <c r="E719" s="20"/>
      <c r="F719" s="7" t="s">
        <v>759</v>
      </c>
      <c r="G719" s="7" t="s">
        <v>149</v>
      </c>
      <c r="H719" s="7" t="s">
        <v>281</v>
      </c>
      <c r="I719" s="7" t="s">
        <v>282</v>
      </c>
      <c r="J719" s="7" t="s">
        <v>248</v>
      </c>
      <c r="K719" s="7" t="s">
        <v>278</v>
      </c>
      <c r="L719" s="7" t="s">
        <v>2046</v>
      </c>
      <c r="M719" s="7" t="s">
        <v>600</v>
      </c>
      <c r="N719" s="16" t="n">
        <v>7854</v>
      </c>
      <c r="O719" s="7" t="s">
        <v>798</v>
      </c>
      <c r="P719" s="22" t="n">
        <v>0.2</v>
      </c>
      <c r="Q719" s="8" t="n">
        <v>1570.8</v>
      </c>
      <c r="R719" s="8" t="n">
        <v>1570.8</v>
      </c>
      <c r="S719" s="7" t="s">
        <v>33</v>
      </c>
      <c r="T719" s="7" t="s">
        <v>2044</v>
      </c>
      <c r="U719" s="7"/>
      <c r="V719" s="20" t="n">
        <v>45875</v>
      </c>
      <c r="W719" s="7"/>
      <c r="X719" s="7"/>
      <c r="Y719" s="7"/>
      <c r="Z719" s="7"/>
      <c r="AA719" s="23" t="n">
        <f aca="false">YEAR(C719)</f>
        <v>2025</v>
      </c>
    </row>
    <row r="720" customFormat="false" ht="15" hidden="false" customHeight="false" outlineLevel="0" collapsed="false">
      <c r="A720" s="7" t="s">
        <v>2047</v>
      </c>
      <c r="B720" s="7" t="s">
        <v>137</v>
      </c>
      <c r="C720" s="20" t="n">
        <v>45845</v>
      </c>
      <c r="D720" s="20" t="n">
        <v>45926</v>
      </c>
      <c r="E720" s="20"/>
      <c r="F720" s="7" t="s">
        <v>759</v>
      </c>
      <c r="G720" s="7" t="s">
        <v>149</v>
      </c>
      <c r="H720" s="7" t="s">
        <v>279</v>
      </c>
      <c r="I720" s="7" t="s">
        <v>280</v>
      </c>
      <c r="J720" s="7" t="s">
        <v>248</v>
      </c>
      <c r="K720" s="7" t="s">
        <v>278</v>
      </c>
      <c r="L720" s="7" t="s">
        <v>2048</v>
      </c>
      <c r="M720" s="7" t="s">
        <v>1016</v>
      </c>
      <c r="N720" s="16" t="n">
        <v>154</v>
      </c>
      <c r="O720" s="7" t="s">
        <v>801</v>
      </c>
      <c r="P720" s="22" t="n">
        <v>42</v>
      </c>
      <c r="Q720" s="8" t="n">
        <v>6468</v>
      </c>
      <c r="R720" s="8" t="n">
        <v>6468</v>
      </c>
      <c r="S720" s="7" t="s">
        <v>33</v>
      </c>
      <c r="T720" s="7" t="s">
        <v>2049</v>
      </c>
      <c r="U720" s="7"/>
      <c r="V720" s="20" t="n">
        <v>45875</v>
      </c>
      <c r="W720" s="7"/>
      <c r="X720" s="7"/>
      <c r="Y720" s="7"/>
      <c r="Z720" s="7"/>
      <c r="AA720" s="23" t="n">
        <f aca="false">YEAR(C720)</f>
        <v>2025</v>
      </c>
    </row>
    <row r="721" customFormat="false" ht="15" hidden="false" customHeight="false" outlineLevel="0" collapsed="false">
      <c r="A721" s="7" t="s">
        <v>2050</v>
      </c>
      <c r="B721" s="7" t="s">
        <v>137</v>
      </c>
      <c r="C721" s="20" t="n">
        <v>45845</v>
      </c>
      <c r="D721" s="20" t="n">
        <v>45926</v>
      </c>
      <c r="E721" s="20"/>
      <c r="F721" s="7" t="s">
        <v>759</v>
      </c>
      <c r="G721" s="7" t="s">
        <v>149</v>
      </c>
      <c r="H721" s="7" t="s">
        <v>281</v>
      </c>
      <c r="I721" s="7" t="s">
        <v>282</v>
      </c>
      <c r="J721" s="7" t="s">
        <v>248</v>
      </c>
      <c r="K721" s="7" t="s">
        <v>278</v>
      </c>
      <c r="L721" s="7" t="s">
        <v>2051</v>
      </c>
      <c r="M721" s="7" t="s">
        <v>1016</v>
      </c>
      <c r="N721" s="16" t="n">
        <v>5082</v>
      </c>
      <c r="O721" s="7" t="s">
        <v>798</v>
      </c>
      <c r="P721" s="22" t="n">
        <v>0.2</v>
      </c>
      <c r="Q721" s="8" t="n">
        <v>1016.4</v>
      </c>
      <c r="R721" s="8" t="n">
        <v>1016.4</v>
      </c>
      <c r="S721" s="7" t="s">
        <v>33</v>
      </c>
      <c r="T721" s="7" t="s">
        <v>2049</v>
      </c>
      <c r="U721" s="7"/>
      <c r="V721" s="20" t="n">
        <v>45875</v>
      </c>
      <c r="W721" s="7"/>
      <c r="X721" s="7"/>
      <c r="Y721" s="7"/>
      <c r="Z721" s="7"/>
      <c r="AA721" s="23" t="n">
        <f aca="false">YEAR(C721)</f>
        <v>2025</v>
      </c>
    </row>
    <row r="722" customFormat="false" ht="15" hidden="false" customHeight="false" outlineLevel="0" collapsed="false">
      <c r="A722" s="7" t="s">
        <v>2052</v>
      </c>
      <c r="B722" s="7" t="s">
        <v>137</v>
      </c>
      <c r="C722" s="20" t="n">
        <v>45846</v>
      </c>
      <c r="D722" s="20" t="n">
        <v>45891</v>
      </c>
      <c r="E722" s="20"/>
      <c r="F722" s="7" t="s">
        <v>759</v>
      </c>
      <c r="G722" s="7" t="s">
        <v>153</v>
      </c>
      <c r="H722" s="7" t="s">
        <v>244</v>
      </c>
      <c r="I722" s="7" t="s">
        <v>245</v>
      </c>
      <c r="J722" s="7" t="s">
        <v>229</v>
      </c>
      <c r="K722" s="7" t="s">
        <v>233</v>
      </c>
      <c r="L722" s="7" t="s">
        <v>570</v>
      </c>
      <c r="M722" s="7"/>
      <c r="N722" s="16"/>
      <c r="O722" s="7"/>
      <c r="P722" s="22"/>
      <c r="Q722" s="8" t="n">
        <v>165</v>
      </c>
      <c r="R722" s="8" t="n">
        <v>-165</v>
      </c>
      <c r="S722" s="7" t="s">
        <v>765</v>
      </c>
      <c r="T722" s="7"/>
      <c r="U722" s="7"/>
      <c r="V722" s="20"/>
      <c r="W722" s="7"/>
      <c r="X722" s="7"/>
      <c r="Y722" s="7"/>
      <c r="Z722" s="7"/>
      <c r="AA722" s="23" t="n">
        <f aca="false">YEAR(C722)</f>
        <v>2025</v>
      </c>
    </row>
    <row r="723" customFormat="false" ht="15" hidden="false" customHeight="false" outlineLevel="0" collapsed="false">
      <c r="A723" s="7" t="s">
        <v>2053</v>
      </c>
      <c r="B723" s="7" t="s">
        <v>137</v>
      </c>
      <c r="C723" s="20" t="n">
        <v>45848</v>
      </c>
      <c r="D723" s="20" t="n">
        <v>45848</v>
      </c>
      <c r="E723" s="20"/>
      <c r="F723" s="7" t="s">
        <v>759</v>
      </c>
      <c r="G723" s="7" t="s">
        <v>153</v>
      </c>
      <c r="H723" s="7" t="s">
        <v>237</v>
      </c>
      <c r="I723" s="7" t="s">
        <v>238</v>
      </c>
      <c r="J723" s="7" t="s">
        <v>236</v>
      </c>
      <c r="K723" s="7" t="s">
        <v>189</v>
      </c>
      <c r="L723" s="7" t="s">
        <v>2054</v>
      </c>
      <c r="M723" s="7" t="s">
        <v>768</v>
      </c>
      <c r="N723" s="16"/>
      <c r="O723" s="7"/>
      <c r="P723" s="22"/>
      <c r="Q723" s="8" t="n">
        <v>32.27</v>
      </c>
      <c r="R723" s="8" t="n">
        <v>-32.27</v>
      </c>
      <c r="S723" s="7" t="s">
        <v>744</v>
      </c>
      <c r="T723" s="7"/>
      <c r="U723" s="7"/>
      <c r="V723" s="20"/>
      <c r="W723" s="7"/>
      <c r="X723" s="7" t="s">
        <v>769</v>
      </c>
      <c r="Y723" s="7"/>
      <c r="Z723" s="7"/>
      <c r="AA723" s="23" t="n">
        <f aca="false">YEAR(C723)</f>
        <v>2025</v>
      </c>
    </row>
    <row r="724" customFormat="false" ht="15" hidden="false" customHeight="false" outlineLevel="0" collapsed="false">
      <c r="A724" s="7" t="s">
        <v>2055</v>
      </c>
      <c r="B724" s="7" t="s">
        <v>137</v>
      </c>
      <c r="C724" s="20" t="n">
        <v>45848</v>
      </c>
      <c r="D724" s="20" t="n">
        <v>45848</v>
      </c>
      <c r="E724" s="20"/>
      <c r="F724" s="7" t="s">
        <v>759</v>
      </c>
      <c r="G724" s="7" t="s">
        <v>153</v>
      </c>
      <c r="H724" s="7" t="s">
        <v>559</v>
      </c>
      <c r="I724" s="7" t="s">
        <v>771</v>
      </c>
      <c r="J724" s="7" t="s">
        <v>761</v>
      </c>
      <c r="K724" s="7" t="s">
        <v>772</v>
      </c>
      <c r="L724" s="7" t="s">
        <v>2056</v>
      </c>
      <c r="M724" s="7" t="s">
        <v>768</v>
      </c>
      <c r="N724" s="16"/>
      <c r="O724" s="7"/>
      <c r="P724" s="22"/>
      <c r="Q724" s="8" t="n">
        <v>812.82</v>
      </c>
      <c r="R724" s="8" t="n">
        <v>-812.82</v>
      </c>
      <c r="S724" s="7" t="s">
        <v>744</v>
      </c>
      <c r="T724" s="7"/>
      <c r="U724" s="7"/>
      <c r="V724" s="20"/>
      <c r="W724" s="7"/>
      <c r="X724" s="7" t="s">
        <v>769</v>
      </c>
      <c r="Y724" s="7"/>
      <c r="Z724" s="7"/>
      <c r="AA724" s="23" t="n">
        <f aca="false">YEAR(C724)</f>
        <v>2025</v>
      </c>
    </row>
    <row r="725" customFormat="false" ht="15" hidden="false" customHeight="false" outlineLevel="0" collapsed="false">
      <c r="A725" s="7" t="s">
        <v>2057</v>
      </c>
      <c r="B725" s="7" t="s">
        <v>137</v>
      </c>
      <c r="C725" s="20" t="n">
        <v>45849</v>
      </c>
      <c r="D725" s="20" t="n">
        <v>45849</v>
      </c>
      <c r="E725" s="20"/>
      <c r="F725" s="7" t="s">
        <v>759</v>
      </c>
      <c r="G725" s="7" t="s">
        <v>149</v>
      </c>
      <c r="H725" s="7" t="s">
        <v>271</v>
      </c>
      <c r="I725" s="7" t="s">
        <v>272</v>
      </c>
      <c r="J725" s="7" t="s">
        <v>221</v>
      </c>
      <c r="K725" s="7" t="s">
        <v>270</v>
      </c>
      <c r="L725" s="7" t="s">
        <v>2058</v>
      </c>
      <c r="M725" s="7" t="s">
        <v>541</v>
      </c>
      <c r="N725" s="16"/>
      <c r="O725" s="7"/>
      <c r="P725" s="22"/>
      <c r="Q725" s="8" t="n">
        <v>1304.19</v>
      </c>
      <c r="R725" s="8" t="n">
        <v>-1304.19</v>
      </c>
      <c r="S725" s="7" t="s">
        <v>744</v>
      </c>
      <c r="T725" s="7"/>
      <c r="U725" s="7"/>
      <c r="V725" s="20"/>
      <c r="W725" s="7"/>
      <c r="X725" s="7"/>
      <c r="Y725" s="7"/>
      <c r="Z725" s="7"/>
      <c r="AA725" s="23" t="n">
        <f aca="false">YEAR(C725)</f>
        <v>2025</v>
      </c>
    </row>
    <row r="726" customFormat="false" ht="15" hidden="false" customHeight="false" outlineLevel="0" collapsed="false">
      <c r="A726" s="7" t="s">
        <v>2059</v>
      </c>
      <c r="B726" s="7" t="s">
        <v>137</v>
      </c>
      <c r="C726" s="20" t="n">
        <v>45849</v>
      </c>
      <c r="D726" s="20" t="n">
        <v>45849</v>
      </c>
      <c r="E726" s="20"/>
      <c r="F726" s="7" t="s">
        <v>759</v>
      </c>
      <c r="G726" s="7" t="s">
        <v>153</v>
      </c>
      <c r="H726" s="7" t="s">
        <v>271</v>
      </c>
      <c r="I726" s="7" t="s">
        <v>272</v>
      </c>
      <c r="J726" s="7" t="s">
        <v>221</v>
      </c>
      <c r="K726" s="7" t="s">
        <v>270</v>
      </c>
      <c r="L726" s="7" t="s">
        <v>544</v>
      </c>
      <c r="M726" s="7" t="s">
        <v>541</v>
      </c>
      <c r="N726" s="16"/>
      <c r="O726" s="7"/>
      <c r="P726" s="22"/>
      <c r="Q726" s="8" t="n">
        <v>869.46</v>
      </c>
      <c r="R726" s="8" t="n">
        <v>-869.46</v>
      </c>
      <c r="S726" s="7" t="s">
        <v>744</v>
      </c>
      <c r="T726" s="7"/>
      <c r="U726" s="7"/>
      <c r="V726" s="20"/>
      <c r="W726" s="7"/>
      <c r="X726" s="7"/>
      <c r="Y726" s="7"/>
      <c r="Z726" s="7"/>
      <c r="AA726" s="23" t="n">
        <f aca="false">YEAR(C726)</f>
        <v>2025</v>
      </c>
    </row>
    <row r="727" customFormat="false" ht="15" hidden="false" customHeight="false" outlineLevel="0" collapsed="false">
      <c r="A727" s="7" t="s">
        <v>2060</v>
      </c>
      <c r="B727" s="7" t="s">
        <v>137</v>
      </c>
      <c r="C727" s="20" t="n">
        <v>45849</v>
      </c>
      <c r="D727" s="20" t="n">
        <v>45849</v>
      </c>
      <c r="E727" s="20"/>
      <c r="F727" s="7" t="s">
        <v>759</v>
      </c>
      <c r="G727" s="7" t="s">
        <v>153</v>
      </c>
      <c r="H727" s="7" t="s">
        <v>561</v>
      </c>
      <c r="I727" s="7" t="s">
        <v>363</v>
      </c>
      <c r="J727" s="7" t="s">
        <v>761</v>
      </c>
      <c r="K727" s="7" t="s">
        <v>772</v>
      </c>
      <c r="L727" s="7" t="s">
        <v>562</v>
      </c>
      <c r="M727" s="7" t="s">
        <v>556</v>
      </c>
      <c r="N727" s="16"/>
      <c r="O727" s="7"/>
      <c r="P727" s="22"/>
      <c r="Q727" s="8" t="n">
        <v>13000</v>
      </c>
      <c r="R727" s="8" t="n">
        <v>13000</v>
      </c>
      <c r="S727" s="7" t="s">
        <v>783</v>
      </c>
      <c r="T727" s="7"/>
      <c r="U727" s="7"/>
      <c r="V727" s="20"/>
      <c r="W727" s="7"/>
      <c r="X727" s="7" t="s">
        <v>784</v>
      </c>
      <c r="Y727" s="7"/>
      <c r="Z727" s="7"/>
      <c r="AA727" s="23" t="n">
        <f aca="false">YEAR(C727)</f>
        <v>2025</v>
      </c>
    </row>
    <row r="728" customFormat="false" ht="15" hidden="false" customHeight="false" outlineLevel="0" collapsed="false">
      <c r="A728" s="7" t="s">
        <v>2061</v>
      </c>
      <c r="B728" s="7" t="s">
        <v>137</v>
      </c>
      <c r="C728" s="20" t="n">
        <v>45849</v>
      </c>
      <c r="D728" s="20" t="n">
        <v>45884</v>
      </c>
      <c r="E728" s="20"/>
      <c r="F728" s="7" t="s">
        <v>759</v>
      </c>
      <c r="G728" s="7" t="s">
        <v>149</v>
      </c>
      <c r="H728" s="7" t="s">
        <v>273</v>
      </c>
      <c r="I728" s="7" t="s">
        <v>274</v>
      </c>
      <c r="J728" s="7" t="s">
        <v>221</v>
      </c>
      <c r="K728" s="7" t="s">
        <v>270</v>
      </c>
      <c r="L728" s="7" t="s">
        <v>554</v>
      </c>
      <c r="M728" s="7" t="s">
        <v>541</v>
      </c>
      <c r="N728" s="16"/>
      <c r="O728" s="7"/>
      <c r="P728" s="22"/>
      <c r="Q728" s="8" t="n">
        <v>191.28</v>
      </c>
      <c r="R728" s="8" t="n">
        <v>-191.28</v>
      </c>
      <c r="S728" s="7" t="s">
        <v>789</v>
      </c>
      <c r="T728" s="7"/>
      <c r="U728" s="7"/>
      <c r="V728" s="20"/>
      <c r="W728" s="7"/>
      <c r="X728" s="7"/>
      <c r="Y728" s="7"/>
      <c r="Z728" s="7"/>
      <c r="AA728" s="23" t="n">
        <f aca="false">YEAR(C728)</f>
        <v>2025</v>
      </c>
    </row>
    <row r="729" customFormat="false" ht="15" hidden="false" customHeight="false" outlineLevel="0" collapsed="false">
      <c r="A729" s="7" t="s">
        <v>2062</v>
      </c>
      <c r="B729" s="7" t="s">
        <v>137</v>
      </c>
      <c r="C729" s="20" t="n">
        <v>45850</v>
      </c>
      <c r="D729" s="20" t="n">
        <v>45850</v>
      </c>
      <c r="E729" s="20"/>
      <c r="F729" s="7" t="s">
        <v>759</v>
      </c>
      <c r="G729" s="7" t="s">
        <v>153</v>
      </c>
      <c r="H729" s="7" t="s">
        <v>240</v>
      </c>
      <c r="I729" s="7" t="s">
        <v>239</v>
      </c>
      <c r="J729" s="7" t="s">
        <v>229</v>
      </c>
      <c r="K729" s="7" t="s">
        <v>239</v>
      </c>
      <c r="L729" s="7" t="s">
        <v>548</v>
      </c>
      <c r="M729" s="7" t="s">
        <v>547</v>
      </c>
      <c r="N729" s="16"/>
      <c r="O729" s="7"/>
      <c r="P729" s="22"/>
      <c r="Q729" s="8" t="n">
        <v>292.99</v>
      </c>
      <c r="R729" s="8" t="n">
        <v>-292.99</v>
      </c>
      <c r="S729" s="7" t="s">
        <v>775</v>
      </c>
      <c r="T729" s="7"/>
      <c r="U729" s="7"/>
      <c r="V729" s="20"/>
      <c r="W729" s="7"/>
      <c r="X729" s="7"/>
      <c r="Y729" s="7"/>
      <c r="Z729" s="7"/>
      <c r="AA729" s="23" t="n">
        <f aca="false">YEAR(C729)</f>
        <v>2025</v>
      </c>
    </row>
    <row r="730" customFormat="false" ht="15" hidden="false" customHeight="false" outlineLevel="0" collapsed="false">
      <c r="A730" s="7" t="s">
        <v>2063</v>
      </c>
      <c r="B730" s="7" t="s">
        <v>137</v>
      </c>
      <c r="C730" s="20" t="n">
        <v>45854</v>
      </c>
      <c r="D730" s="20" t="n">
        <v>45854</v>
      </c>
      <c r="E730" s="20"/>
      <c r="F730" s="7" t="s">
        <v>759</v>
      </c>
      <c r="G730" s="7" t="s">
        <v>149</v>
      </c>
      <c r="H730" s="7" t="s">
        <v>237</v>
      </c>
      <c r="I730" s="7" t="s">
        <v>238</v>
      </c>
      <c r="J730" s="7" t="s">
        <v>236</v>
      </c>
      <c r="K730" s="7" t="s">
        <v>189</v>
      </c>
      <c r="L730" s="7" t="s">
        <v>2064</v>
      </c>
      <c r="M730" s="7" t="s">
        <v>556</v>
      </c>
      <c r="N730" s="16"/>
      <c r="O730" s="7"/>
      <c r="P730" s="22"/>
      <c r="Q730" s="8" t="n">
        <v>354.44</v>
      </c>
      <c r="R730" s="8" t="n">
        <v>-354.44</v>
      </c>
      <c r="S730" s="7" t="s">
        <v>744</v>
      </c>
      <c r="T730" s="7"/>
      <c r="U730" s="7"/>
      <c r="V730" s="20"/>
      <c r="W730" s="7"/>
      <c r="X730" s="7" t="s">
        <v>1552</v>
      </c>
      <c r="Y730" s="7"/>
      <c r="Z730" s="7"/>
      <c r="AA730" s="23" t="n">
        <f aca="false">YEAR(C730)</f>
        <v>2025</v>
      </c>
    </row>
    <row r="731" customFormat="false" ht="15" hidden="false" customHeight="false" outlineLevel="0" collapsed="false">
      <c r="A731" s="7" t="s">
        <v>2065</v>
      </c>
      <c r="B731" s="7" t="s">
        <v>137</v>
      </c>
      <c r="C731" s="20" t="n">
        <v>45854</v>
      </c>
      <c r="D731" s="20" t="n">
        <v>45854</v>
      </c>
      <c r="E731" s="20"/>
      <c r="F731" s="7" t="s">
        <v>759</v>
      </c>
      <c r="G731" s="7" t="s">
        <v>149</v>
      </c>
      <c r="H731" s="7" t="s">
        <v>559</v>
      </c>
      <c r="I731" s="7" t="s">
        <v>771</v>
      </c>
      <c r="J731" s="7" t="s">
        <v>761</v>
      </c>
      <c r="K731" s="7" t="s">
        <v>772</v>
      </c>
      <c r="L731" s="7" t="s">
        <v>2066</v>
      </c>
      <c r="M731" s="7" t="s">
        <v>556</v>
      </c>
      <c r="N731" s="16"/>
      <c r="O731" s="7"/>
      <c r="P731" s="22"/>
      <c r="Q731" s="8" t="n">
        <v>1378.05</v>
      </c>
      <c r="R731" s="8" t="n">
        <v>-1378.05</v>
      </c>
      <c r="S731" s="7" t="s">
        <v>744</v>
      </c>
      <c r="T731" s="7"/>
      <c r="U731" s="7"/>
      <c r="V731" s="20"/>
      <c r="W731" s="7"/>
      <c r="X731" s="7" t="s">
        <v>1552</v>
      </c>
      <c r="Y731" s="7"/>
      <c r="Z731" s="7"/>
      <c r="AA731" s="23" t="n">
        <f aca="false">YEAR(C731)</f>
        <v>2025</v>
      </c>
    </row>
    <row r="732" customFormat="false" ht="15" hidden="false" customHeight="false" outlineLevel="0" collapsed="false">
      <c r="A732" s="7" t="s">
        <v>2067</v>
      </c>
      <c r="B732" s="7" t="s">
        <v>137</v>
      </c>
      <c r="C732" s="20" t="n">
        <v>45856</v>
      </c>
      <c r="D732" s="20" t="n">
        <v>45873</v>
      </c>
      <c r="E732" s="20"/>
      <c r="F732" s="7" t="s">
        <v>759</v>
      </c>
      <c r="G732" s="7" t="s">
        <v>141</v>
      </c>
      <c r="H732" s="7" t="s">
        <v>276</v>
      </c>
      <c r="I732" s="7" t="s">
        <v>277</v>
      </c>
      <c r="J732" s="7" t="s">
        <v>221</v>
      </c>
      <c r="K732" s="7" t="s">
        <v>275</v>
      </c>
      <c r="L732" s="7" t="s">
        <v>2068</v>
      </c>
      <c r="M732" s="7" t="s">
        <v>547</v>
      </c>
      <c r="N732" s="16"/>
      <c r="O732" s="7"/>
      <c r="P732" s="22"/>
      <c r="Q732" s="8" t="n">
        <v>6345</v>
      </c>
      <c r="R732" s="8" t="n">
        <v>-6345</v>
      </c>
      <c r="S732" s="7" t="s">
        <v>751</v>
      </c>
      <c r="T732" s="7"/>
      <c r="U732" s="7" t="s">
        <v>2069</v>
      </c>
      <c r="V732" s="20" t="n">
        <v>45871</v>
      </c>
      <c r="W732" s="7"/>
      <c r="X732" s="7"/>
      <c r="Y732" s="7" t="s">
        <v>710</v>
      </c>
      <c r="Z732" s="7"/>
      <c r="AA732" s="23" t="n">
        <f aca="false">YEAR(C732)</f>
        <v>2025</v>
      </c>
    </row>
    <row r="733" customFormat="false" ht="15" hidden="false" customHeight="false" outlineLevel="0" collapsed="false">
      <c r="A733" s="7" t="s">
        <v>2070</v>
      </c>
      <c r="B733" s="7" t="s">
        <v>137</v>
      </c>
      <c r="C733" s="20" t="n">
        <v>45860</v>
      </c>
      <c r="D733" s="20" t="n">
        <v>45890</v>
      </c>
      <c r="E733" s="20"/>
      <c r="F733" s="7" t="s">
        <v>759</v>
      </c>
      <c r="G733" s="7" t="s">
        <v>141</v>
      </c>
      <c r="H733" s="7" t="s">
        <v>264</v>
      </c>
      <c r="I733" s="7" t="s">
        <v>263</v>
      </c>
      <c r="J733" s="7" t="s">
        <v>221</v>
      </c>
      <c r="K733" s="7" t="s">
        <v>263</v>
      </c>
      <c r="L733" s="7" t="s">
        <v>1044</v>
      </c>
      <c r="M733" s="7" t="s">
        <v>563</v>
      </c>
      <c r="N733" s="16"/>
      <c r="O733" s="7"/>
      <c r="P733" s="22"/>
      <c r="Q733" s="8" t="n">
        <v>3675</v>
      </c>
      <c r="R733" s="8" t="n">
        <v>-3675</v>
      </c>
      <c r="S733" s="7" t="s">
        <v>751</v>
      </c>
      <c r="T733" s="7"/>
      <c r="U733" s="7" t="s">
        <v>2071</v>
      </c>
      <c r="V733" s="20" t="n">
        <v>45890</v>
      </c>
      <c r="W733" s="7"/>
      <c r="X733" s="7"/>
      <c r="Y733" s="7" t="s">
        <v>710</v>
      </c>
      <c r="Z733" s="7"/>
      <c r="AA733" s="23" t="n">
        <f aca="false">YEAR(C733)</f>
        <v>2025</v>
      </c>
    </row>
    <row r="734" customFormat="false" ht="15" hidden="false" customHeight="false" outlineLevel="0" collapsed="false">
      <c r="A734" s="7" t="s">
        <v>2072</v>
      </c>
      <c r="B734" s="7" t="s">
        <v>137</v>
      </c>
      <c r="C734" s="20" t="n">
        <v>45860</v>
      </c>
      <c r="D734" s="20" t="n">
        <v>45894</v>
      </c>
      <c r="E734" s="20"/>
      <c r="F734" s="7" t="s">
        <v>759</v>
      </c>
      <c r="G734" s="7" t="s">
        <v>136</v>
      </c>
      <c r="H734" s="7" t="s">
        <v>264</v>
      </c>
      <c r="I734" s="7" t="s">
        <v>263</v>
      </c>
      <c r="J734" s="7" t="s">
        <v>221</v>
      </c>
      <c r="K734" s="7" t="s">
        <v>263</v>
      </c>
      <c r="L734" s="7" t="s">
        <v>1525</v>
      </c>
      <c r="M734" s="7" t="s">
        <v>591</v>
      </c>
      <c r="N734" s="16" t="n">
        <v>96</v>
      </c>
      <c r="O734" s="7" t="s">
        <v>801</v>
      </c>
      <c r="P734" s="22" t="n">
        <v>14.84</v>
      </c>
      <c r="Q734" s="8" t="n">
        <v>1424.64</v>
      </c>
      <c r="R734" s="8" t="n">
        <v>-1424.64</v>
      </c>
      <c r="S734" s="7" t="s">
        <v>751</v>
      </c>
      <c r="T734" s="7"/>
      <c r="U734" s="7" t="s">
        <v>2073</v>
      </c>
      <c r="V734" s="20" t="n">
        <v>45890</v>
      </c>
      <c r="W734" s="7"/>
      <c r="X734" s="7"/>
      <c r="Y734" s="7" t="s">
        <v>722</v>
      </c>
      <c r="Z734" s="7"/>
      <c r="AA734" s="23" t="n">
        <f aca="false">YEAR(C734)</f>
        <v>2025</v>
      </c>
    </row>
    <row r="735" customFormat="false" ht="15" hidden="false" customHeight="false" outlineLevel="0" collapsed="false">
      <c r="A735" s="7" t="s">
        <v>2074</v>
      </c>
      <c r="B735" s="7" t="s">
        <v>137</v>
      </c>
      <c r="C735" s="20" t="n">
        <v>45860</v>
      </c>
      <c r="D735" s="20" t="n">
        <v>45894</v>
      </c>
      <c r="E735" s="20"/>
      <c r="F735" s="7" t="s">
        <v>759</v>
      </c>
      <c r="G735" s="7" t="s">
        <v>136</v>
      </c>
      <c r="H735" s="7" t="s">
        <v>223</v>
      </c>
      <c r="I735" s="7" t="s">
        <v>224</v>
      </c>
      <c r="J735" s="7" t="s">
        <v>221</v>
      </c>
      <c r="K735" s="7" t="s">
        <v>222</v>
      </c>
      <c r="L735" s="7" t="s">
        <v>1528</v>
      </c>
      <c r="M735" s="7" t="s">
        <v>589</v>
      </c>
      <c r="N735" s="16" t="n">
        <v>96</v>
      </c>
      <c r="O735" s="7" t="s">
        <v>801</v>
      </c>
      <c r="P735" s="22" t="n">
        <v>9.54</v>
      </c>
      <c r="Q735" s="8" t="n">
        <v>915.84</v>
      </c>
      <c r="R735" s="8" t="n">
        <v>-915.84</v>
      </c>
      <c r="S735" s="7" t="s">
        <v>751</v>
      </c>
      <c r="T735" s="7"/>
      <c r="U735" s="7" t="s">
        <v>2075</v>
      </c>
      <c r="V735" s="20" t="n">
        <v>45890</v>
      </c>
      <c r="W735" s="7"/>
      <c r="X735" s="7"/>
      <c r="Y735" s="7" t="s">
        <v>722</v>
      </c>
      <c r="Z735" s="7"/>
      <c r="AA735" s="23" t="n">
        <f aca="false">YEAR(C735)</f>
        <v>2025</v>
      </c>
    </row>
    <row r="736" customFormat="false" ht="15" hidden="false" customHeight="false" outlineLevel="0" collapsed="false">
      <c r="A736" s="7" t="s">
        <v>2076</v>
      </c>
      <c r="B736" s="7" t="s">
        <v>137</v>
      </c>
      <c r="C736" s="20" t="n">
        <v>45863</v>
      </c>
      <c r="D736" s="20" t="n">
        <v>45863</v>
      </c>
      <c r="E736" s="20"/>
      <c r="F736" s="7" t="s">
        <v>759</v>
      </c>
      <c r="G736" s="7" t="s">
        <v>149</v>
      </c>
      <c r="H736" s="7" t="s">
        <v>271</v>
      </c>
      <c r="I736" s="7" t="s">
        <v>272</v>
      </c>
      <c r="J736" s="7" t="s">
        <v>221</v>
      </c>
      <c r="K736" s="7" t="s">
        <v>270</v>
      </c>
      <c r="L736" s="7" t="s">
        <v>906</v>
      </c>
      <c r="M736" s="7" t="s">
        <v>541</v>
      </c>
      <c r="N736" s="16"/>
      <c r="O736" s="7"/>
      <c r="P736" s="22"/>
      <c r="Q736" s="8" t="n">
        <v>720.71</v>
      </c>
      <c r="R736" s="8" t="n">
        <v>-720.71</v>
      </c>
      <c r="S736" s="7" t="s">
        <v>744</v>
      </c>
      <c r="T736" s="7"/>
      <c r="U736" s="7"/>
      <c r="V736" s="20"/>
      <c r="W736" s="7"/>
      <c r="X736" s="7"/>
      <c r="Y736" s="7"/>
      <c r="Z736" s="7"/>
      <c r="AA736" s="23" t="n">
        <f aca="false">YEAR(C736)</f>
        <v>2025</v>
      </c>
    </row>
    <row r="737" customFormat="false" ht="15" hidden="false" customHeight="false" outlineLevel="0" collapsed="false">
      <c r="A737" s="7" t="s">
        <v>2077</v>
      </c>
      <c r="B737" s="7" t="s">
        <v>137</v>
      </c>
      <c r="C737" s="20" t="n">
        <v>45863</v>
      </c>
      <c r="D737" s="20" t="n">
        <v>45863</v>
      </c>
      <c r="E737" s="20"/>
      <c r="F737" s="7" t="s">
        <v>759</v>
      </c>
      <c r="G737" s="7" t="s">
        <v>153</v>
      </c>
      <c r="H737" s="7" t="s">
        <v>271</v>
      </c>
      <c r="I737" s="7" t="s">
        <v>272</v>
      </c>
      <c r="J737" s="7" t="s">
        <v>221</v>
      </c>
      <c r="K737" s="7" t="s">
        <v>270</v>
      </c>
      <c r="L737" s="7" t="s">
        <v>544</v>
      </c>
      <c r="M737" s="7" t="s">
        <v>541</v>
      </c>
      <c r="N737" s="16"/>
      <c r="O737" s="7"/>
      <c r="P737" s="22"/>
      <c r="Q737" s="8" t="n">
        <v>480.47</v>
      </c>
      <c r="R737" s="8" t="n">
        <v>-480.47</v>
      </c>
      <c r="S737" s="7" t="s">
        <v>744</v>
      </c>
      <c r="T737" s="7"/>
      <c r="U737" s="7"/>
      <c r="V737" s="20"/>
      <c r="W737" s="7"/>
      <c r="X737" s="7"/>
      <c r="Y737" s="7"/>
      <c r="Z737" s="7"/>
      <c r="AA737" s="23" t="n">
        <f aca="false">YEAR(C737)</f>
        <v>2025</v>
      </c>
    </row>
    <row r="738" customFormat="false" ht="15" hidden="false" customHeight="false" outlineLevel="0" collapsed="false">
      <c r="A738" s="7" t="s">
        <v>2078</v>
      </c>
      <c r="B738" s="7" t="s">
        <v>137</v>
      </c>
      <c r="C738" s="20" t="n">
        <v>45863</v>
      </c>
      <c r="D738" s="20" t="n">
        <v>45884</v>
      </c>
      <c r="E738" s="20"/>
      <c r="F738" s="7" t="s">
        <v>759</v>
      </c>
      <c r="G738" s="7" t="s">
        <v>149</v>
      </c>
      <c r="H738" s="7" t="s">
        <v>273</v>
      </c>
      <c r="I738" s="7" t="s">
        <v>274</v>
      </c>
      <c r="J738" s="7" t="s">
        <v>221</v>
      </c>
      <c r="K738" s="7" t="s">
        <v>270</v>
      </c>
      <c r="L738" s="7" t="s">
        <v>554</v>
      </c>
      <c r="M738" s="7" t="s">
        <v>541</v>
      </c>
      <c r="N738" s="16"/>
      <c r="O738" s="7"/>
      <c r="P738" s="22"/>
      <c r="Q738" s="8" t="n">
        <v>105.7</v>
      </c>
      <c r="R738" s="8" t="n">
        <v>-105.7</v>
      </c>
      <c r="S738" s="7" t="s">
        <v>789</v>
      </c>
      <c r="T738" s="7"/>
      <c r="U738" s="7"/>
      <c r="V738" s="20"/>
      <c r="W738" s="7"/>
      <c r="X738" s="7"/>
      <c r="Y738" s="7"/>
      <c r="Z738" s="7"/>
      <c r="AA738" s="23" t="n">
        <f aca="false">YEAR(C738)</f>
        <v>2025</v>
      </c>
    </row>
    <row r="739" customFormat="false" ht="15" hidden="false" customHeight="false" outlineLevel="0" collapsed="false">
      <c r="A739" s="7" t="s">
        <v>2079</v>
      </c>
      <c r="B739" s="7" t="s">
        <v>137</v>
      </c>
      <c r="C739" s="20" t="n">
        <v>45864</v>
      </c>
      <c r="D739" s="20" t="n">
        <v>45891</v>
      </c>
      <c r="E739" s="20"/>
      <c r="F739" s="7" t="s">
        <v>759</v>
      </c>
      <c r="G739" s="7" t="s">
        <v>153</v>
      </c>
      <c r="H739" s="7" t="s">
        <v>242</v>
      </c>
      <c r="I739" s="7" t="s">
        <v>243</v>
      </c>
      <c r="J739" s="7" t="s">
        <v>229</v>
      </c>
      <c r="K739" s="7" t="s">
        <v>241</v>
      </c>
      <c r="L739" s="7" t="s">
        <v>571</v>
      </c>
      <c r="M739" s="7"/>
      <c r="N739" s="16"/>
      <c r="O739" s="7"/>
      <c r="P739" s="22"/>
      <c r="Q739" s="8" t="n">
        <v>357.06</v>
      </c>
      <c r="R739" s="8" t="n">
        <v>-357.06</v>
      </c>
      <c r="S739" s="7" t="s">
        <v>765</v>
      </c>
      <c r="T739" s="7"/>
      <c r="U739" s="7"/>
      <c r="V739" s="20"/>
      <c r="W739" s="7"/>
      <c r="X739" s="7"/>
      <c r="Y739" s="7"/>
      <c r="Z739" s="7"/>
      <c r="AA739" s="23" t="n">
        <f aca="false">YEAR(C739)</f>
        <v>2025</v>
      </c>
    </row>
    <row r="740" customFormat="false" ht="15" hidden="false" customHeight="false" outlineLevel="0" collapsed="false">
      <c r="A740" s="7" t="s">
        <v>2080</v>
      </c>
      <c r="B740" s="7" t="s">
        <v>137</v>
      </c>
      <c r="C740" s="20" t="n">
        <v>45869</v>
      </c>
      <c r="D740" s="20" t="n">
        <v>45869</v>
      </c>
      <c r="E740" s="20"/>
      <c r="F740" s="7" t="s">
        <v>759</v>
      </c>
      <c r="G740" s="7" t="s">
        <v>153</v>
      </c>
      <c r="H740" s="7" t="s">
        <v>246</v>
      </c>
      <c r="I740" s="7" t="s">
        <v>247</v>
      </c>
      <c r="J740" s="7" t="s">
        <v>236</v>
      </c>
      <c r="K740" s="7" t="s">
        <v>189</v>
      </c>
      <c r="L740" s="7" t="s">
        <v>808</v>
      </c>
      <c r="M740" s="7" t="s">
        <v>556</v>
      </c>
      <c r="N740" s="16"/>
      <c r="O740" s="7"/>
      <c r="P740" s="22"/>
      <c r="Q740" s="8" t="n">
        <v>1738.66</v>
      </c>
      <c r="R740" s="8" t="n">
        <v>-1738.66</v>
      </c>
      <c r="S740" s="7" t="s">
        <v>775</v>
      </c>
      <c r="T740" s="7"/>
      <c r="U740" s="7"/>
      <c r="V740" s="20"/>
      <c r="W740" s="7"/>
      <c r="X740" s="7" t="s">
        <v>784</v>
      </c>
      <c r="Y740" s="7"/>
      <c r="Z740" s="7"/>
      <c r="AA740" s="23" t="n">
        <f aca="false">YEAR(C740)</f>
        <v>2025</v>
      </c>
    </row>
    <row r="741" customFormat="false" ht="15" hidden="false" customHeight="false" outlineLevel="0" collapsed="false">
      <c r="A741" s="7" t="s">
        <v>2081</v>
      </c>
      <c r="B741" s="7" t="s">
        <v>137</v>
      </c>
      <c r="C741" s="20" t="n">
        <v>45870</v>
      </c>
      <c r="D741" s="20" t="n">
        <v>45870</v>
      </c>
      <c r="E741" s="20"/>
      <c r="F741" s="7" t="s">
        <v>759</v>
      </c>
      <c r="G741" s="7" t="s">
        <v>153</v>
      </c>
      <c r="H741" s="7" t="s">
        <v>545</v>
      </c>
      <c r="I741" s="7" t="s">
        <v>760</v>
      </c>
      <c r="J741" s="7" t="s">
        <v>761</v>
      </c>
      <c r="K741" s="7" t="s">
        <v>762</v>
      </c>
      <c r="L741" s="7" t="s">
        <v>546</v>
      </c>
      <c r="M741" s="7"/>
      <c r="N741" s="16"/>
      <c r="O741" s="7"/>
      <c r="P741" s="22"/>
      <c r="Q741" s="8" t="n">
        <v>4200</v>
      </c>
      <c r="R741" s="8" t="n">
        <v>-4200</v>
      </c>
      <c r="S741" s="7" t="s">
        <v>763</v>
      </c>
      <c r="T741" s="7"/>
      <c r="U741" s="7"/>
      <c r="V741" s="20"/>
      <c r="W741" s="7"/>
      <c r="X741" s="7"/>
      <c r="Y741" s="7"/>
      <c r="Z741" s="7"/>
      <c r="AA741" s="23" t="n">
        <f aca="false">YEAR(C741)</f>
        <v>2025</v>
      </c>
    </row>
    <row r="742" customFormat="false" ht="15" hidden="false" customHeight="false" outlineLevel="0" collapsed="false">
      <c r="A742" s="7" t="s">
        <v>2082</v>
      </c>
      <c r="B742" s="7" t="s">
        <v>137</v>
      </c>
      <c r="C742" s="20" t="n">
        <v>45874</v>
      </c>
      <c r="D742" s="20" t="n">
        <v>45874</v>
      </c>
      <c r="E742" s="20"/>
      <c r="F742" s="7" t="s">
        <v>759</v>
      </c>
      <c r="G742" s="7" t="s">
        <v>153</v>
      </c>
      <c r="H742" s="7" t="s">
        <v>561</v>
      </c>
      <c r="I742" s="7" t="s">
        <v>363</v>
      </c>
      <c r="J742" s="7" t="s">
        <v>761</v>
      </c>
      <c r="K742" s="7" t="s">
        <v>772</v>
      </c>
      <c r="L742" s="7" t="s">
        <v>562</v>
      </c>
      <c r="M742" s="7" t="s">
        <v>556</v>
      </c>
      <c r="N742" s="16"/>
      <c r="O742" s="7"/>
      <c r="P742" s="22"/>
      <c r="Q742" s="8" t="n">
        <v>4000</v>
      </c>
      <c r="R742" s="8" t="n">
        <v>4000</v>
      </c>
      <c r="S742" s="7" t="s">
        <v>783</v>
      </c>
      <c r="T742" s="7"/>
      <c r="U742" s="7"/>
      <c r="V742" s="20"/>
      <c r="W742" s="7"/>
      <c r="X742" s="7" t="s">
        <v>784</v>
      </c>
      <c r="Y742" s="7"/>
      <c r="Z742" s="7"/>
      <c r="AA742" s="23" t="n">
        <f aca="false">YEAR(C742)</f>
        <v>2025</v>
      </c>
    </row>
    <row r="743" customFormat="false" ht="15" hidden="false" customHeight="false" outlineLevel="0" collapsed="false">
      <c r="A743" s="7" t="s">
        <v>2083</v>
      </c>
      <c r="B743" s="7" t="s">
        <v>137</v>
      </c>
      <c r="C743" s="20" t="n">
        <v>45877</v>
      </c>
      <c r="D743" s="20" t="n">
        <v>45877</v>
      </c>
      <c r="E743" s="20"/>
      <c r="F743" s="7" t="s">
        <v>759</v>
      </c>
      <c r="G743" s="7" t="s">
        <v>149</v>
      </c>
      <c r="H743" s="7" t="s">
        <v>271</v>
      </c>
      <c r="I743" s="7" t="s">
        <v>272</v>
      </c>
      <c r="J743" s="7" t="s">
        <v>221</v>
      </c>
      <c r="K743" s="7" t="s">
        <v>270</v>
      </c>
      <c r="L743" s="7" t="s">
        <v>586</v>
      </c>
      <c r="M743" s="7" t="s">
        <v>541</v>
      </c>
      <c r="N743" s="16"/>
      <c r="O743" s="7"/>
      <c r="P743" s="22"/>
      <c r="Q743" s="8" t="n">
        <v>790.45</v>
      </c>
      <c r="R743" s="8" t="n">
        <v>-790.45</v>
      </c>
      <c r="S743" s="7" t="s">
        <v>744</v>
      </c>
      <c r="T743" s="7"/>
      <c r="U743" s="7"/>
      <c r="V743" s="20"/>
      <c r="W743" s="7"/>
      <c r="X743" s="7"/>
      <c r="Y743" s="7"/>
      <c r="Z743" s="7"/>
      <c r="AA743" s="23" t="n">
        <f aca="false">YEAR(C743)</f>
        <v>2025</v>
      </c>
    </row>
    <row r="744" customFormat="false" ht="15" hidden="false" customHeight="false" outlineLevel="0" collapsed="false">
      <c r="A744" s="7" t="s">
        <v>2084</v>
      </c>
      <c r="B744" s="7" t="s">
        <v>137</v>
      </c>
      <c r="C744" s="20" t="n">
        <v>45877</v>
      </c>
      <c r="D744" s="20" t="n">
        <v>45877</v>
      </c>
      <c r="E744" s="20"/>
      <c r="F744" s="7" t="s">
        <v>759</v>
      </c>
      <c r="G744" s="7" t="s">
        <v>153</v>
      </c>
      <c r="H744" s="7" t="s">
        <v>271</v>
      </c>
      <c r="I744" s="7" t="s">
        <v>272</v>
      </c>
      <c r="J744" s="7" t="s">
        <v>221</v>
      </c>
      <c r="K744" s="7" t="s">
        <v>270</v>
      </c>
      <c r="L744" s="7" t="s">
        <v>544</v>
      </c>
      <c r="M744" s="7" t="s">
        <v>541</v>
      </c>
      <c r="N744" s="16"/>
      <c r="O744" s="7"/>
      <c r="P744" s="22"/>
      <c r="Q744" s="8" t="n">
        <v>526.97</v>
      </c>
      <c r="R744" s="8" t="n">
        <v>-526.97</v>
      </c>
      <c r="S744" s="7" t="s">
        <v>744</v>
      </c>
      <c r="T744" s="7"/>
      <c r="U744" s="7"/>
      <c r="V744" s="20"/>
      <c r="W744" s="7"/>
      <c r="X744" s="7"/>
      <c r="Y744" s="7"/>
      <c r="Z744" s="7"/>
      <c r="AA744" s="23" t="n">
        <f aca="false">YEAR(C744)</f>
        <v>2025</v>
      </c>
    </row>
    <row r="745" customFormat="false" ht="15" hidden="false" customHeight="false" outlineLevel="0" collapsed="false">
      <c r="A745" s="7" t="s">
        <v>2085</v>
      </c>
      <c r="B745" s="7" t="s">
        <v>137</v>
      </c>
      <c r="C745" s="20" t="n">
        <v>45877</v>
      </c>
      <c r="D745" s="20" t="n">
        <v>45915</v>
      </c>
      <c r="E745" s="20"/>
      <c r="F745" s="7" t="s">
        <v>759</v>
      </c>
      <c r="G745" s="7" t="s">
        <v>149</v>
      </c>
      <c r="H745" s="7" t="s">
        <v>273</v>
      </c>
      <c r="I745" s="7" t="s">
        <v>274</v>
      </c>
      <c r="J745" s="7" t="s">
        <v>221</v>
      </c>
      <c r="K745" s="7" t="s">
        <v>270</v>
      </c>
      <c r="L745" s="7" t="s">
        <v>554</v>
      </c>
      <c r="M745" s="7" t="s">
        <v>541</v>
      </c>
      <c r="N745" s="16"/>
      <c r="O745" s="7"/>
      <c r="P745" s="22"/>
      <c r="Q745" s="8" t="n">
        <v>115.93</v>
      </c>
      <c r="R745" s="8" t="n">
        <v>-115.93</v>
      </c>
      <c r="S745" s="7" t="s">
        <v>789</v>
      </c>
      <c r="T745" s="7"/>
      <c r="U745" s="7"/>
      <c r="V745" s="20"/>
      <c r="W745" s="7"/>
      <c r="X745" s="7"/>
      <c r="Y745" s="7"/>
      <c r="Z745" s="7"/>
      <c r="AA745" s="23" t="n">
        <f aca="false">YEAR(C745)</f>
        <v>2025</v>
      </c>
    </row>
    <row r="746" customFormat="false" ht="15" hidden="false" customHeight="false" outlineLevel="0" collapsed="false">
      <c r="A746" s="7" t="s">
        <v>2086</v>
      </c>
      <c r="B746" s="7" t="s">
        <v>137</v>
      </c>
      <c r="C746" s="20" t="n">
        <v>45877</v>
      </c>
      <c r="D746" s="20" t="n">
        <v>45922</v>
      </c>
      <c r="E746" s="20"/>
      <c r="F746" s="7" t="s">
        <v>759</v>
      </c>
      <c r="G746" s="7" t="s">
        <v>153</v>
      </c>
      <c r="H746" s="7" t="s">
        <v>244</v>
      </c>
      <c r="I746" s="7" t="s">
        <v>245</v>
      </c>
      <c r="J746" s="7" t="s">
        <v>229</v>
      </c>
      <c r="K746" s="7" t="s">
        <v>233</v>
      </c>
      <c r="L746" s="7" t="s">
        <v>570</v>
      </c>
      <c r="M746" s="7"/>
      <c r="N746" s="16"/>
      <c r="O746" s="7"/>
      <c r="P746" s="22"/>
      <c r="Q746" s="8" t="n">
        <v>165</v>
      </c>
      <c r="R746" s="8" t="n">
        <v>-165</v>
      </c>
      <c r="S746" s="7" t="s">
        <v>765</v>
      </c>
      <c r="T746" s="7"/>
      <c r="U746" s="7"/>
      <c r="V746" s="20"/>
      <c r="W746" s="7"/>
      <c r="X746" s="7"/>
      <c r="Y746" s="7"/>
      <c r="Z746" s="7"/>
      <c r="AA746" s="23" t="n">
        <f aca="false">YEAR(C746)</f>
        <v>2025</v>
      </c>
    </row>
    <row r="747" customFormat="false" ht="15" hidden="false" customHeight="false" outlineLevel="0" collapsed="false">
      <c r="A747" s="7" t="s">
        <v>2087</v>
      </c>
      <c r="B747" s="7" t="s">
        <v>137</v>
      </c>
      <c r="C747" s="20" t="n">
        <v>45879</v>
      </c>
      <c r="D747" s="20" t="n">
        <v>45879</v>
      </c>
      <c r="E747" s="20"/>
      <c r="F747" s="7" t="s">
        <v>759</v>
      </c>
      <c r="G747" s="7" t="s">
        <v>153</v>
      </c>
      <c r="H747" s="7" t="s">
        <v>237</v>
      </c>
      <c r="I747" s="7" t="s">
        <v>238</v>
      </c>
      <c r="J747" s="7" t="s">
        <v>236</v>
      </c>
      <c r="K747" s="7" t="s">
        <v>189</v>
      </c>
      <c r="L747" s="7" t="s">
        <v>2088</v>
      </c>
      <c r="M747" s="7" t="s">
        <v>768</v>
      </c>
      <c r="N747" s="16"/>
      <c r="O747" s="7"/>
      <c r="P747" s="22"/>
      <c r="Q747" s="8" t="n">
        <v>29.63</v>
      </c>
      <c r="R747" s="8" t="n">
        <v>-29.63</v>
      </c>
      <c r="S747" s="7" t="s">
        <v>744</v>
      </c>
      <c r="T747" s="7"/>
      <c r="U747" s="7"/>
      <c r="V747" s="20"/>
      <c r="W747" s="7"/>
      <c r="X747" s="7" t="s">
        <v>769</v>
      </c>
      <c r="Y747" s="7"/>
      <c r="Z747" s="7"/>
      <c r="AA747" s="23" t="n">
        <f aca="false">YEAR(C747)</f>
        <v>2025</v>
      </c>
    </row>
    <row r="748" customFormat="false" ht="15" hidden="false" customHeight="false" outlineLevel="0" collapsed="false">
      <c r="A748" s="7" t="s">
        <v>2089</v>
      </c>
      <c r="B748" s="7" t="s">
        <v>137</v>
      </c>
      <c r="C748" s="20" t="n">
        <v>45879</v>
      </c>
      <c r="D748" s="20" t="n">
        <v>45879</v>
      </c>
      <c r="E748" s="20"/>
      <c r="F748" s="7" t="s">
        <v>759</v>
      </c>
      <c r="G748" s="7" t="s">
        <v>153</v>
      </c>
      <c r="H748" s="7" t="s">
        <v>559</v>
      </c>
      <c r="I748" s="7" t="s">
        <v>771</v>
      </c>
      <c r="J748" s="7" t="s">
        <v>761</v>
      </c>
      <c r="K748" s="7" t="s">
        <v>772</v>
      </c>
      <c r="L748" s="7" t="s">
        <v>2090</v>
      </c>
      <c r="M748" s="7" t="s">
        <v>768</v>
      </c>
      <c r="N748" s="16"/>
      <c r="O748" s="7"/>
      <c r="P748" s="22"/>
      <c r="Q748" s="8" t="n">
        <v>815.46</v>
      </c>
      <c r="R748" s="8" t="n">
        <v>-815.46</v>
      </c>
      <c r="S748" s="7" t="s">
        <v>744</v>
      </c>
      <c r="T748" s="7"/>
      <c r="U748" s="7"/>
      <c r="V748" s="20"/>
      <c r="W748" s="7"/>
      <c r="X748" s="7" t="s">
        <v>769</v>
      </c>
      <c r="Y748" s="7"/>
      <c r="Z748" s="7"/>
      <c r="AA748" s="23" t="n">
        <f aca="false">YEAR(C748)</f>
        <v>2025</v>
      </c>
    </row>
    <row r="749" customFormat="false" ht="15" hidden="false" customHeight="false" outlineLevel="0" collapsed="false">
      <c r="A749" s="7" t="s">
        <v>2091</v>
      </c>
      <c r="B749" s="7" t="s">
        <v>137</v>
      </c>
      <c r="C749" s="20" t="n">
        <v>45881</v>
      </c>
      <c r="D749" s="20" t="n">
        <v>45881</v>
      </c>
      <c r="E749" s="20"/>
      <c r="F749" s="7" t="s">
        <v>759</v>
      </c>
      <c r="G749" s="7" t="s">
        <v>153</v>
      </c>
      <c r="H749" s="7" t="s">
        <v>240</v>
      </c>
      <c r="I749" s="7" t="s">
        <v>239</v>
      </c>
      <c r="J749" s="7" t="s">
        <v>229</v>
      </c>
      <c r="K749" s="7" t="s">
        <v>239</v>
      </c>
      <c r="L749" s="7" t="s">
        <v>548</v>
      </c>
      <c r="M749" s="7" t="s">
        <v>547</v>
      </c>
      <c r="N749" s="16"/>
      <c r="O749" s="7"/>
      <c r="P749" s="22"/>
      <c r="Q749" s="8" t="n">
        <v>277.19</v>
      </c>
      <c r="R749" s="8" t="n">
        <v>-277.19</v>
      </c>
      <c r="S749" s="7" t="s">
        <v>775</v>
      </c>
      <c r="T749" s="7"/>
      <c r="U749" s="7"/>
      <c r="V749" s="20"/>
      <c r="W749" s="7"/>
      <c r="X749" s="7"/>
      <c r="Y749" s="7"/>
      <c r="Z749" s="7"/>
      <c r="AA749" s="23" t="n">
        <f aca="false">YEAR(C749)</f>
        <v>2025</v>
      </c>
    </row>
    <row r="750" customFormat="false" ht="15" hidden="false" customHeight="false" outlineLevel="0" collapsed="false">
      <c r="A750" s="7" t="s">
        <v>2092</v>
      </c>
      <c r="B750" s="7" t="s">
        <v>137</v>
      </c>
      <c r="C750" s="20" t="n">
        <v>45883</v>
      </c>
      <c r="D750" s="20" t="n">
        <v>45883</v>
      </c>
      <c r="E750" s="20"/>
      <c r="F750" s="7" t="s">
        <v>759</v>
      </c>
      <c r="G750" s="7" t="s">
        <v>153</v>
      </c>
      <c r="H750" s="7" t="s">
        <v>303</v>
      </c>
      <c r="I750" s="7" t="s">
        <v>304</v>
      </c>
      <c r="J750" s="7" t="s">
        <v>248</v>
      </c>
      <c r="K750" s="7" t="s">
        <v>286</v>
      </c>
      <c r="L750" s="7" t="s">
        <v>2093</v>
      </c>
      <c r="M750" s="7" t="s">
        <v>551</v>
      </c>
      <c r="N750" s="16"/>
      <c r="O750" s="7"/>
      <c r="P750" s="22"/>
      <c r="Q750" s="8" t="n">
        <v>6215</v>
      </c>
      <c r="R750" s="8" t="n">
        <v>6215</v>
      </c>
      <c r="S750" s="7" t="s">
        <v>33</v>
      </c>
      <c r="T750" s="7"/>
      <c r="U750" s="7"/>
      <c r="V750" s="20"/>
      <c r="W750" s="7"/>
      <c r="X750" s="7"/>
      <c r="Y750" s="7"/>
      <c r="Z750" s="7"/>
      <c r="AA750" s="23" t="n">
        <f aca="false">YEAR(C750)</f>
        <v>2025</v>
      </c>
    </row>
    <row r="751" customFormat="false" ht="15" hidden="false" customHeight="false" outlineLevel="0" collapsed="false">
      <c r="A751" s="7" t="s">
        <v>2094</v>
      </c>
      <c r="B751" s="7" t="s">
        <v>137</v>
      </c>
      <c r="C751" s="20" t="n">
        <v>45884</v>
      </c>
      <c r="D751" s="20" t="n">
        <v>45884</v>
      </c>
      <c r="E751" s="20"/>
      <c r="F751" s="7" t="s">
        <v>759</v>
      </c>
      <c r="G751" s="7" t="s">
        <v>136</v>
      </c>
      <c r="H751" s="7" t="s">
        <v>258</v>
      </c>
      <c r="I751" s="7" t="s">
        <v>259</v>
      </c>
      <c r="J751" s="7" t="s">
        <v>221</v>
      </c>
      <c r="K751" s="7" t="s">
        <v>257</v>
      </c>
      <c r="L751" s="7" t="s">
        <v>1061</v>
      </c>
      <c r="M751" s="7" t="s">
        <v>840</v>
      </c>
      <c r="N751" s="16" t="n">
        <v>96</v>
      </c>
      <c r="O751" s="7" t="s">
        <v>801</v>
      </c>
      <c r="P751" s="22" t="n">
        <v>15.37</v>
      </c>
      <c r="Q751" s="8" t="n">
        <v>1475.52</v>
      </c>
      <c r="R751" s="8" t="n">
        <v>-1475.52</v>
      </c>
      <c r="S751" s="7" t="s">
        <v>33</v>
      </c>
      <c r="T751" s="7"/>
      <c r="U751" s="7"/>
      <c r="V751" s="20"/>
      <c r="W751" s="7"/>
      <c r="X751" s="7"/>
      <c r="Y751" s="7" t="s">
        <v>722</v>
      </c>
      <c r="Z751" s="7"/>
      <c r="AA751" s="23" t="n">
        <f aca="false">YEAR(C751)</f>
        <v>2025</v>
      </c>
    </row>
    <row r="752" customFormat="false" ht="15" hidden="false" customHeight="false" outlineLevel="0" collapsed="false">
      <c r="A752" s="7" t="s">
        <v>2095</v>
      </c>
      <c r="B752" s="7" t="s">
        <v>137</v>
      </c>
      <c r="C752" s="20" t="n">
        <v>45885</v>
      </c>
      <c r="D752" s="20" t="n">
        <v>45885</v>
      </c>
      <c r="E752" s="20"/>
      <c r="F752" s="7" t="s">
        <v>759</v>
      </c>
      <c r="G752" s="7" t="s">
        <v>149</v>
      </c>
      <c r="H752" s="7" t="s">
        <v>237</v>
      </c>
      <c r="I752" s="7" t="s">
        <v>238</v>
      </c>
      <c r="J752" s="7" t="s">
        <v>236</v>
      </c>
      <c r="K752" s="7" t="s">
        <v>189</v>
      </c>
      <c r="L752" s="7" t="s">
        <v>2096</v>
      </c>
      <c r="M752" s="7" t="s">
        <v>556</v>
      </c>
      <c r="N752" s="16"/>
      <c r="O752" s="7"/>
      <c r="P752" s="22"/>
      <c r="Q752" s="8" t="n">
        <v>346.12</v>
      </c>
      <c r="R752" s="8" t="n">
        <v>-346.12</v>
      </c>
      <c r="S752" s="7" t="s">
        <v>744</v>
      </c>
      <c r="T752" s="7"/>
      <c r="U752" s="7"/>
      <c r="V752" s="20"/>
      <c r="W752" s="7"/>
      <c r="X752" s="7" t="s">
        <v>1552</v>
      </c>
      <c r="Y752" s="7"/>
      <c r="Z752" s="7"/>
      <c r="AA752" s="23" t="n">
        <f aca="false">YEAR(C752)</f>
        <v>2025</v>
      </c>
    </row>
    <row r="753" customFormat="false" ht="15" hidden="false" customHeight="false" outlineLevel="0" collapsed="false">
      <c r="A753" s="7" t="s">
        <v>2097</v>
      </c>
      <c r="B753" s="7" t="s">
        <v>137</v>
      </c>
      <c r="C753" s="20" t="n">
        <v>45885</v>
      </c>
      <c r="D753" s="20" t="n">
        <v>45885</v>
      </c>
      <c r="E753" s="20"/>
      <c r="F753" s="7" t="s">
        <v>759</v>
      </c>
      <c r="G753" s="7" t="s">
        <v>149</v>
      </c>
      <c r="H753" s="7" t="s">
        <v>559</v>
      </c>
      <c r="I753" s="7" t="s">
        <v>771</v>
      </c>
      <c r="J753" s="7" t="s">
        <v>761</v>
      </c>
      <c r="K753" s="7" t="s">
        <v>772</v>
      </c>
      <c r="L753" s="7" t="s">
        <v>2098</v>
      </c>
      <c r="M753" s="7" t="s">
        <v>556</v>
      </c>
      <c r="N753" s="16"/>
      <c r="O753" s="7"/>
      <c r="P753" s="22"/>
      <c r="Q753" s="8" t="n">
        <v>1386.37</v>
      </c>
      <c r="R753" s="8" t="n">
        <v>-1386.37</v>
      </c>
      <c r="S753" s="7" t="s">
        <v>744</v>
      </c>
      <c r="T753" s="7"/>
      <c r="U753" s="7"/>
      <c r="V753" s="20"/>
      <c r="W753" s="7"/>
      <c r="X753" s="7" t="s">
        <v>1552</v>
      </c>
      <c r="Y753" s="7"/>
      <c r="Z753" s="7"/>
      <c r="AA753" s="23" t="n">
        <f aca="false">YEAR(C753)</f>
        <v>2025</v>
      </c>
    </row>
    <row r="754" customFormat="false" ht="15" hidden="false" customHeight="false" outlineLevel="0" collapsed="false">
      <c r="A754" s="7" t="s">
        <v>2099</v>
      </c>
      <c r="B754" s="7" t="s">
        <v>137</v>
      </c>
      <c r="C754" s="20" t="n">
        <v>45887</v>
      </c>
      <c r="D754" s="20" t="n">
        <v>45902</v>
      </c>
      <c r="E754" s="20"/>
      <c r="F754" s="7" t="s">
        <v>759</v>
      </c>
      <c r="G754" s="7" t="s">
        <v>141</v>
      </c>
      <c r="H754" s="7" t="s">
        <v>276</v>
      </c>
      <c r="I754" s="7" t="s">
        <v>277</v>
      </c>
      <c r="J754" s="7" t="s">
        <v>221</v>
      </c>
      <c r="K754" s="7" t="s">
        <v>275</v>
      </c>
      <c r="L754" s="7" t="s">
        <v>2100</v>
      </c>
      <c r="M754" s="7" t="s">
        <v>547</v>
      </c>
      <c r="N754" s="16"/>
      <c r="O754" s="7"/>
      <c r="P754" s="22"/>
      <c r="Q754" s="8" t="n">
        <v>4230</v>
      </c>
      <c r="R754" s="8" t="n">
        <v>-4230</v>
      </c>
      <c r="S754" s="7" t="s">
        <v>751</v>
      </c>
      <c r="T754" s="7"/>
      <c r="U754" s="7" t="s">
        <v>2101</v>
      </c>
      <c r="V754" s="20" t="n">
        <v>45902</v>
      </c>
      <c r="W754" s="7"/>
      <c r="X754" s="7"/>
      <c r="Y754" s="7" t="s">
        <v>710</v>
      </c>
      <c r="Z754" s="7"/>
      <c r="AA754" s="23" t="n">
        <f aca="false">YEAR(C754)</f>
        <v>2025</v>
      </c>
    </row>
    <row r="755" customFormat="false" ht="15" hidden="false" customHeight="false" outlineLevel="0" collapsed="false">
      <c r="A755" s="7" t="s">
        <v>2102</v>
      </c>
      <c r="B755" s="7" t="s">
        <v>137</v>
      </c>
      <c r="C755" s="20" t="n">
        <v>45888</v>
      </c>
      <c r="D755" s="20" t="n">
        <v>45943</v>
      </c>
      <c r="E755" s="20"/>
      <c r="F755" s="7" t="s">
        <v>759</v>
      </c>
      <c r="G755" s="7" t="s">
        <v>149</v>
      </c>
      <c r="H755" s="7" t="s">
        <v>261</v>
      </c>
      <c r="I755" s="7" t="s">
        <v>262</v>
      </c>
      <c r="J755" s="7" t="s">
        <v>221</v>
      </c>
      <c r="K755" s="7" t="s">
        <v>260</v>
      </c>
      <c r="L755" s="7" t="s">
        <v>2103</v>
      </c>
      <c r="M755" s="7" t="s">
        <v>538</v>
      </c>
      <c r="N755" s="16"/>
      <c r="O755" s="7"/>
      <c r="P755" s="22"/>
      <c r="Q755" s="8" t="n">
        <v>16209.6</v>
      </c>
      <c r="R755" s="8" t="n">
        <v>-16209.6</v>
      </c>
      <c r="S755" s="7" t="s">
        <v>751</v>
      </c>
      <c r="T755" s="7"/>
      <c r="U755" s="7" t="s">
        <v>2104</v>
      </c>
      <c r="V755" s="20" t="n">
        <v>45918</v>
      </c>
      <c r="W755" s="7" t="s">
        <v>938</v>
      </c>
      <c r="X755" s="7"/>
      <c r="Y755" s="7"/>
      <c r="Z755" s="7"/>
      <c r="AA755" s="23" t="n">
        <f aca="false">YEAR(C755)</f>
        <v>2025</v>
      </c>
    </row>
    <row r="756" customFormat="false" ht="15" hidden="false" customHeight="false" outlineLevel="0" collapsed="false">
      <c r="A756" s="7" t="s">
        <v>2105</v>
      </c>
      <c r="B756" s="7" t="s">
        <v>137</v>
      </c>
      <c r="C756" s="20" t="n">
        <v>45888</v>
      </c>
      <c r="D756" s="20" t="n">
        <v>45943</v>
      </c>
      <c r="E756" s="20"/>
      <c r="F756" s="7" t="s">
        <v>759</v>
      </c>
      <c r="G756" s="7" t="s">
        <v>141</v>
      </c>
      <c r="H756" s="7" t="s">
        <v>261</v>
      </c>
      <c r="I756" s="7" t="s">
        <v>262</v>
      </c>
      <c r="J756" s="7" t="s">
        <v>221</v>
      </c>
      <c r="K756" s="7" t="s">
        <v>260</v>
      </c>
      <c r="L756" s="7" t="s">
        <v>2106</v>
      </c>
      <c r="M756" s="7" t="s">
        <v>538</v>
      </c>
      <c r="N756" s="16"/>
      <c r="O756" s="7"/>
      <c r="P756" s="22"/>
      <c r="Q756" s="8" t="n">
        <v>2210.4</v>
      </c>
      <c r="R756" s="8" t="n">
        <v>-2210.4</v>
      </c>
      <c r="S756" s="7" t="s">
        <v>751</v>
      </c>
      <c r="T756" s="7"/>
      <c r="U756" s="7" t="s">
        <v>2107</v>
      </c>
      <c r="V756" s="20" t="n">
        <v>45918</v>
      </c>
      <c r="W756" s="7" t="s">
        <v>938</v>
      </c>
      <c r="X756" s="7"/>
      <c r="Y756" s="7"/>
      <c r="Z756" s="7"/>
      <c r="AA756" s="23" t="n">
        <f aca="false">YEAR(C756)</f>
        <v>2025</v>
      </c>
    </row>
    <row r="757" customFormat="false" ht="15" hidden="false" customHeight="false" outlineLevel="0" collapsed="false">
      <c r="A757" s="7" t="s">
        <v>2108</v>
      </c>
      <c r="B757" s="7" t="s">
        <v>137</v>
      </c>
      <c r="C757" s="20" t="n">
        <v>45891</v>
      </c>
      <c r="D757" s="20" t="n">
        <v>45891</v>
      </c>
      <c r="E757" s="20"/>
      <c r="F757" s="7" t="s">
        <v>759</v>
      </c>
      <c r="G757" s="7" t="s">
        <v>149</v>
      </c>
      <c r="H757" s="7" t="s">
        <v>271</v>
      </c>
      <c r="I757" s="7" t="s">
        <v>272</v>
      </c>
      <c r="J757" s="7" t="s">
        <v>221</v>
      </c>
      <c r="K757" s="7" t="s">
        <v>270</v>
      </c>
      <c r="L757" s="7" t="s">
        <v>2109</v>
      </c>
      <c r="M757" s="7" t="s">
        <v>541</v>
      </c>
      <c r="N757" s="16"/>
      <c r="O757" s="7"/>
      <c r="P757" s="22"/>
      <c r="Q757" s="8" t="n">
        <v>805.4</v>
      </c>
      <c r="R757" s="8" t="n">
        <v>-805.4</v>
      </c>
      <c r="S757" s="7" t="s">
        <v>744</v>
      </c>
      <c r="T757" s="7"/>
      <c r="U757" s="7"/>
      <c r="V757" s="20"/>
      <c r="W757" s="7"/>
      <c r="X757" s="7"/>
      <c r="Y757" s="7"/>
      <c r="Z757" s="7"/>
      <c r="AA757" s="23" t="n">
        <f aca="false">YEAR(C757)</f>
        <v>2025</v>
      </c>
    </row>
    <row r="758" customFormat="false" ht="15" hidden="false" customHeight="false" outlineLevel="0" collapsed="false">
      <c r="A758" s="7" t="s">
        <v>2110</v>
      </c>
      <c r="B758" s="7" t="s">
        <v>137</v>
      </c>
      <c r="C758" s="20" t="n">
        <v>45891</v>
      </c>
      <c r="D758" s="20" t="n">
        <v>45891</v>
      </c>
      <c r="E758" s="20"/>
      <c r="F758" s="7" t="s">
        <v>759</v>
      </c>
      <c r="G758" s="7" t="s">
        <v>153</v>
      </c>
      <c r="H758" s="7" t="s">
        <v>271</v>
      </c>
      <c r="I758" s="7" t="s">
        <v>272</v>
      </c>
      <c r="J758" s="7" t="s">
        <v>221</v>
      </c>
      <c r="K758" s="7" t="s">
        <v>270</v>
      </c>
      <c r="L758" s="7" t="s">
        <v>544</v>
      </c>
      <c r="M758" s="7" t="s">
        <v>541</v>
      </c>
      <c r="N758" s="16"/>
      <c r="O758" s="7"/>
      <c r="P758" s="22"/>
      <c r="Q758" s="8" t="n">
        <v>536.93</v>
      </c>
      <c r="R758" s="8" t="n">
        <v>-536.93</v>
      </c>
      <c r="S758" s="7" t="s">
        <v>744</v>
      </c>
      <c r="T758" s="7"/>
      <c r="U758" s="7"/>
      <c r="V758" s="20"/>
      <c r="W758" s="7"/>
      <c r="X758" s="7"/>
      <c r="Y758" s="7"/>
      <c r="Z758" s="7"/>
      <c r="AA758" s="23" t="n">
        <f aca="false">YEAR(C758)</f>
        <v>2025</v>
      </c>
    </row>
    <row r="759" customFormat="false" ht="15" hidden="false" customHeight="false" outlineLevel="0" collapsed="false">
      <c r="A759" s="7" t="s">
        <v>2111</v>
      </c>
      <c r="B759" s="7" t="s">
        <v>137</v>
      </c>
      <c r="C759" s="20" t="n">
        <v>45891</v>
      </c>
      <c r="D759" s="20" t="n">
        <v>45915</v>
      </c>
      <c r="E759" s="20"/>
      <c r="F759" s="7" t="s">
        <v>759</v>
      </c>
      <c r="G759" s="7" t="s">
        <v>149</v>
      </c>
      <c r="H759" s="7" t="s">
        <v>273</v>
      </c>
      <c r="I759" s="7" t="s">
        <v>274</v>
      </c>
      <c r="J759" s="7" t="s">
        <v>221</v>
      </c>
      <c r="K759" s="7" t="s">
        <v>270</v>
      </c>
      <c r="L759" s="7" t="s">
        <v>554</v>
      </c>
      <c r="M759" s="7" t="s">
        <v>541</v>
      </c>
      <c r="N759" s="16"/>
      <c r="O759" s="7"/>
      <c r="P759" s="22"/>
      <c r="Q759" s="8" t="n">
        <v>118.12</v>
      </c>
      <c r="R759" s="8" t="n">
        <v>-118.12</v>
      </c>
      <c r="S759" s="7" t="s">
        <v>789</v>
      </c>
      <c r="T759" s="7"/>
      <c r="U759" s="7"/>
      <c r="V759" s="20"/>
      <c r="W759" s="7"/>
      <c r="X759" s="7"/>
      <c r="Y759" s="7"/>
      <c r="Z759" s="7"/>
      <c r="AA759" s="23" t="n">
        <f aca="false">YEAR(C759)</f>
        <v>2025</v>
      </c>
    </row>
    <row r="760" customFormat="false" ht="15" hidden="false" customHeight="false" outlineLevel="0" collapsed="false">
      <c r="A760" s="7" t="s">
        <v>2112</v>
      </c>
      <c r="B760" s="7" t="s">
        <v>137</v>
      </c>
      <c r="C760" s="20" t="n">
        <v>45895</v>
      </c>
      <c r="D760" s="20" t="n">
        <v>45922</v>
      </c>
      <c r="E760" s="20"/>
      <c r="F760" s="7" t="s">
        <v>759</v>
      </c>
      <c r="G760" s="7" t="s">
        <v>153</v>
      </c>
      <c r="H760" s="7" t="s">
        <v>242</v>
      </c>
      <c r="I760" s="7" t="s">
        <v>243</v>
      </c>
      <c r="J760" s="7" t="s">
        <v>229</v>
      </c>
      <c r="K760" s="7" t="s">
        <v>241</v>
      </c>
      <c r="L760" s="7" t="s">
        <v>571</v>
      </c>
      <c r="M760" s="7"/>
      <c r="N760" s="16"/>
      <c r="O760" s="7"/>
      <c r="P760" s="22"/>
      <c r="Q760" s="8" t="n">
        <v>249.23</v>
      </c>
      <c r="R760" s="8" t="n">
        <v>-249.23</v>
      </c>
      <c r="S760" s="7" t="s">
        <v>765</v>
      </c>
      <c r="T760" s="7"/>
      <c r="U760" s="7"/>
      <c r="V760" s="20"/>
      <c r="W760" s="7"/>
      <c r="X760" s="7"/>
      <c r="Y760" s="7"/>
      <c r="Z760" s="7"/>
      <c r="AA760" s="23" t="n">
        <f aca="false">YEAR(C760)</f>
        <v>2025</v>
      </c>
    </row>
    <row r="761" customFormat="false" ht="15" hidden="false" customHeight="false" outlineLevel="0" collapsed="false">
      <c r="A761" s="7" t="s">
        <v>2113</v>
      </c>
      <c r="B761" s="7" t="s">
        <v>137</v>
      </c>
      <c r="C761" s="20" t="n">
        <v>45900</v>
      </c>
      <c r="D761" s="20" t="n">
        <v>45900</v>
      </c>
      <c r="E761" s="20"/>
      <c r="F761" s="7" t="s">
        <v>759</v>
      </c>
      <c r="G761" s="7" t="s">
        <v>153</v>
      </c>
      <c r="H761" s="7" t="s">
        <v>246</v>
      </c>
      <c r="I761" s="7" t="s">
        <v>247</v>
      </c>
      <c r="J761" s="7" t="s">
        <v>236</v>
      </c>
      <c r="K761" s="7" t="s">
        <v>189</v>
      </c>
      <c r="L761" s="7" t="s">
        <v>808</v>
      </c>
      <c r="M761" s="7" t="s">
        <v>556</v>
      </c>
      <c r="N761" s="16"/>
      <c r="O761" s="7"/>
      <c r="P761" s="22"/>
      <c r="Q761" s="8" t="n">
        <v>1801.07</v>
      </c>
      <c r="R761" s="8" t="n">
        <v>-1801.07</v>
      </c>
      <c r="S761" s="7" t="s">
        <v>775</v>
      </c>
      <c r="T761" s="7"/>
      <c r="U761" s="7"/>
      <c r="V761" s="20"/>
      <c r="W761" s="7"/>
      <c r="X761" s="7" t="s">
        <v>784</v>
      </c>
      <c r="Y761" s="7"/>
      <c r="Z761" s="7"/>
      <c r="AA761" s="23" t="n">
        <f aca="false">YEAR(C761)</f>
        <v>2025</v>
      </c>
    </row>
    <row r="762" customFormat="false" ht="15" hidden="false" customHeight="false" outlineLevel="0" collapsed="false">
      <c r="A762" s="7" t="s">
        <v>2114</v>
      </c>
      <c r="B762" s="7" t="s">
        <v>137</v>
      </c>
      <c r="C762" s="20" t="n">
        <v>45900</v>
      </c>
      <c r="D762" s="20" t="n">
        <v>45900</v>
      </c>
      <c r="E762" s="20"/>
      <c r="F762" s="7" t="s">
        <v>759</v>
      </c>
      <c r="G762" s="7" t="s">
        <v>153</v>
      </c>
      <c r="H762" s="7" t="s">
        <v>574</v>
      </c>
      <c r="I762" s="7" t="s">
        <v>364</v>
      </c>
      <c r="J762" s="7" t="s">
        <v>761</v>
      </c>
      <c r="K762" s="7" t="s">
        <v>772</v>
      </c>
      <c r="L762" s="7" t="s">
        <v>575</v>
      </c>
      <c r="M762" s="7" t="s">
        <v>556</v>
      </c>
      <c r="N762" s="16"/>
      <c r="O762" s="7"/>
      <c r="P762" s="22"/>
      <c r="Q762" s="8" t="n">
        <v>29000</v>
      </c>
      <c r="R762" s="8" t="n">
        <v>-29000</v>
      </c>
      <c r="S762" s="7" t="s">
        <v>783</v>
      </c>
      <c r="T762" s="7"/>
      <c r="U762" s="7"/>
      <c r="V762" s="20"/>
      <c r="W762" s="7"/>
      <c r="X762" s="7" t="s">
        <v>784</v>
      </c>
      <c r="Y762" s="7"/>
      <c r="Z762" s="7"/>
      <c r="AA762" s="23" t="n">
        <f aca="false">YEAR(C762)</f>
        <v>2025</v>
      </c>
    </row>
    <row r="763" customFormat="false" ht="15" hidden="false" customHeight="false" outlineLevel="0" collapsed="false">
      <c r="A763" s="7" t="s">
        <v>2115</v>
      </c>
      <c r="B763" s="7" t="s">
        <v>137</v>
      </c>
      <c r="C763" s="20" t="n">
        <v>45901</v>
      </c>
      <c r="D763" s="20" t="n">
        <v>45901</v>
      </c>
      <c r="E763" s="20"/>
      <c r="F763" s="7" t="s">
        <v>759</v>
      </c>
      <c r="G763" s="7" t="s">
        <v>153</v>
      </c>
      <c r="H763" s="7" t="s">
        <v>545</v>
      </c>
      <c r="I763" s="7" t="s">
        <v>760</v>
      </c>
      <c r="J763" s="7" t="s">
        <v>761</v>
      </c>
      <c r="K763" s="7" t="s">
        <v>762</v>
      </c>
      <c r="L763" s="7" t="s">
        <v>546</v>
      </c>
      <c r="M763" s="7"/>
      <c r="N763" s="16"/>
      <c r="O763" s="7"/>
      <c r="P763" s="22"/>
      <c r="Q763" s="8" t="n">
        <v>4200</v>
      </c>
      <c r="R763" s="8" t="n">
        <v>-4200</v>
      </c>
      <c r="S763" s="7" t="s">
        <v>763</v>
      </c>
      <c r="T763" s="7"/>
      <c r="U763" s="7"/>
      <c r="V763" s="20"/>
      <c r="W763" s="7"/>
      <c r="X763" s="7"/>
      <c r="Y763" s="7"/>
      <c r="Z763" s="7"/>
      <c r="AA763" s="23" t="n">
        <f aca="false">YEAR(C763)</f>
        <v>2025</v>
      </c>
    </row>
    <row r="764" customFormat="false" ht="15" hidden="false" customHeight="false" outlineLevel="0" collapsed="false">
      <c r="A764" s="7" t="s">
        <v>2116</v>
      </c>
      <c r="B764" s="7" t="s">
        <v>137</v>
      </c>
      <c r="C764" s="20" t="n">
        <v>45902</v>
      </c>
      <c r="D764" s="20" t="n">
        <v>45932</v>
      </c>
      <c r="E764" s="20"/>
      <c r="F764" s="7" t="s">
        <v>759</v>
      </c>
      <c r="G764" s="7" t="s">
        <v>149</v>
      </c>
      <c r="H764" s="7" t="s">
        <v>261</v>
      </c>
      <c r="I764" s="7" t="s">
        <v>262</v>
      </c>
      <c r="J764" s="7" t="s">
        <v>221</v>
      </c>
      <c r="K764" s="7" t="s">
        <v>260</v>
      </c>
      <c r="L764" s="7" t="s">
        <v>539</v>
      </c>
      <c r="M764" s="7" t="s">
        <v>538</v>
      </c>
      <c r="N764" s="16"/>
      <c r="O764" s="7"/>
      <c r="P764" s="22"/>
      <c r="Q764" s="8" t="n">
        <v>6508.08</v>
      </c>
      <c r="R764" s="8" t="n">
        <v>-6508.08</v>
      </c>
      <c r="S764" s="7" t="s">
        <v>751</v>
      </c>
      <c r="T764" s="7"/>
      <c r="U764" s="7" t="s">
        <v>2117</v>
      </c>
      <c r="V764" s="20" t="n">
        <v>45932</v>
      </c>
      <c r="W764" s="7" t="s">
        <v>938</v>
      </c>
      <c r="X764" s="7"/>
      <c r="Y764" s="7"/>
      <c r="Z764" s="7"/>
      <c r="AA764" s="23" t="n">
        <f aca="false">YEAR(C764)</f>
        <v>2025</v>
      </c>
    </row>
    <row r="765" customFormat="false" ht="15" hidden="false" customHeight="false" outlineLevel="0" collapsed="false">
      <c r="A765" s="7" t="s">
        <v>2118</v>
      </c>
      <c r="B765" s="7" t="s">
        <v>137</v>
      </c>
      <c r="C765" s="20" t="n">
        <v>45905</v>
      </c>
      <c r="D765" s="20" t="n">
        <v>45905</v>
      </c>
      <c r="E765" s="20"/>
      <c r="F765" s="7" t="s">
        <v>759</v>
      </c>
      <c r="G765" s="7" t="s">
        <v>149</v>
      </c>
      <c r="H765" s="7" t="s">
        <v>271</v>
      </c>
      <c r="I765" s="7" t="s">
        <v>272</v>
      </c>
      <c r="J765" s="7" t="s">
        <v>221</v>
      </c>
      <c r="K765" s="7" t="s">
        <v>270</v>
      </c>
      <c r="L765" s="7" t="s">
        <v>2119</v>
      </c>
      <c r="M765" s="7" t="s">
        <v>541</v>
      </c>
      <c r="N765" s="16"/>
      <c r="O765" s="7"/>
      <c r="P765" s="22"/>
      <c r="Q765" s="8" t="n">
        <v>822.38</v>
      </c>
      <c r="R765" s="8" t="n">
        <v>-822.38</v>
      </c>
      <c r="S765" s="7" t="s">
        <v>744</v>
      </c>
      <c r="T765" s="7"/>
      <c r="U765" s="7"/>
      <c r="V765" s="20"/>
      <c r="W765" s="7"/>
      <c r="X765" s="7"/>
      <c r="Y765" s="7"/>
      <c r="Z765" s="7"/>
      <c r="AA765" s="23" t="n">
        <f aca="false">YEAR(C765)</f>
        <v>2025</v>
      </c>
    </row>
    <row r="766" customFormat="false" ht="15" hidden="false" customHeight="false" outlineLevel="0" collapsed="false">
      <c r="A766" s="7" t="s">
        <v>2120</v>
      </c>
      <c r="B766" s="7" t="s">
        <v>137</v>
      </c>
      <c r="C766" s="20" t="n">
        <v>45905</v>
      </c>
      <c r="D766" s="20" t="n">
        <v>45905</v>
      </c>
      <c r="E766" s="20"/>
      <c r="F766" s="7" t="s">
        <v>759</v>
      </c>
      <c r="G766" s="7" t="s">
        <v>153</v>
      </c>
      <c r="H766" s="7" t="s">
        <v>271</v>
      </c>
      <c r="I766" s="7" t="s">
        <v>272</v>
      </c>
      <c r="J766" s="7" t="s">
        <v>221</v>
      </c>
      <c r="K766" s="7" t="s">
        <v>270</v>
      </c>
      <c r="L766" s="7" t="s">
        <v>544</v>
      </c>
      <c r="M766" s="7" t="s">
        <v>541</v>
      </c>
      <c r="N766" s="16"/>
      <c r="O766" s="7"/>
      <c r="P766" s="22"/>
      <c r="Q766" s="8" t="n">
        <v>548.25</v>
      </c>
      <c r="R766" s="8" t="n">
        <v>-548.25</v>
      </c>
      <c r="S766" s="7" t="s">
        <v>744</v>
      </c>
      <c r="T766" s="7"/>
      <c r="U766" s="7"/>
      <c r="V766" s="20"/>
      <c r="W766" s="7"/>
      <c r="X766" s="7"/>
      <c r="Y766" s="7"/>
      <c r="Z766" s="7"/>
      <c r="AA766" s="23" t="n">
        <f aca="false">YEAR(C766)</f>
        <v>2025</v>
      </c>
    </row>
    <row r="767" customFormat="false" ht="15" hidden="false" customHeight="false" outlineLevel="0" collapsed="false">
      <c r="A767" s="7" t="s">
        <v>2121</v>
      </c>
      <c r="B767" s="7" t="s">
        <v>137</v>
      </c>
      <c r="C767" s="20" t="n">
        <v>45905</v>
      </c>
      <c r="D767" s="20" t="n">
        <v>45945</v>
      </c>
      <c r="E767" s="20"/>
      <c r="F767" s="7" t="s">
        <v>759</v>
      </c>
      <c r="G767" s="7" t="s">
        <v>149</v>
      </c>
      <c r="H767" s="7" t="s">
        <v>273</v>
      </c>
      <c r="I767" s="7" t="s">
        <v>274</v>
      </c>
      <c r="J767" s="7" t="s">
        <v>221</v>
      </c>
      <c r="K767" s="7" t="s">
        <v>270</v>
      </c>
      <c r="L767" s="7" t="s">
        <v>554</v>
      </c>
      <c r="M767" s="7" t="s">
        <v>541</v>
      </c>
      <c r="N767" s="16"/>
      <c r="O767" s="7"/>
      <c r="P767" s="22"/>
      <c r="Q767" s="8" t="n">
        <v>120.62</v>
      </c>
      <c r="R767" s="8" t="n">
        <v>-120.62</v>
      </c>
      <c r="S767" s="7" t="s">
        <v>789</v>
      </c>
      <c r="T767" s="7"/>
      <c r="U767" s="7"/>
      <c r="V767" s="20"/>
      <c r="W767" s="7"/>
      <c r="X767" s="7"/>
      <c r="Y767" s="7"/>
      <c r="Z767" s="7"/>
      <c r="AA767" s="23" t="n">
        <f aca="false">YEAR(C767)</f>
        <v>2025</v>
      </c>
    </row>
    <row r="768" customFormat="false" ht="15" hidden="false" customHeight="false" outlineLevel="0" collapsed="false">
      <c r="A768" s="7" t="s">
        <v>2122</v>
      </c>
      <c r="B768" s="7" t="s">
        <v>137</v>
      </c>
      <c r="C768" s="20" t="n">
        <v>45907</v>
      </c>
      <c r="D768" s="20" t="n">
        <v>45952</v>
      </c>
      <c r="E768" s="20"/>
      <c r="F768" s="7" t="s">
        <v>759</v>
      </c>
      <c r="G768" s="7" t="s">
        <v>149</v>
      </c>
      <c r="H768" s="7" t="s">
        <v>284</v>
      </c>
      <c r="I768" s="7" t="s">
        <v>285</v>
      </c>
      <c r="J768" s="7" t="s">
        <v>221</v>
      </c>
      <c r="K768" s="7" t="s">
        <v>283</v>
      </c>
      <c r="L768" s="7" t="s">
        <v>569</v>
      </c>
      <c r="M768" s="7"/>
      <c r="N768" s="16"/>
      <c r="O768" s="7"/>
      <c r="P768" s="22"/>
      <c r="Q768" s="8" t="n">
        <v>2150</v>
      </c>
      <c r="R768" s="8" t="n">
        <v>-2150</v>
      </c>
      <c r="S768" s="7" t="s">
        <v>765</v>
      </c>
      <c r="T768" s="7"/>
      <c r="U768" s="7"/>
      <c r="V768" s="20"/>
      <c r="W768" s="7"/>
      <c r="X768" s="7"/>
      <c r="Y768" s="7"/>
      <c r="Z768" s="7"/>
      <c r="AA768" s="23" t="n">
        <f aca="false">YEAR(C768)</f>
        <v>2025</v>
      </c>
    </row>
    <row r="769" customFormat="false" ht="15" hidden="false" customHeight="false" outlineLevel="0" collapsed="false">
      <c r="A769" s="7" t="s">
        <v>2123</v>
      </c>
      <c r="B769" s="7" t="s">
        <v>137</v>
      </c>
      <c r="C769" s="20" t="n">
        <v>45908</v>
      </c>
      <c r="D769" s="20" t="n">
        <v>45952</v>
      </c>
      <c r="E769" s="20"/>
      <c r="F769" s="7" t="s">
        <v>759</v>
      </c>
      <c r="G769" s="7" t="s">
        <v>153</v>
      </c>
      <c r="H769" s="7" t="s">
        <v>244</v>
      </c>
      <c r="I769" s="7" t="s">
        <v>245</v>
      </c>
      <c r="J769" s="7" t="s">
        <v>229</v>
      </c>
      <c r="K769" s="7" t="s">
        <v>233</v>
      </c>
      <c r="L769" s="7" t="s">
        <v>570</v>
      </c>
      <c r="M769" s="7"/>
      <c r="N769" s="16"/>
      <c r="O769" s="7"/>
      <c r="P769" s="22"/>
      <c r="Q769" s="8" t="n">
        <v>165</v>
      </c>
      <c r="R769" s="8" t="n">
        <v>-165</v>
      </c>
      <c r="S769" s="7" t="s">
        <v>765</v>
      </c>
      <c r="T769" s="7"/>
      <c r="U769" s="7"/>
      <c r="V769" s="20"/>
      <c r="W769" s="7"/>
      <c r="X769" s="7"/>
      <c r="Y769" s="7"/>
      <c r="Z769" s="7"/>
      <c r="AA769" s="23" t="n">
        <f aca="false">YEAR(C769)</f>
        <v>2025</v>
      </c>
    </row>
    <row r="770" customFormat="false" ht="15" hidden="false" customHeight="false" outlineLevel="0" collapsed="false">
      <c r="A770" s="7" t="s">
        <v>2124</v>
      </c>
      <c r="B770" s="7" t="s">
        <v>137</v>
      </c>
      <c r="C770" s="20" t="n">
        <v>45910</v>
      </c>
      <c r="D770" s="20" t="n">
        <v>45910</v>
      </c>
      <c r="E770" s="20"/>
      <c r="F770" s="7" t="s">
        <v>759</v>
      </c>
      <c r="G770" s="7" t="s">
        <v>153</v>
      </c>
      <c r="H770" s="7" t="s">
        <v>237</v>
      </c>
      <c r="I770" s="7" t="s">
        <v>238</v>
      </c>
      <c r="J770" s="7" t="s">
        <v>236</v>
      </c>
      <c r="K770" s="7" t="s">
        <v>189</v>
      </c>
      <c r="L770" s="7" t="s">
        <v>2125</v>
      </c>
      <c r="M770" s="7" t="s">
        <v>768</v>
      </c>
      <c r="N770" s="16"/>
      <c r="O770" s="7"/>
      <c r="P770" s="22"/>
      <c r="Q770" s="8" t="n">
        <v>26.98</v>
      </c>
      <c r="R770" s="8" t="n">
        <v>-26.98</v>
      </c>
      <c r="S770" s="7" t="s">
        <v>744</v>
      </c>
      <c r="T770" s="7"/>
      <c r="U770" s="7"/>
      <c r="V770" s="20"/>
      <c r="W770" s="7"/>
      <c r="X770" s="7" t="s">
        <v>769</v>
      </c>
      <c r="Y770" s="7"/>
      <c r="Z770" s="7"/>
      <c r="AA770" s="23" t="n">
        <f aca="false">YEAR(C770)</f>
        <v>2025</v>
      </c>
    </row>
    <row r="771" customFormat="false" ht="15" hidden="false" customHeight="false" outlineLevel="0" collapsed="false">
      <c r="A771" s="7" t="s">
        <v>2126</v>
      </c>
      <c r="B771" s="7" t="s">
        <v>137</v>
      </c>
      <c r="C771" s="20" t="n">
        <v>45910</v>
      </c>
      <c r="D771" s="20" t="n">
        <v>45910</v>
      </c>
      <c r="E771" s="20"/>
      <c r="F771" s="7" t="s">
        <v>759</v>
      </c>
      <c r="G771" s="7" t="s">
        <v>153</v>
      </c>
      <c r="H771" s="7" t="s">
        <v>559</v>
      </c>
      <c r="I771" s="7" t="s">
        <v>771</v>
      </c>
      <c r="J771" s="7" t="s">
        <v>761</v>
      </c>
      <c r="K771" s="7" t="s">
        <v>772</v>
      </c>
      <c r="L771" s="7" t="s">
        <v>2127</v>
      </c>
      <c r="M771" s="7" t="s">
        <v>768</v>
      </c>
      <c r="N771" s="16"/>
      <c r="O771" s="7"/>
      <c r="P771" s="22"/>
      <c r="Q771" s="8" t="n">
        <v>818.11</v>
      </c>
      <c r="R771" s="8" t="n">
        <v>-818.11</v>
      </c>
      <c r="S771" s="7" t="s">
        <v>744</v>
      </c>
      <c r="T771" s="7"/>
      <c r="U771" s="7"/>
      <c r="V771" s="20"/>
      <c r="W771" s="7"/>
      <c r="X771" s="7" t="s">
        <v>769</v>
      </c>
      <c r="Y771" s="7"/>
      <c r="Z771" s="7"/>
      <c r="AA771" s="23" t="n">
        <f aca="false">YEAR(C771)</f>
        <v>2025</v>
      </c>
    </row>
    <row r="772" customFormat="false" ht="15" hidden="false" customHeight="false" outlineLevel="0" collapsed="false">
      <c r="A772" s="7" t="s">
        <v>2128</v>
      </c>
      <c r="B772" s="7" t="s">
        <v>137</v>
      </c>
      <c r="C772" s="20" t="n">
        <v>45912</v>
      </c>
      <c r="D772" s="20" t="n">
        <v>45912</v>
      </c>
      <c r="E772" s="20"/>
      <c r="F772" s="7" t="s">
        <v>759</v>
      </c>
      <c r="G772" s="7" t="s">
        <v>153</v>
      </c>
      <c r="H772" s="7" t="s">
        <v>240</v>
      </c>
      <c r="I772" s="7" t="s">
        <v>239</v>
      </c>
      <c r="J772" s="7" t="s">
        <v>229</v>
      </c>
      <c r="K772" s="7" t="s">
        <v>239</v>
      </c>
      <c r="L772" s="7" t="s">
        <v>548</v>
      </c>
      <c r="M772" s="7" t="s">
        <v>547</v>
      </c>
      <c r="N772" s="16"/>
      <c r="O772" s="7"/>
      <c r="P772" s="22"/>
      <c r="Q772" s="8" t="n">
        <v>249.02</v>
      </c>
      <c r="R772" s="8" t="n">
        <v>-249.02</v>
      </c>
      <c r="S772" s="7" t="s">
        <v>775</v>
      </c>
      <c r="T772" s="7"/>
      <c r="U772" s="7"/>
      <c r="V772" s="20"/>
      <c r="W772" s="7"/>
      <c r="X772" s="7"/>
      <c r="Y772" s="7"/>
      <c r="Z772" s="7"/>
      <c r="AA772" s="23" t="n">
        <f aca="false">YEAR(C772)</f>
        <v>2025</v>
      </c>
    </row>
    <row r="773" customFormat="false" ht="15" hidden="false" customHeight="false" outlineLevel="0" collapsed="false">
      <c r="A773" s="7" t="s">
        <v>2129</v>
      </c>
      <c r="B773" s="7" t="s">
        <v>137</v>
      </c>
      <c r="C773" s="20" t="n">
        <v>45915</v>
      </c>
      <c r="D773" s="20" t="n">
        <v>45915</v>
      </c>
      <c r="E773" s="20"/>
      <c r="F773" s="7" t="s">
        <v>759</v>
      </c>
      <c r="G773" s="7" t="s">
        <v>153</v>
      </c>
      <c r="H773" s="7" t="s">
        <v>786</v>
      </c>
      <c r="I773" s="7" t="s">
        <v>787</v>
      </c>
      <c r="J773" s="7" t="s">
        <v>761</v>
      </c>
      <c r="K773" s="7" t="s">
        <v>762</v>
      </c>
      <c r="L773" s="7" t="s">
        <v>788</v>
      </c>
      <c r="M773" s="7"/>
      <c r="N773" s="16"/>
      <c r="O773" s="7"/>
      <c r="P773" s="22"/>
      <c r="Q773" s="8" t="n">
        <v>1500</v>
      </c>
      <c r="R773" s="8" t="n">
        <v>-1500</v>
      </c>
      <c r="S773" s="7" t="s">
        <v>789</v>
      </c>
      <c r="T773" s="7"/>
      <c r="U773" s="7"/>
      <c r="V773" s="20"/>
      <c r="W773" s="7"/>
      <c r="X773" s="7"/>
      <c r="Y773" s="7"/>
      <c r="Z773" s="7"/>
      <c r="AA773" s="23" t="n">
        <f aca="false">YEAR(C773)</f>
        <v>2025</v>
      </c>
    </row>
    <row r="774" customFormat="false" ht="15" hidden="false" customHeight="false" outlineLevel="0" collapsed="false">
      <c r="A774" s="7" t="s">
        <v>2130</v>
      </c>
      <c r="B774" s="7" t="s">
        <v>137</v>
      </c>
      <c r="C774" s="20" t="n">
        <v>45916</v>
      </c>
      <c r="D774" s="20" t="n">
        <v>45916</v>
      </c>
      <c r="E774" s="20"/>
      <c r="F774" s="7" t="s">
        <v>759</v>
      </c>
      <c r="G774" s="7" t="s">
        <v>149</v>
      </c>
      <c r="H774" s="7" t="s">
        <v>237</v>
      </c>
      <c r="I774" s="7" t="s">
        <v>238</v>
      </c>
      <c r="J774" s="7" t="s">
        <v>236</v>
      </c>
      <c r="K774" s="7" t="s">
        <v>189</v>
      </c>
      <c r="L774" s="7" t="s">
        <v>2131</v>
      </c>
      <c r="M774" s="7" t="s">
        <v>556</v>
      </c>
      <c r="N774" s="16"/>
      <c r="O774" s="7"/>
      <c r="P774" s="22"/>
      <c r="Q774" s="8" t="n">
        <v>337.74</v>
      </c>
      <c r="R774" s="8" t="n">
        <v>-337.74</v>
      </c>
      <c r="S774" s="7" t="s">
        <v>744</v>
      </c>
      <c r="T774" s="7"/>
      <c r="U774" s="7"/>
      <c r="V774" s="20"/>
      <c r="W774" s="7"/>
      <c r="X774" s="7" t="s">
        <v>1552</v>
      </c>
      <c r="Y774" s="7"/>
      <c r="Z774" s="7"/>
      <c r="AA774" s="23" t="n">
        <f aca="false">YEAR(C774)</f>
        <v>2025</v>
      </c>
    </row>
    <row r="775" customFormat="false" ht="15" hidden="false" customHeight="false" outlineLevel="0" collapsed="false">
      <c r="A775" s="7" t="s">
        <v>2132</v>
      </c>
      <c r="B775" s="7" t="s">
        <v>137</v>
      </c>
      <c r="C775" s="20" t="n">
        <v>45916</v>
      </c>
      <c r="D775" s="20" t="n">
        <v>45916</v>
      </c>
      <c r="E775" s="20"/>
      <c r="F775" s="7" t="s">
        <v>759</v>
      </c>
      <c r="G775" s="7" t="s">
        <v>149</v>
      </c>
      <c r="H775" s="7" t="s">
        <v>559</v>
      </c>
      <c r="I775" s="7" t="s">
        <v>771</v>
      </c>
      <c r="J775" s="7" t="s">
        <v>761</v>
      </c>
      <c r="K775" s="7" t="s">
        <v>772</v>
      </c>
      <c r="L775" s="7" t="s">
        <v>2133</v>
      </c>
      <c r="M775" s="7" t="s">
        <v>556</v>
      </c>
      <c r="N775" s="16"/>
      <c r="O775" s="7"/>
      <c r="P775" s="22"/>
      <c r="Q775" s="8" t="n">
        <v>1394.75</v>
      </c>
      <c r="R775" s="8" t="n">
        <v>-1394.75</v>
      </c>
      <c r="S775" s="7" t="s">
        <v>744</v>
      </c>
      <c r="T775" s="7"/>
      <c r="U775" s="7"/>
      <c r="V775" s="20"/>
      <c r="W775" s="7"/>
      <c r="X775" s="7" t="s">
        <v>1552</v>
      </c>
      <c r="Y775" s="7"/>
      <c r="Z775" s="7"/>
      <c r="AA775" s="23" t="n">
        <f aca="false">YEAR(C775)</f>
        <v>2025</v>
      </c>
    </row>
    <row r="776" customFormat="false" ht="15" hidden="false" customHeight="false" outlineLevel="0" collapsed="false">
      <c r="A776" s="7" t="s">
        <v>2134</v>
      </c>
      <c r="B776" s="7" t="s">
        <v>137</v>
      </c>
      <c r="C776" s="20" t="n">
        <v>45916</v>
      </c>
      <c r="D776" s="20" t="n">
        <v>45946</v>
      </c>
      <c r="E776" s="20"/>
      <c r="F776" s="7" t="s">
        <v>759</v>
      </c>
      <c r="G776" s="7" t="s">
        <v>149</v>
      </c>
      <c r="H776" s="7" t="s">
        <v>261</v>
      </c>
      <c r="I776" s="7" t="s">
        <v>262</v>
      </c>
      <c r="J776" s="7" t="s">
        <v>221</v>
      </c>
      <c r="K776" s="7" t="s">
        <v>260</v>
      </c>
      <c r="L776" s="7" t="s">
        <v>553</v>
      </c>
      <c r="M776" s="7" t="s">
        <v>538</v>
      </c>
      <c r="N776" s="16"/>
      <c r="O776" s="7"/>
      <c r="P776" s="22"/>
      <c r="Q776" s="8" t="n">
        <v>6149.52</v>
      </c>
      <c r="R776" s="8" t="n">
        <v>-6149.52</v>
      </c>
      <c r="S776" s="7" t="s">
        <v>751</v>
      </c>
      <c r="T776" s="7"/>
      <c r="U776" s="7" t="s">
        <v>2135</v>
      </c>
      <c r="V776" s="20" t="n">
        <v>45946</v>
      </c>
      <c r="W776" s="7" t="s">
        <v>938</v>
      </c>
      <c r="X776" s="7"/>
      <c r="Y776" s="7"/>
      <c r="Z776" s="7"/>
      <c r="AA776" s="23" t="n">
        <f aca="false">YEAR(C776)</f>
        <v>2025</v>
      </c>
    </row>
    <row r="777" customFormat="false" ht="15" hidden="false" customHeight="false" outlineLevel="0" collapsed="false">
      <c r="A777" s="7" t="s">
        <v>2136</v>
      </c>
      <c r="B777" s="7" t="s">
        <v>137</v>
      </c>
      <c r="C777" s="20" t="n">
        <v>45919</v>
      </c>
      <c r="D777" s="20" t="n">
        <v>45919</v>
      </c>
      <c r="E777" s="20"/>
      <c r="F777" s="7" t="s">
        <v>759</v>
      </c>
      <c r="G777" s="7" t="s">
        <v>149</v>
      </c>
      <c r="H777" s="7" t="s">
        <v>271</v>
      </c>
      <c r="I777" s="7" t="s">
        <v>272</v>
      </c>
      <c r="J777" s="7" t="s">
        <v>221</v>
      </c>
      <c r="K777" s="7" t="s">
        <v>270</v>
      </c>
      <c r="L777" s="7" t="s">
        <v>957</v>
      </c>
      <c r="M777" s="7" t="s">
        <v>541</v>
      </c>
      <c r="N777" s="16"/>
      <c r="O777" s="7"/>
      <c r="P777" s="22"/>
      <c r="Q777" s="8" t="n">
        <v>1396.93</v>
      </c>
      <c r="R777" s="8" t="n">
        <v>-1396.93</v>
      </c>
      <c r="S777" s="7" t="s">
        <v>744</v>
      </c>
      <c r="T777" s="7"/>
      <c r="U777" s="7"/>
      <c r="V777" s="20"/>
      <c r="W777" s="7"/>
      <c r="X777" s="7"/>
      <c r="Y777" s="7"/>
      <c r="Z777" s="7"/>
      <c r="AA777" s="23" t="n">
        <f aca="false">YEAR(C777)</f>
        <v>2025</v>
      </c>
    </row>
    <row r="778" customFormat="false" ht="15" hidden="false" customHeight="false" outlineLevel="0" collapsed="false">
      <c r="A778" s="7" t="s">
        <v>2137</v>
      </c>
      <c r="B778" s="7" t="s">
        <v>137</v>
      </c>
      <c r="C778" s="20" t="n">
        <v>45919</v>
      </c>
      <c r="D778" s="20" t="n">
        <v>45919</v>
      </c>
      <c r="E778" s="20"/>
      <c r="F778" s="7" t="s">
        <v>759</v>
      </c>
      <c r="G778" s="7" t="s">
        <v>153</v>
      </c>
      <c r="H778" s="7" t="s">
        <v>271</v>
      </c>
      <c r="I778" s="7" t="s">
        <v>272</v>
      </c>
      <c r="J778" s="7" t="s">
        <v>221</v>
      </c>
      <c r="K778" s="7" t="s">
        <v>270</v>
      </c>
      <c r="L778" s="7" t="s">
        <v>544</v>
      </c>
      <c r="M778" s="7" t="s">
        <v>541</v>
      </c>
      <c r="N778" s="16"/>
      <c r="O778" s="7"/>
      <c r="P778" s="22"/>
      <c r="Q778" s="8" t="n">
        <v>931.29</v>
      </c>
      <c r="R778" s="8" t="n">
        <v>-931.29</v>
      </c>
      <c r="S778" s="7" t="s">
        <v>744</v>
      </c>
      <c r="T778" s="7"/>
      <c r="U778" s="7"/>
      <c r="V778" s="20"/>
      <c r="W778" s="7"/>
      <c r="X778" s="7"/>
      <c r="Y778" s="7"/>
      <c r="Z778" s="7"/>
      <c r="AA778" s="23" t="n">
        <f aca="false">YEAR(C778)</f>
        <v>2025</v>
      </c>
    </row>
    <row r="779" customFormat="false" ht="15" hidden="false" customHeight="false" outlineLevel="0" collapsed="false">
      <c r="A779" s="7" t="s">
        <v>2138</v>
      </c>
      <c r="B779" s="7" t="s">
        <v>137</v>
      </c>
      <c r="C779" s="20" t="n">
        <v>45919</v>
      </c>
      <c r="D779" s="20" t="n">
        <v>45945</v>
      </c>
      <c r="E779" s="20"/>
      <c r="F779" s="7" t="s">
        <v>759</v>
      </c>
      <c r="G779" s="7" t="s">
        <v>149</v>
      </c>
      <c r="H779" s="7" t="s">
        <v>273</v>
      </c>
      <c r="I779" s="7" t="s">
        <v>274</v>
      </c>
      <c r="J779" s="7" t="s">
        <v>221</v>
      </c>
      <c r="K779" s="7" t="s">
        <v>270</v>
      </c>
      <c r="L779" s="7" t="s">
        <v>554</v>
      </c>
      <c r="M779" s="7" t="s">
        <v>541</v>
      </c>
      <c r="N779" s="16"/>
      <c r="O779" s="7"/>
      <c r="P779" s="22"/>
      <c r="Q779" s="8" t="n">
        <v>204.88</v>
      </c>
      <c r="R779" s="8" t="n">
        <v>-204.88</v>
      </c>
      <c r="S779" s="7" t="s">
        <v>789</v>
      </c>
      <c r="T779" s="7"/>
      <c r="U779" s="7"/>
      <c r="V779" s="20"/>
      <c r="W779" s="7"/>
      <c r="X779" s="7"/>
      <c r="Y779" s="7"/>
      <c r="Z779" s="7"/>
      <c r="AA779" s="23" t="n">
        <f aca="false">YEAR(C779)</f>
        <v>2025</v>
      </c>
    </row>
    <row r="780" customFormat="false" ht="15" hidden="false" customHeight="false" outlineLevel="0" collapsed="false">
      <c r="A780" s="7" t="s">
        <v>2139</v>
      </c>
      <c r="B780" s="7" t="s">
        <v>137</v>
      </c>
      <c r="C780" s="20" t="n">
        <v>45921</v>
      </c>
      <c r="D780" s="20" t="n">
        <v>45952</v>
      </c>
      <c r="E780" s="20"/>
      <c r="F780" s="7" t="s">
        <v>759</v>
      </c>
      <c r="G780" s="7" t="s">
        <v>149</v>
      </c>
      <c r="H780" s="7" t="s">
        <v>284</v>
      </c>
      <c r="I780" s="7" t="s">
        <v>285</v>
      </c>
      <c r="J780" s="7" t="s">
        <v>221</v>
      </c>
      <c r="K780" s="7" t="s">
        <v>283</v>
      </c>
      <c r="L780" s="7" t="s">
        <v>568</v>
      </c>
      <c r="M780" s="7"/>
      <c r="N780" s="16"/>
      <c r="O780" s="7"/>
      <c r="P780" s="22"/>
      <c r="Q780" s="8" t="n">
        <v>2150</v>
      </c>
      <c r="R780" s="8" t="n">
        <v>-2150</v>
      </c>
      <c r="S780" s="7" t="s">
        <v>765</v>
      </c>
      <c r="T780" s="7"/>
      <c r="U780" s="7"/>
      <c r="V780" s="20"/>
      <c r="W780" s="7"/>
      <c r="X780" s="7"/>
      <c r="Y780" s="7"/>
      <c r="Z780" s="7"/>
      <c r="AA780" s="23" t="n">
        <f aca="false">YEAR(C780)</f>
        <v>2025</v>
      </c>
    </row>
    <row r="781" customFormat="false" ht="15" hidden="false" customHeight="false" outlineLevel="0" collapsed="false">
      <c r="A781" s="7" t="s">
        <v>2140</v>
      </c>
      <c r="B781" s="7" t="s">
        <v>137</v>
      </c>
      <c r="C781" s="20" t="n">
        <v>45926</v>
      </c>
      <c r="D781" s="20" t="n">
        <v>45952</v>
      </c>
      <c r="E781" s="20"/>
      <c r="F781" s="7" t="s">
        <v>759</v>
      </c>
      <c r="G781" s="7" t="s">
        <v>153</v>
      </c>
      <c r="H781" s="7" t="s">
        <v>242</v>
      </c>
      <c r="I781" s="7" t="s">
        <v>243</v>
      </c>
      <c r="J781" s="7" t="s">
        <v>229</v>
      </c>
      <c r="K781" s="7" t="s">
        <v>241</v>
      </c>
      <c r="L781" s="7" t="s">
        <v>571</v>
      </c>
      <c r="M781" s="7"/>
      <c r="N781" s="16"/>
      <c r="O781" s="7"/>
      <c r="P781" s="22"/>
      <c r="Q781" s="8" t="n">
        <v>342.47</v>
      </c>
      <c r="R781" s="8" t="n">
        <v>-342.47</v>
      </c>
      <c r="S781" s="7" t="s">
        <v>765</v>
      </c>
      <c r="T781" s="7"/>
      <c r="U781" s="7"/>
      <c r="V781" s="20"/>
      <c r="W781" s="7"/>
      <c r="X781" s="7"/>
      <c r="Y781" s="7"/>
      <c r="Z781" s="7"/>
      <c r="AA781" s="23" t="n">
        <f aca="false">YEAR(C781)</f>
        <v>2025</v>
      </c>
    </row>
    <row r="782" customFormat="false" ht="15" hidden="false" customHeight="false" outlineLevel="0" collapsed="false">
      <c r="A782" s="7" t="s">
        <v>2141</v>
      </c>
      <c r="B782" s="7" t="s">
        <v>137</v>
      </c>
      <c r="C782" s="20" t="n">
        <v>45930</v>
      </c>
      <c r="D782" s="20" t="n">
        <v>45930</v>
      </c>
      <c r="E782" s="20"/>
      <c r="F782" s="7" t="s">
        <v>759</v>
      </c>
      <c r="G782" s="7" t="s">
        <v>136</v>
      </c>
      <c r="H782" s="7" t="s">
        <v>223</v>
      </c>
      <c r="I782" s="7" t="s">
        <v>224</v>
      </c>
      <c r="J782" s="7" t="s">
        <v>221</v>
      </c>
      <c r="K782" s="7" t="s">
        <v>222</v>
      </c>
      <c r="L782" s="7" t="s">
        <v>1113</v>
      </c>
      <c r="M782" s="7" t="s">
        <v>1114</v>
      </c>
      <c r="N782" s="16" t="n">
        <v>96</v>
      </c>
      <c r="O782" s="7" t="s">
        <v>801</v>
      </c>
      <c r="P782" s="22" t="n">
        <v>1.33</v>
      </c>
      <c r="Q782" s="8" t="n">
        <v>127.2</v>
      </c>
      <c r="R782" s="8" t="n">
        <v>-127.2</v>
      </c>
      <c r="S782" s="7" t="s">
        <v>33</v>
      </c>
      <c r="T782" s="7"/>
      <c r="U782" s="7"/>
      <c r="V782" s="20"/>
      <c r="W782" s="7"/>
      <c r="X782" s="7"/>
      <c r="Y782" s="7" t="s">
        <v>722</v>
      </c>
      <c r="Z782" s="7"/>
      <c r="AA782" s="23" t="n">
        <f aca="false">YEAR(C782)</f>
        <v>2025</v>
      </c>
    </row>
    <row r="783" customFormat="false" ht="15" hidden="false" customHeight="false" outlineLevel="0" collapsed="false">
      <c r="A783" s="7" t="s">
        <v>2142</v>
      </c>
      <c r="B783" s="7" t="s">
        <v>137</v>
      </c>
      <c r="C783" s="20" t="n">
        <v>45930</v>
      </c>
      <c r="D783" s="20" t="n">
        <v>45930</v>
      </c>
      <c r="E783" s="20"/>
      <c r="F783" s="7" t="s">
        <v>759</v>
      </c>
      <c r="G783" s="7" t="s">
        <v>153</v>
      </c>
      <c r="H783" s="7" t="s">
        <v>246</v>
      </c>
      <c r="I783" s="7" t="s">
        <v>247</v>
      </c>
      <c r="J783" s="7" t="s">
        <v>236</v>
      </c>
      <c r="K783" s="7" t="s">
        <v>189</v>
      </c>
      <c r="L783" s="7" t="s">
        <v>2143</v>
      </c>
      <c r="M783" s="7" t="s">
        <v>556</v>
      </c>
      <c r="N783" s="16"/>
      <c r="O783" s="7"/>
      <c r="P783" s="22"/>
      <c r="Q783" s="8" t="n">
        <v>1498.56</v>
      </c>
      <c r="R783" s="8" t="n">
        <v>-1498.56</v>
      </c>
      <c r="S783" s="7" t="s">
        <v>775</v>
      </c>
      <c r="T783" s="7"/>
      <c r="U783" s="7"/>
      <c r="V783" s="20"/>
      <c r="W783" s="7"/>
      <c r="X783" s="7" t="s">
        <v>784</v>
      </c>
      <c r="Y783" s="7"/>
      <c r="Z783" s="7"/>
      <c r="AA783" s="23" t="n">
        <f aca="false">YEAR(C783)</f>
        <v>2025</v>
      </c>
    </row>
    <row r="784" customFormat="false" ht="15" hidden="false" customHeight="false" outlineLevel="0" collapsed="false">
      <c r="A784" s="7" t="s">
        <v>2144</v>
      </c>
      <c r="B784" s="7" t="s">
        <v>137</v>
      </c>
      <c r="C784" s="20" t="n">
        <v>45931</v>
      </c>
      <c r="D784" s="20" t="n">
        <v>45931</v>
      </c>
      <c r="E784" s="20"/>
      <c r="F784" s="7" t="s">
        <v>759</v>
      </c>
      <c r="G784" s="7" t="s">
        <v>153</v>
      </c>
      <c r="H784" s="7" t="s">
        <v>545</v>
      </c>
      <c r="I784" s="7" t="s">
        <v>760</v>
      </c>
      <c r="J784" s="7" t="s">
        <v>761</v>
      </c>
      <c r="K784" s="7" t="s">
        <v>762</v>
      </c>
      <c r="L784" s="7" t="s">
        <v>546</v>
      </c>
      <c r="M784" s="7"/>
      <c r="N784" s="16"/>
      <c r="O784" s="7"/>
      <c r="P784" s="22"/>
      <c r="Q784" s="8" t="n">
        <v>4200</v>
      </c>
      <c r="R784" s="8" t="n">
        <v>-4200</v>
      </c>
      <c r="S784" s="7" t="s">
        <v>763</v>
      </c>
      <c r="T784" s="7"/>
      <c r="U784" s="7"/>
      <c r="V784" s="20"/>
      <c r="W784" s="7"/>
      <c r="X784" s="7"/>
      <c r="Y784" s="7"/>
      <c r="Z784" s="7"/>
      <c r="AA784" s="23" t="n">
        <f aca="false">YEAR(C784)</f>
        <v>2025</v>
      </c>
    </row>
    <row r="785" customFormat="false" ht="15" hidden="false" customHeight="false" outlineLevel="0" collapsed="false">
      <c r="A785" s="7" t="s">
        <v>2145</v>
      </c>
      <c r="B785" s="7" t="s">
        <v>137</v>
      </c>
      <c r="C785" s="20" t="n">
        <v>45933</v>
      </c>
      <c r="D785" s="20" t="n">
        <v>45933</v>
      </c>
      <c r="E785" s="20"/>
      <c r="F785" s="7" t="s">
        <v>759</v>
      </c>
      <c r="G785" s="7" t="s">
        <v>149</v>
      </c>
      <c r="H785" s="7" t="s">
        <v>271</v>
      </c>
      <c r="I785" s="7" t="s">
        <v>272</v>
      </c>
      <c r="J785" s="7" t="s">
        <v>221</v>
      </c>
      <c r="K785" s="7" t="s">
        <v>270</v>
      </c>
      <c r="L785" s="7" t="s">
        <v>2146</v>
      </c>
      <c r="M785" s="7" t="s">
        <v>541</v>
      </c>
      <c r="N785" s="16"/>
      <c r="O785" s="7"/>
      <c r="P785" s="22"/>
      <c r="Q785" s="8" t="n">
        <v>1319.36</v>
      </c>
      <c r="R785" s="8" t="n">
        <v>-1319.36</v>
      </c>
      <c r="S785" s="7" t="s">
        <v>744</v>
      </c>
      <c r="T785" s="7"/>
      <c r="U785" s="7"/>
      <c r="V785" s="20"/>
      <c r="W785" s="7"/>
      <c r="X785" s="7"/>
      <c r="Y785" s="7"/>
      <c r="Z785" s="7"/>
      <c r="AA785" s="23" t="n">
        <f aca="false">YEAR(C785)</f>
        <v>2025</v>
      </c>
    </row>
    <row r="786" customFormat="false" ht="15" hidden="false" customHeight="false" outlineLevel="0" collapsed="false">
      <c r="A786" s="7" t="s">
        <v>2147</v>
      </c>
      <c r="B786" s="7" t="s">
        <v>137</v>
      </c>
      <c r="C786" s="20" t="n">
        <v>45933</v>
      </c>
      <c r="D786" s="20" t="n">
        <v>45933</v>
      </c>
      <c r="E786" s="20"/>
      <c r="F786" s="7" t="s">
        <v>759</v>
      </c>
      <c r="G786" s="7" t="s">
        <v>153</v>
      </c>
      <c r="H786" s="7" t="s">
        <v>271</v>
      </c>
      <c r="I786" s="7" t="s">
        <v>272</v>
      </c>
      <c r="J786" s="7" t="s">
        <v>221</v>
      </c>
      <c r="K786" s="7" t="s">
        <v>270</v>
      </c>
      <c r="L786" s="7" t="s">
        <v>544</v>
      </c>
      <c r="M786" s="7" t="s">
        <v>541</v>
      </c>
      <c r="N786" s="16"/>
      <c r="O786" s="7"/>
      <c r="P786" s="22"/>
      <c r="Q786" s="8" t="n">
        <v>879.58</v>
      </c>
      <c r="R786" s="8" t="n">
        <v>-879.58</v>
      </c>
      <c r="S786" s="7" t="s">
        <v>744</v>
      </c>
      <c r="T786" s="7"/>
      <c r="U786" s="7"/>
      <c r="V786" s="20"/>
      <c r="W786" s="7"/>
      <c r="X786" s="7"/>
      <c r="Y786" s="7"/>
      <c r="Z786" s="7"/>
      <c r="AA786" s="23" t="n">
        <f aca="false">YEAR(C786)</f>
        <v>2025</v>
      </c>
    </row>
    <row r="787" customFormat="false" ht="15" hidden="false" customHeight="false" outlineLevel="0" collapsed="false">
      <c r="A787" s="7" t="s">
        <v>2148</v>
      </c>
      <c r="B787" s="7" t="s">
        <v>137</v>
      </c>
      <c r="C787" s="20" t="n">
        <v>45933</v>
      </c>
      <c r="D787" s="20" t="n">
        <v>45976</v>
      </c>
      <c r="E787" s="20"/>
      <c r="F787" s="7" t="s">
        <v>759</v>
      </c>
      <c r="G787" s="7" t="s">
        <v>149</v>
      </c>
      <c r="H787" s="7" t="s">
        <v>273</v>
      </c>
      <c r="I787" s="7" t="s">
        <v>274</v>
      </c>
      <c r="J787" s="7" t="s">
        <v>221</v>
      </c>
      <c r="K787" s="7" t="s">
        <v>270</v>
      </c>
      <c r="L787" s="7" t="s">
        <v>554</v>
      </c>
      <c r="M787" s="7" t="s">
        <v>541</v>
      </c>
      <c r="N787" s="16"/>
      <c r="O787" s="7"/>
      <c r="P787" s="22"/>
      <c r="Q787" s="8" t="n">
        <v>193.51</v>
      </c>
      <c r="R787" s="8" t="n">
        <v>-193.51</v>
      </c>
      <c r="S787" s="7" t="s">
        <v>789</v>
      </c>
      <c r="T787" s="7"/>
      <c r="U787" s="7"/>
      <c r="V787" s="20"/>
      <c r="W787" s="7"/>
      <c r="X787" s="7"/>
      <c r="Y787" s="7"/>
      <c r="Z787" s="7"/>
      <c r="AA787" s="23" t="n">
        <f aca="false">YEAR(C787)</f>
        <v>2025</v>
      </c>
    </row>
    <row r="788" customFormat="false" ht="15" hidden="false" customHeight="false" outlineLevel="0" collapsed="false">
      <c r="A788" s="7" t="s">
        <v>2149</v>
      </c>
      <c r="B788" s="7" t="s">
        <v>137</v>
      </c>
      <c r="C788" s="20" t="n">
        <v>45936</v>
      </c>
      <c r="D788" s="20" t="n">
        <v>45966</v>
      </c>
      <c r="E788" s="20"/>
      <c r="F788" s="7" t="s">
        <v>759</v>
      </c>
      <c r="G788" s="7" t="s">
        <v>141</v>
      </c>
      <c r="H788" s="7" t="s">
        <v>268</v>
      </c>
      <c r="I788" s="7" t="s">
        <v>269</v>
      </c>
      <c r="J788" s="7" t="s">
        <v>221</v>
      </c>
      <c r="K788" s="7" t="s">
        <v>267</v>
      </c>
      <c r="L788" s="7" t="s">
        <v>564</v>
      </c>
      <c r="M788" s="7" t="s">
        <v>563</v>
      </c>
      <c r="N788" s="16"/>
      <c r="O788" s="7"/>
      <c r="P788" s="22"/>
      <c r="Q788" s="8" t="n">
        <v>1309</v>
      </c>
      <c r="R788" s="8" t="n">
        <v>-1309</v>
      </c>
      <c r="S788" s="7" t="s">
        <v>751</v>
      </c>
      <c r="T788" s="7"/>
      <c r="U788" s="7" t="s">
        <v>2150</v>
      </c>
      <c r="V788" s="20" t="n">
        <v>45966</v>
      </c>
      <c r="W788" s="7"/>
      <c r="X788" s="7"/>
      <c r="Y788" s="7" t="s">
        <v>710</v>
      </c>
      <c r="Z788" s="7"/>
      <c r="AA788" s="23" t="n">
        <f aca="false">YEAR(C788)</f>
        <v>2025</v>
      </c>
    </row>
    <row r="789" customFormat="false" ht="15" hidden="false" customHeight="false" outlineLevel="0" collapsed="false">
      <c r="A789" s="7" t="s">
        <v>2151</v>
      </c>
      <c r="B789" s="7" t="s">
        <v>137</v>
      </c>
      <c r="C789" s="20" t="n">
        <v>45936</v>
      </c>
      <c r="D789" s="20" t="n">
        <v>45966</v>
      </c>
      <c r="E789" s="20"/>
      <c r="F789" s="7" t="s">
        <v>759</v>
      </c>
      <c r="G789" s="7" t="s">
        <v>149</v>
      </c>
      <c r="H789" s="7" t="s">
        <v>261</v>
      </c>
      <c r="I789" s="7" t="s">
        <v>262</v>
      </c>
      <c r="J789" s="7" t="s">
        <v>221</v>
      </c>
      <c r="K789" s="7" t="s">
        <v>260</v>
      </c>
      <c r="L789" s="7" t="s">
        <v>579</v>
      </c>
      <c r="M789" s="7" t="s">
        <v>538</v>
      </c>
      <c r="N789" s="16"/>
      <c r="O789" s="7"/>
      <c r="P789" s="22"/>
      <c r="Q789" s="8" t="n">
        <v>1099.1</v>
      </c>
      <c r="R789" s="8" t="n">
        <v>-1099.1</v>
      </c>
      <c r="S789" s="7" t="s">
        <v>751</v>
      </c>
      <c r="T789" s="7"/>
      <c r="U789" s="7" t="s">
        <v>2152</v>
      </c>
      <c r="V789" s="20" t="n">
        <v>45966</v>
      </c>
      <c r="W789" s="7" t="s">
        <v>1561</v>
      </c>
      <c r="X789" s="7"/>
      <c r="Y789" s="7"/>
      <c r="Z789" s="7"/>
      <c r="AA789" s="23" t="n">
        <f aca="false">YEAR(C789)</f>
        <v>2025</v>
      </c>
    </row>
    <row r="790" customFormat="false" ht="15" hidden="false" customHeight="false" outlineLevel="0" collapsed="false">
      <c r="A790" s="7" t="s">
        <v>2153</v>
      </c>
      <c r="B790" s="7" t="s">
        <v>137</v>
      </c>
      <c r="C790" s="20" t="n">
        <v>45937</v>
      </c>
      <c r="D790" s="20" t="n">
        <v>45987</v>
      </c>
      <c r="E790" s="20"/>
      <c r="F790" s="7" t="s">
        <v>759</v>
      </c>
      <c r="G790" s="7" t="s">
        <v>149</v>
      </c>
      <c r="H790" s="7" t="s">
        <v>279</v>
      </c>
      <c r="I790" s="7" t="s">
        <v>280</v>
      </c>
      <c r="J790" s="7" t="s">
        <v>248</v>
      </c>
      <c r="K790" s="7" t="s">
        <v>278</v>
      </c>
      <c r="L790" s="7" t="s">
        <v>2154</v>
      </c>
      <c r="M790" s="7" t="s">
        <v>593</v>
      </c>
      <c r="N790" s="16" t="n">
        <v>169</v>
      </c>
      <c r="O790" s="7" t="s">
        <v>801</v>
      </c>
      <c r="P790" s="22" t="n">
        <v>47</v>
      </c>
      <c r="Q790" s="8" t="n">
        <v>7943</v>
      </c>
      <c r="R790" s="8" t="n">
        <v>7943</v>
      </c>
      <c r="S790" s="7" t="s">
        <v>33</v>
      </c>
      <c r="T790" s="7" t="s">
        <v>2155</v>
      </c>
      <c r="U790" s="7"/>
      <c r="V790" s="20" t="n">
        <v>45967</v>
      </c>
      <c r="W790" s="7"/>
      <c r="X790" s="7"/>
      <c r="Y790" s="7"/>
      <c r="Z790" s="7"/>
      <c r="AA790" s="23" t="n">
        <f aca="false">YEAR(C790)</f>
        <v>2025</v>
      </c>
    </row>
    <row r="791" customFormat="false" ht="15" hidden="false" customHeight="false" outlineLevel="0" collapsed="false">
      <c r="A791" s="7" t="s">
        <v>2156</v>
      </c>
      <c r="B791" s="7" t="s">
        <v>137</v>
      </c>
      <c r="C791" s="20" t="n">
        <v>45937</v>
      </c>
      <c r="D791" s="20" t="n">
        <v>45987</v>
      </c>
      <c r="E791" s="20"/>
      <c r="F791" s="7" t="s">
        <v>759</v>
      </c>
      <c r="G791" s="7" t="s">
        <v>149</v>
      </c>
      <c r="H791" s="7" t="s">
        <v>281</v>
      </c>
      <c r="I791" s="7" t="s">
        <v>282</v>
      </c>
      <c r="J791" s="7" t="s">
        <v>248</v>
      </c>
      <c r="K791" s="7" t="s">
        <v>278</v>
      </c>
      <c r="L791" s="7" t="s">
        <v>2157</v>
      </c>
      <c r="M791" s="7" t="s">
        <v>593</v>
      </c>
      <c r="N791" s="16" t="n">
        <v>20914</v>
      </c>
      <c r="O791" s="7" t="s">
        <v>798</v>
      </c>
      <c r="P791" s="22" t="n">
        <v>0.2</v>
      </c>
      <c r="Q791" s="8" t="n">
        <v>4182.75</v>
      </c>
      <c r="R791" s="8" t="n">
        <v>4182.75</v>
      </c>
      <c r="S791" s="7" t="s">
        <v>33</v>
      </c>
      <c r="T791" s="7" t="s">
        <v>2155</v>
      </c>
      <c r="U791" s="7"/>
      <c r="V791" s="20" t="n">
        <v>45967</v>
      </c>
      <c r="W791" s="7"/>
      <c r="X791" s="7"/>
      <c r="Y791" s="7"/>
      <c r="Z791" s="7"/>
      <c r="AA791" s="23" t="n">
        <f aca="false">YEAR(C791)</f>
        <v>2025</v>
      </c>
    </row>
    <row r="792" customFormat="false" ht="15" hidden="false" customHeight="false" outlineLevel="0" collapsed="false">
      <c r="A792" s="7" t="s">
        <v>2158</v>
      </c>
      <c r="B792" s="7" t="s">
        <v>137</v>
      </c>
      <c r="C792" s="20" t="n">
        <v>45938</v>
      </c>
      <c r="D792" s="20" t="n">
        <v>45971</v>
      </c>
      <c r="E792" s="20"/>
      <c r="F792" s="7" t="s">
        <v>759</v>
      </c>
      <c r="G792" s="7" t="s">
        <v>149</v>
      </c>
      <c r="H792" s="7" t="s">
        <v>279</v>
      </c>
      <c r="I792" s="7" t="s">
        <v>280</v>
      </c>
      <c r="J792" s="7" t="s">
        <v>248</v>
      </c>
      <c r="K792" s="7" t="s">
        <v>278</v>
      </c>
      <c r="L792" s="7" t="s">
        <v>2159</v>
      </c>
      <c r="M792" s="7" t="s">
        <v>603</v>
      </c>
      <c r="N792" s="16" t="n">
        <v>127</v>
      </c>
      <c r="O792" s="7" t="s">
        <v>801</v>
      </c>
      <c r="P792" s="22" t="n">
        <v>47</v>
      </c>
      <c r="Q792" s="8" t="n">
        <v>5969</v>
      </c>
      <c r="R792" s="8" t="n">
        <v>5969</v>
      </c>
      <c r="S792" s="7" t="s">
        <v>33</v>
      </c>
      <c r="T792" s="7" t="s">
        <v>2160</v>
      </c>
      <c r="U792" s="7"/>
      <c r="V792" s="20" t="n">
        <v>45968</v>
      </c>
      <c r="W792" s="7"/>
      <c r="X792" s="7"/>
      <c r="Y792" s="7"/>
      <c r="Z792" s="7"/>
      <c r="AA792" s="23" t="n">
        <f aca="false">YEAR(C792)</f>
        <v>2025</v>
      </c>
    </row>
    <row r="793" customFormat="false" ht="15" hidden="false" customHeight="false" outlineLevel="0" collapsed="false">
      <c r="A793" s="7" t="s">
        <v>2161</v>
      </c>
      <c r="B793" s="7" t="s">
        <v>137</v>
      </c>
      <c r="C793" s="20" t="n">
        <v>45938</v>
      </c>
      <c r="D793" s="20" t="n">
        <v>45971</v>
      </c>
      <c r="E793" s="20"/>
      <c r="F793" s="7" t="s">
        <v>759</v>
      </c>
      <c r="G793" s="7" t="s">
        <v>149</v>
      </c>
      <c r="H793" s="7" t="s">
        <v>281</v>
      </c>
      <c r="I793" s="7" t="s">
        <v>282</v>
      </c>
      <c r="J793" s="7" t="s">
        <v>248</v>
      </c>
      <c r="K793" s="7" t="s">
        <v>278</v>
      </c>
      <c r="L793" s="7" t="s">
        <v>2162</v>
      </c>
      <c r="M793" s="7" t="s">
        <v>603</v>
      </c>
      <c r="N793" s="16" t="n">
        <v>15716</v>
      </c>
      <c r="O793" s="7" t="s">
        <v>798</v>
      </c>
      <c r="P793" s="22" t="n">
        <v>0.2</v>
      </c>
      <c r="Q793" s="8" t="n">
        <v>3143.25</v>
      </c>
      <c r="R793" s="8" t="n">
        <v>3143.25</v>
      </c>
      <c r="S793" s="7" t="s">
        <v>33</v>
      </c>
      <c r="T793" s="7" t="s">
        <v>2160</v>
      </c>
      <c r="U793" s="7"/>
      <c r="V793" s="20" t="n">
        <v>45968</v>
      </c>
      <c r="W793" s="7"/>
      <c r="X793" s="7"/>
      <c r="Y793" s="7"/>
      <c r="Z793" s="7"/>
      <c r="AA793" s="23" t="n">
        <f aca="false">YEAR(C793)</f>
        <v>2025</v>
      </c>
    </row>
    <row r="794" customFormat="false" ht="15" hidden="false" customHeight="false" outlineLevel="0" collapsed="false">
      <c r="A794" s="7" t="s">
        <v>2163</v>
      </c>
      <c r="B794" s="7" t="s">
        <v>137</v>
      </c>
      <c r="C794" s="20" t="n">
        <v>45938</v>
      </c>
      <c r="D794" s="20" t="n">
        <v>45981</v>
      </c>
      <c r="E794" s="20"/>
      <c r="F794" s="7" t="s">
        <v>759</v>
      </c>
      <c r="G794" s="7" t="s">
        <v>149</v>
      </c>
      <c r="H794" s="7" t="s">
        <v>279</v>
      </c>
      <c r="I794" s="7" t="s">
        <v>280</v>
      </c>
      <c r="J794" s="7" t="s">
        <v>248</v>
      </c>
      <c r="K794" s="7" t="s">
        <v>278</v>
      </c>
      <c r="L794" s="7" t="s">
        <v>2164</v>
      </c>
      <c r="M794" s="7" t="s">
        <v>593</v>
      </c>
      <c r="N794" s="16" t="n">
        <v>163</v>
      </c>
      <c r="O794" s="7" t="s">
        <v>801</v>
      </c>
      <c r="P794" s="22" t="n">
        <v>43</v>
      </c>
      <c r="Q794" s="8" t="n">
        <v>7009</v>
      </c>
      <c r="R794" s="8" t="n">
        <v>7009</v>
      </c>
      <c r="S794" s="7" t="s">
        <v>33</v>
      </c>
      <c r="T794" s="7" t="s">
        <v>2165</v>
      </c>
      <c r="U794" s="7"/>
      <c r="V794" s="20" t="n">
        <v>45968</v>
      </c>
      <c r="W794" s="7"/>
      <c r="X794" s="7"/>
      <c r="Y794" s="7"/>
      <c r="Z794" s="7"/>
      <c r="AA794" s="23" t="n">
        <f aca="false">YEAR(C794)</f>
        <v>2025</v>
      </c>
    </row>
    <row r="795" customFormat="false" ht="15" hidden="false" customHeight="false" outlineLevel="0" collapsed="false">
      <c r="A795" s="7" t="s">
        <v>2166</v>
      </c>
      <c r="B795" s="7" t="s">
        <v>137</v>
      </c>
      <c r="C795" s="20" t="n">
        <v>45938</v>
      </c>
      <c r="D795" s="20" t="n">
        <v>45981</v>
      </c>
      <c r="E795" s="20"/>
      <c r="F795" s="7" t="s">
        <v>759</v>
      </c>
      <c r="G795" s="7" t="s">
        <v>149</v>
      </c>
      <c r="H795" s="7" t="s">
        <v>281</v>
      </c>
      <c r="I795" s="7" t="s">
        <v>282</v>
      </c>
      <c r="J795" s="7" t="s">
        <v>248</v>
      </c>
      <c r="K795" s="7" t="s">
        <v>278</v>
      </c>
      <c r="L795" s="7" t="s">
        <v>2167</v>
      </c>
      <c r="M795" s="7" t="s">
        <v>593</v>
      </c>
      <c r="N795" s="16" t="n">
        <v>5624</v>
      </c>
      <c r="O795" s="7" t="s">
        <v>798</v>
      </c>
      <c r="P795" s="22" t="n">
        <v>0.2</v>
      </c>
      <c r="Q795" s="8" t="n">
        <v>1124.7</v>
      </c>
      <c r="R795" s="8" t="n">
        <v>1124.7</v>
      </c>
      <c r="S795" s="7" t="s">
        <v>33</v>
      </c>
      <c r="T795" s="7" t="s">
        <v>2165</v>
      </c>
      <c r="U795" s="7"/>
      <c r="V795" s="20" t="n">
        <v>45968</v>
      </c>
      <c r="W795" s="7"/>
      <c r="X795" s="7"/>
      <c r="Y795" s="7"/>
      <c r="Z795" s="7"/>
      <c r="AA795" s="23" t="n">
        <f aca="false">YEAR(C795)</f>
        <v>2025</v>
      </c>
    </row>
    <row r="796" customFormat="false" ht="15" hidden="false" customHeight="false" outlineLevel="0" collapsed="false">
      <c r="A796" s="7" t="s">
        <v>2168</v>
      </c>
      <c r="B796" s="7" t="s">
        <v>137</v>
      </c>
      <c r="C796" s="20" t="n">
        <v>45938</v>
      </c>
      <c r="D796" s="20" t="n">
        <v>45983</v>
      </c>
      <c r="E796" s="20"/>
      <c r="F796" s="7" t="s">
        <v>759</v>
      </c>
      <c r="G796" s="7" t="s">
        <v>153</v>
      </c>
      <c r="H796" s="7" t="s">
        <v>244</v>
      </c>
      <c r="I796" s="7" t="s">
        <v>245</v>
      </c>
      <c r="J796" s="7" t="s">
        <v>229</v>
      </c>
      <c r="K796" s="7" t="s">
        <v>233</v>
      </c>
      <c r="L796" s="7" t="s">
        <v>570</v>
      </c>
      <c r="M796" s="7"/>
      <c r="N796" s="16"/>
      <c r="O796" s="7"/>
      <c r="P796" s="22"/>
      <c r="Q796" s="8" t="n">
        <v>165</v>
      </c>
      <c r="R796" s="8" t="n">
        <v>-165</v>
      </c>
      <c r="S796" s="7" t="s">
        <v>765</v>
      </c>
      <c r="T796" s="7"/>
      <c r="U796" s="7"/>
      <c r="V796" s="20"/>
      <c r="W796" s="7"/>
      <c r="X796" s="7"/>
      <c r="Y796" s="7"/>
      <c r="Z796" s="7"/>
      <c r="AA796" s="23" t="n">
        <f aca="false">YEAR(C796)</f>
        <v>2025</v>
      </c>
    </row>
    <row r="797" customFormat="false" ht="15" hidden="false" customHeight="false" outlineLevel="0" collapsed="false">
      <c r="A797" s="7" t="s">
        <v>2169</v>
      </c>
      <c r="B797" s="7" t="s">
        <v>137</v>
      </c>
      <c r="C797" s="20" t="n">
        <v>45938</v>
      </c>
      <c r="D797" s="20" t="n">
        <v>45994</v>
      </c>
      <c r="E797" s="20"/>
      <c r="F797" s="7" t="s">
        <v>759</v>
      </c>
      <c r="G797" s="7" t="s">
        <v>149</v>
      </c>
      <c r="H797" s="7" t="s">
        <v>279</v>
      </c>
      <c r="I797" s="7" t="s">
        <v>280</v>
      </c>
      <c r="J797" s="7" t="s">
        <v>248</v>
      </c>
      <c r="K797" s="7" t="s">
        <v>278</v>
      </c>
      <c r="L797" s="7" t="s">
        <v>2170</v>
      </c>
      <c r="M797" s="7" t="s">
        <v>1016</v>
      </c>
      <c r="N797" s="16" t="n">
        <v>108</v>
      </c>
      <c r="O797" s="7" t="s">
        <v>801</v>
      </c>
      <c r="P797" s="22" t="n">
        <v>43</v>
      </c>
      <c r="Q797" s="8" t="n">
        <v>4644</v>
      </c>
      <c r="R797" s="8" t="n">
        <v>4644</v>
      </c>
      <c r="S797" s="7" t="s">
        <v>33</v>
      </c>
      <c r="T797" s="7" t="s">
        <v>2171</v>
      </c>
      <c r="U797" s="7"/>
      <c r="V797" s="20" t="n">
        <v>45968</v>
      </c>
      <c r="W797" s="7"/>
      <c r="X797" s="7"/>
      <c r="Y797" s="7"/>
      <c r="Z797" s="7"/>
      <c r="AA797" s="23" t="n">
        <f aca="false">YEAR(C797)</f>
        <v>2025</v>
      </c>
    </row>
    <row r="798" customFormat="false" ht="15" hidden="false" customHeight="false" outlineLevel="0" collapsed="false">
      <c r="A798" s="7" t="s">
        <v>2172</v>
      </c>
      <c r="B798" s="7" t="s">
        <v>137</v>
      </c>
      <c r="C798" s="20" t="n">
        <v>45938</v>
      </c>
      <c r="D798" s="20" t="n">
        <v>45994</v>
      </c>
      <c r="E798" s="20"/>
      <c r="F798" s="7" t="s">
        <v>759</v>
      </c>
      <c r="G798" s="7" t="s">
        <v>149</v>
      </c>
      <c r="H798" s="7" t="s">
        <v>281</v>
      </c>
      <c r="I798" s="7" t="s">
        <v>282</v>
      </c>
      <c r="J798" s="7" t="s">
        <v>248</v>
      </c>
      <c r="K798" s="7" t="s">
        <v>278</v>
      </c>
      <c r="L798" s="7" t="s">
        <v>2173</v>
      </c>
      <c r="M798" s="7" t="s">
        <v>1016</v>
      </c>
      <c r="N798" s="16" t="n">
        <v>3726</v>
      </c>
      <c r="O798" s="7" t="s">
        <v>798</v>
      </c>
      <c r="P798" s="22" t="n">
        <v>0.2</v>
      </c>
      <c r="Q798" s="8" t="n">
        <v>745.2</v>
      </c>
      <c r="R798" s="8" t="n">
        <v>745.2</v>
      </c>
      <c r="S798" s="7" t="s">
        <v>33</v>
      </c>
      <c r="T798" s="7" t="s">
        <v>2171</v>
      </c>
      <c r="U798" s="7"/>
      <c r="V798" s="20" t="n">
        <v>45968</v>
      </c>
      <c r="W798" s="7"/>
      <c r="X798" s="7"/>
      <c r="Y798" s="7"/>
      <c r="Z798" s="7"/>
      <c r="AA798" s="23" t="n">
        <f aca="false">YEAR(C798)</f>
        <v>2025</v>
      </c>
    </row>
    <row r="799" customFormat="false" ht="15" hidden="false" customHeight="false" outlineLevel="0" collapsed="false">
      <c r="A799" s="7" t="s">
        <v>2174</v>
      </c>
      <c r="B799" s="7" t="s">
        <v>137</v>
      </c>
      <c r="C799" s="20" t="n">
        <v>45939</v>
      </c>
      <c r="D799" s="20" t="n">
        <v>45943</v>
      </c>
      <c r="E799" s="20"/>
      <c r="F799" s="7" t="s">
        <v>759</v>
      </c>
      <c r="G799" s="7" t="s">
        <v>141</v>
      </c>
      <c r="H799" s="7" t="s">
        <v>250</v>
      </c>
      <c r="I799" s="7" t="s">
        <v>251</v>
      </c>
      <c r="J799" s="7" t="s">
        <v>248</v>
      </c>
      <c r="K799" s="7" t="s">
        <v>249</v>
      </c>
      <c r="L799" s="7" t="s">
        <v>2175</v>
      </c>
      <c r="M799" s="7" t="s">
        <v>549</v>
      </c>
      <c r="N799" s="16" t="n">
        <v>10106</v>
      </c>
      <c r="O799" s="7" t="s">
        <v>798</v>
      </c>
      <c r="P799" s="22" t="n">
        <v>3.88</v>
      </c>
      <c r="Q799" s="8" t="n">
        <v>39211.28</v>
      </c>
      <c r="R799" s="8" t="n">
        <v>39211.28</v>
      </c>
      <c r="S799" s="7" t="s">
        <v>33</v>
      </c>
      <c r="T799" s="7" t="s">
        <v>2176</v>
      </c>
      <c r="U799" s="7"/>
      <c r="V799" s="20" t="n">
        <v>45939</v>
      </c>
      <c r="W799" s="7"/>
      <c r="X799" s="7"/>
      <c r="Y799" s="7" t="s">
        <v>710</v>
      </c>
      <c r="Z799" s="7"/>
      <c r="AA799" s="23" t="n">
        <f aca="false">YEAR(C799)</f>
        <v>2025</v>
      </c>
    </row>
    <row r="800" customFormat="false" ht="15" hidden="false" customHeight="false" outlineLevel="0" collapsed="false">
      <c r="A800" s="7" t="s">
        <v>2177</v>
      </c>
      <c r="B800" s="7" t="s">
        <v>137</v>
      </c>
      <c r="C800" s="20" t="n">
        <v>45940</v>
      </c>
      <c r="D800" s="20" t="n">
        <v>45940</v>
      </c>
      <c r="E800" s="20"/>
      <c r="F800" s="7" t="s">
        <v>759</v>
      </c>
      <c r="G800" s="7" t="s">
        <v>153</v>
      </c>
      <c r="H800" s="7" t="s">
        <v>237</v>
      </c>
      <c r="I800" s="7" t="s">
        <v>238</v>
      </c>
      <c r="J800" s="7" t="s">
        <v>236</v>
      </c>
      <c r="K800" s="7" t="s">
        <v>189</v>
      </c>
      <c r="L800" s="7" t="s">
        <v>2178</v>
      </c>
      <c r="M800" s="7" t="s">
        <v>768</v>
      </c>
      <c r="N800" s="16"/>
      <c r="O800" s="7"/>
      <c r="P800" s="22"/>
      <c r="Q800" s="8" t="n">
        <v>24.32</v>
      </c>
      <c r="R800" s="8" t="n">
        <v>-24.32</v>
      </c>
      <c r="S800" s="7" t="s">
        <v>744</v>
      </c>
      <c r="T800" s="7"/>
      <c r="U800" s="7"/>
      <c r="V800" s="20"/>
      <c r="W800" s="7"/>
      <c r="X800" s="7" t="s">
        <v>769</v>
      </c>
      <c r="Y800" s="7"/>
      <c r="Z800" s="7"/>
      <c r="AA800" s="23" t="n">
        <f aca="false">YEAR(C800)</f>
        <v>2025</v>
      </c>
    </row>
    <row r="801" customFormat="false" ht="15" hidden="false" customHeight="false" outlineLevel="0" collapsed="false">
      <c r="A801" s="7" t="s">
        <v>2179</v>
      </c>
      <c r="B801" s="7" t="s">
        <v>137</v>
      </c>
      <c r="C801" s="20" t="n">
        <v>45940</v>
      </c>
      <c r="D801" s="20" t="n">
        <v>45940</v>
      </c>
      <c r="E801" s="20"/>
      <c r="F801" s="7" t="s">
        <v>759</v>
      </c>
      <c r="G801" s="7" t="s">
        <v>153</v>
      </c>
      <c r="H801" s="7" t="s">
        <v>559</v>
      </c>
      <c r="I801" s="7" t="s">
        <v>771</v>
      </c>
      <c r="J801" s="7" t="s">
        <v>761</v>
      </c>
      <c r="K801" s="7" t="s">
        <v>772</v>
      </c>
      <c r="L801" s="7" t="s">
        <v>2180</v>
      </c>
      <c r="M801" s="7" t="s">
        <v>768</v>
      </c>
      <c r="N801" s="16"/>
      <c r="O801" s="7"/>
      <c r="P801" s="22"/>
      <c r="Q801" s="8" t="n">
        <v>820.77</v>
      </c>
      <c r="R801" s="8" t="n">
        <v>-820.77</v>
      </c>
      <c r="S801" s="7" t="s">
        <v>744</v>
      </c>
      <c r="T801" s="7"/>
      <c r="U801" s="7"/>
      <c r="V801" s="20"/>
      <c r="W801" s="7"/>
      <c r="X801" s="7" t="s">
        <v>769</v>
      </c>
      <c r="Y801" s="7"/>
      <c r="Z801" s="7"/>
      <c r="AA801" s="23" t="n">
        <f aca="false">YEAR(C801)</f>
        <v>2025</v>
      </c>
    </row>
    <row r="802" customFormat="false" ht="15" hidden="false" customHeight="false" outlineLevel="0" collapsed="false">
      <c r="A802" s="7" t="s">
        <v>2181</v>
      </c>
      <c r="B802" s="7" t="s">
        <v>137</v>
      </c>
      <c r="C802" s="20" t="n">
        <v>45940</v>
      </c>
      <c r="D802" s="20" t="n">
        <v>45999</v>
      </c>
      <c r="E802" s="20"/>
      <c r="F802" s="7" t="s">
        <v>759</v>
      </c>
      <c r="G802" s="7" t="s">
        <v>149</v>
      </c>
      <c r="H802" s="7" t="s">
        <v>279</v>
      </c>
      <c r="I802" s="7" t="s">
        <v>280</v>
      </c>
      <c r="J802" s="7" t="s">
        <v>248</v>
      </c>
      <c r="K802" s="7" t="s">
        <v>278</v>
      </c>
      <c r="L802" s="7" t="s">
        <v>2182</v>
      </c>
      <c r="M802" s="7" t="s">
        <v>600</v>
      </c>
      <c r="N802" s="16" t="n">
        <v>197</v>
      </c>
      <c r="O802" s="7" t="s">
        <v>801</v>
      </c>
      <c r="P802" s="22" t="n">
        <v>43</v>
      </c>
      <c r="Q802" s="8" t="n">
        <v>8471</v>
      </c>
      <c r="R802" s="8" t="n">
        <v>8471</v>
      </c>
      <c r="S802" s="7" t="s">
        <v>33</v>
      </c>
      <c r="T802" s="7" t="s">
        <v>2183</v>
      </c>
      <c r="U802" s="7"/>
      <c r="V802" s="20" t="n">
        <v>45970</v>
      </c>
      <c r="W802" s="7"/>
      <c r="X802" s="7"/>
      <c r="Y802" s="7"/>
      <c r="Z802" s="7"/>
      <c r="AA802" s="23" t="n">
        <f aca="false">YEAR(C802)</f>
        <v>2025</v>
      </c>
    </row>
    <row r="803" customFormat="false" ht="15" hidden="false" customHeight="false" outlineLevel="0" collapsed="false">
      <c r="A803" s="7" t="s">
        <v>2184</v>
      </c>
      <c r="B803" s="7" t="s">
        <v>137</v>
      </c>
      <c r="C803" s="20" t="n">
        <v>45940</v>
      </c>
      <c r="D803" s="20" t="n">
        <v>45999</v>
      </c>
      <c r="E803" s="20"/>
      <c r="F803" s="7" t="s">
        <v>759</v>
      </c>
      <c r="G803" s="7" t="s">
        <v>149</v>
      </c>
      <c r="H803" s="7" t="s">
        <v>281</v>
      </c>
      <c r="I803" s="7" t="s">
        <v>282</v>
      </c>
      <c r="J803" s="7" t="s">
        <v>248</v>
      </c>
      <c r="K803" s="7" t="s">
        <v>278</v>
      </c>
      <c r="L803" s="7" t="s">
        <v>2185</v>
      </c>
      <c r="M803" s="7" t="s">
        <v>600</v>
      </c>
      <c r="N803" s="16" t="n">
        <v>6796</v>
      </c>
      <c r="O803" s="7" t="s">
        <v>798</v>
      </c>
      <c r="P803" s="22" t="n">
        <v>0.2</v>
      </c>
      <c r="Q803" s="8" t="n">
        <v>1359.3</v>
      </c>
      <c r="R803" s="8" t="n">
        <v>1359.3</v>
      </c>
      <c r="S803" s="7" t="s">
        <v>33</v>
      </c>
      <c r="T803" s="7" t="s">
        <v>2183</v>
      </c>
      <c r="U803" s="7"/>
      <c r="V803" s="20" t="n">
        <v>45970</v>
      </c>
      <c r="W803" s="7"/>
      <c r="X803" s="7"/>
      <c r="Y803" s="7"/>
      <c r="Z803" s="7"/>
      <c r="AA803" s="23" t="n">
        <f aca="false">YEAR(C803)</f>
        <v>2025</v>
      </c>
    </row>
    <row r="804" customFormat="false" ht="15" hidden="false" customHeight="false" outlineLevel="0" collapsed="false">
      <c r="A804" s="7" t="s">
        <v>2186</v>
      </c>
      <c r="B804" s="7" t="s">
        <v>137</v>
      </c>
      <c r="C804" s="20" t="n">
        <v>45941</v>
      </c>
      <c r="D804" s="20" t="n">
        <v>45971</v>
      </c>
      <c r="E804" s="20"/>
      <c r="F804" s="7" t="s">
        <v>759</v>
      </c>
      <c r="G804" s="7" t="s">
        <v>149</v>
      </c>
      <c r="H804" s="7" t="s">
        <v>279</v>
      </c>
      <c r="I804" s="7" t="s">
        <v>280</v>
      </c>
      <c r="J804" s="7" t="s">
        <v>248</v>
      </c>
      <c r="K804" s="7" t="s">
        <v>278</v>
      </c>
      <c r="L804" s="7" t="s">
        <v>2187</v>
      </c>
      <c r="M804" s="7" t="s">
        <v>606</v>
      </c>
      <c r="N804" s="16" t="n">
        <v>109</v>
      </c>
      <c r="O804" s="7" t="s">
        <v>801</v>
      </c>
      <c r="P804" s="22" t="n">
        <v>47</v>
      </c>
      <c r="Q804" s="8" t="n">
        <v>5123</v>
      </c>
      <c r="R804" s="8" t="n">
        <v>5123</v>
      </c>
      <c r="S804" s="7" t="s">
        <v>33</v>
      </c>
      <c r="T804" s="7" t="s">
        <v>2188</v>
      </c>
      <c r="U804" s="7"/>
      <c r="V804" s="20" t="n">
        <v>45971</v>
      </c>
      <c r="W804" s="7"/>
      <c r="X804" s="7"/>
      <c r="Y804" s="7"/>
      <c r="Z804" s="7"/>
      <c r="AA804" s="23" t="n">
        <f aca="false">YEAR(C804)</f>
        <v>2025</v>
      </c>
    </row>
    <row r="805" customFormat="false" ht="15" hidden="false" customHeight="false" outlineLevel="0" collapsed="false">
      <c r="A805" s="7" t="s">
        <v>2189</v>
      </c>
      <c r="B805" s="7" t="s">
        <v>137</v>
      </c>
      <c r="C805" s="20" t="n">
        <v>45941</v>
      </c>
      <c r="D805" s="20" t="n">
        <v>45971</v>
      </c>
      <c r="E805" s="20"/>
      <c r="F805" s="7" t="s">
        <v>759</v>
      </c>
      <c r="G805" s="7" t="s">
        <v>149</v>
      </c>
      <c r="H805" s="7" t="s">
        <v>281</v>
      </c>
      <c r="I805" s="7" t="s">
        <v>282</v>
      </c>
      <c r="J805" s="7" t="s">
        <v>248</v>
      </c>
      <c r="K805" s="7" t="s">
        <v>278</v>
      </c>
      <c r="L805" s="7" t="s">
        <v>2190</v>
      </c>
      <c r="M805" s="7" t="s">
        <v>606</v>
      </c>
      <c r="N805" s="16" t="n">
        <v>13489</v>
      </c>
      <c r="O805" s="7" t="s">
        <v>798</v>
      </c>
      <c r="P805" s="22" t="n">
        <v>0.2</v>
      </c>
      <c r="Q805" s="8" t="n">
        <v>2697.75</v>
      </c>
      <c r="R805" s="8" t="n">
        <v>2697.75</v>
      </c>
      <c r="S805" s="7" t="s">
        <v>33</v>
      </c>
      <c r="T805" s="7" t="s">
        <v>2188</v>
      </c>
      <c r="U805" s="7"/>
      <c r="V805" s="20" t="n">
        <v>45971</v>
      </c>
      <c r="W805" s="7"/>
      <c r="X805" s="7"/>
      <c r="Y805" s="7"/>
      <c r="Z805" s="7"/>
      <c r="AA805" s="23" t="n">
        <f aca="false">YEAR(C805)</f>
        <v>2025</v>
      </c>
    </row>
    <row r="806" customFormat="false" ht="15" hidden="false" customHeight="false" outlineLevel="0" collapsed="false">
      <c r="A806" s="7" t="s">
        <v>2191</v>
      </c>
      <c r="B806" s="7" t="s">
        <v>137</v>
      </c>
      <c r="C806" s="20" t="n">
        <v>45941</v>
      </c>
      <c r="D806" s="20" t="n">
        <v>45971</v>
      </c>
      <c r="E806" s="20"/>
      <c r="F806" s="7" t="s">
        <v>759</v>
      </c>
      <c r="G806" s="7" t="s">
        <v>141</v>
      </c>
      <c r="H806" s="7" t="s">
        <v>261</v>
      </c>
      <c r="I806" s="7" t="s">
        <v>262</v>
      </c>
      <c r="J806" s="7" t="s">
        <v>221</v>
      </c>
      <c r="K806" s="7" t="s">
        <v>260</v>
      </c>
      <c r="L806" s="7" t="s">
        <v>565</v>
      </c>
      <c r="M806" s="7" t="s">
        <v>538</v>
      </c>
      <c r="N806" s="16"/>
      <c r="O806" s="7"/>
      <c r="P806" s="22"/>
      <c r="Q806" s="8" t="n">
        <v>3180</v>
      </c>
      <c r="R806" s="8" t="n">
        <v>-3180</v>
      </c>
      <c r="S806" s="7" t="s">
        <v>751</v>
      </c>
      <c r="T806" s="7"/>
      <c r="U806" s="7" t="s">
        <v>2192</v>
      </c>
      <c r="V806" s="20" t="n">
        <v>45971</v>
      </c>
      <c r="W806" s="7"/>
      <c r="X806" s="7"/>
      <c r="Y806" s="7" t="s">
        <v>710</v>
      </c>
      <c r="Z806" s="7"/>
      <c r="AA806" s="23" t="n">
        <f aca="false">YEAR(C806)</f>
        <v>2025</v>
      </c>
    </row>
    <row r="807" customFormat="false" ht="15" hidden="false" customHeight="false" outlineLevel="0" collapsed="false">
      <c r="A807" s="7" t="s">
        <v>2193</v>
      </c>
      <c r="B807" s="7" t="s">
        <v>137</v>
      </c>
      <c r="C807" s="20" t="n">
        <v>45941</v>
      </c>
      <c r="D807" s="20"/>
      <c r="E807" s="20" t="n">
        <v>46371</v>
      </c>
      <c r="F807" s="7" t="s">
        <v>759</v>
      </c>
      <c r="G807" s="7" t="s">
        <v>149</v>
      </c>
      <c r="H807" s="7" t="s">
        <v>279</v>
      </c>
      <c r="I807" s="7" t="s">
        <v>280</v>
      </c>
      <c r="J807" s="7" t="s">
        <v>248</v>
      </c>
      <c r="K807" s="7" t="s">
        <v>278</v>
      </c>
      <c r="L807" s="7" t="s">
        <v>619</v>
      </c>
      <c r="M807" s="7" t="s">
        <v>600</v>
      </c>
      <c r="N807" s="16" t="n">
        <v>179</v>
      </c>
      <c r="O807" s="7" t="s">
        <v>801</v>
      </c>
      <c r="P807" s="22" t="n">
        <v>47</v>
      </c>
      <c r="Q807" s="8" t="n">
        <v>8413</v>
      </c>
      <c r="R807" s="8" t="n">
        <v>0</v>
      </c>
      <c r="S807" s="7" t="s">
        <v>33</v>
      </c>
      <c r="T807" s="7" t="s">
        <v>2194</v>
      </c>
      <c r="U807" s="7"/>
      <c r="V807" s="20" t="n">
        <v>45971</v>
      </c>
      <c r="W807" s="7"/>
      <c r="X807" s="7"/>
      <c r="Y807" s="7"/>
      <c r="Z807" s="7"/>
      <c r="AA807" s="23" t="n">
        <f aca="false">YEAR(C807)</f>
        <v>2025</v>
      </c>
    </row>
    <row r="808" customFormat="false" ht="15" hidden="false" customHeight="false" outlineLevel="0" collapsed="false">
      <c r="A808" s="7" t="s">
        <v>2195</v>
      </c>
      <c r="B808" s="7" t="s">
        <v>137</v>
      </c>
      <c r="C808" s="20" t="n">
        <v>45941</v>
      </c>
      <c r="D808" s="20"/>
      <c r="E808" s="20" t="n">
        <v>46371</v>
      </c>
      <c r="F808" s="7" t="s">
        <v>759</v>
      </c>
      <c r="G808" s="7" t="s">
        <v>149</v>
      </c>
      <c r="H808" s="7" t="s">
        <v>281</v>
      </c>
      <c r="I808" s="7" t="s">
        <v>282</v>
      </c>
      <c r="J808" s="7" t="s">
        <v>248</v>
      </c>
      <c r="K808" s="7" t="s">
        <v>278</v>
      </c>
      <c r="L808" s="7" t="s">
        <v>620</v>
      </c>
      <c r="M808" s="7" t="s">
        <v>600</v>
      </c>
      <c r="N808" s="16" t="n">
        <v>22151</v>
      </c>
      <c r="O808" s="7" t="s">
        <v>798</v>
      </c>
      <c r="P808" s="22" t="n">
        <v>0.2</v>
      </c>
      <c r="Q808" s="8" t="n">
        <v>4430.25</v>
      </c>
      <c r="R808" s="8" t="n">
        <v>0</v>
      </c>
      <c r="S808" s="7" t="s">
        <v>33</v>
      </c>
      <c r="T808" s="7" t="s">
        <v>2194</v>
      </c>
      <c r="U808" s="7"/>
      <c r="V808" s="20" t="n">
        <v>45971</v>
      </c>
      <c r="W808" s="7"/>
      <c r="X808" s="7"/>
      <c r="Y808" s="7"/>
      <c r="Z808" s="7"/>
      <c r="AA808" s="23" t="n">
        <f aca="false">YEAR(C808)</f>
        <v>2025</v>
      </c>
    </row>
    <row r="809" customFormat="false" ht="15" hidden="false" customHeight="false" outlineLevel="0" collapsed="false">
      <c r="A809" s="7" t="s">
        <v>2196</v>
      </c>
      <c r="B809" s="7" t="s">
        <v>137</v>
      </c>
      <c r="C809" s="20" t="n">
        <v>45942</v>
      </c>
      <c r="D809" s="20" t="n">
        <v>45942</v>
      </c>
      <c r="E809" s="20"/>
      <c r="F809" s="7" t="s">
        <v>759</v>
      </c>
      <c r="G809" s="7" t="s">
        <v>153</v>
      </c>
      <c r="H809" s="7" t="s">
        <v>240</v>
      </c>
      <c r="I809" s="7" t="s">
        <v>239</v>
      </c>
      <c r="J809" s="7" t="s">
        <v>229</v>
      </c>
      <c r="K809" s="7" t="s">
        <v>239</v>
      </c>
      <c r="L809" s="7" t="s">
        <v>548</v>
      </c>
      <c r="M809" s="7" t="s">
        <v>547</v>
      </c>
      <c r="N809" s="16"/>
      <c r="O809" s="7"/>
      <c r="P809" s="22"/>
      <c r="Q809" s="8" t="n">
        <v>301</v>
      </c>
      <c r="R809" s="8" t="n">
        <v>-301</v>
      </c>
      <c r="S809" s="7" t="s">
        <v>775</v>
      </c>
      <c r="T809" s="7"/>
      <c r="U809" s="7"/>
      <c r="V809" s="20"/>
      <c r="W809" s="7"/>
      <c r="X809" s="7"/>
      <c r="Y809" s="7"/>
      <c r="Z809" s="7"/>
      <c r="AA809" s="23" t="n">
        <f aca="false">YEAR(C809)</f>
        <v>2025</v>
      </c>
    </row>
    <row r="810" customFormat="false" ht="15" hidden="false" customHeight="false" outlineLevel="0" collapsed="false">
      <c r="A810" s="7" t="s">
        <v>2197</v>
      </c>
      <c r="B810" s="7" t="s">
        <v>137</v>
      </c>
      <c r="C810" s="20" t="n">
        <v>45943</v>
      </c>
      <c r="D810" s="20" t="n">
        <v>45973</v>
      </c>
      <c r="E810" s="20"/>
      <c r="F810" s="7" t="s">
        <v>759</v>
      </c>
      <c r="G810" s="7" t="s">
        <v>144</v>
      </c>
      <c r="H810" s="7" t="s">
        <v>268</v>
      </c>
      <c r="I810" s="7" t="s">
        <v>269</v>
      </c>
      <c r="J810" s="7" t="s">
        <v>221</v>
      </c>
      <c r="K810" s="7" t="s">
        <v>267</v>
      </c>
      <c r="L810" s="7" t="s">
        <v>577</v>
      </c>
      <c r="M810" s="7" t="s">
        <v>563</v>
      </c>
      <c r="N810" s="16"/>
      <c r="O810" s="7"/>
      <c r="P810" s="22"/>
      <c r="Q810" s="8" t="n">
        <v>628.32</v>
      </c>
      <c r="R810" s="8" t="n">
        <v>-628.32</v>
      </c>
      <c r="S810" s="7" t="s">
        <v>751</v>
      </c>
      <c r="T810" s="7"/>
      <c r="U810" s="7" t="s">
        <v>2198</v>
      </c>
      <c r="V810" s="20" t="n">
        <v>45973</v>
      </c>
      <c r="W810" s="7"/>
      <c r="X810" s="7"/>
      <c r="Y810" s="7" t="s">
        <v>711</v>
      </c>
      <c r="Z810" s="7"/>
      <c r="AA810" s="23" t="n">
        <f aca="false">YEAR(C810)</f>
        <v>2025</v>
      </c>
    </row>
    <row r="811" customFormat="false" ht="15" hidden="false" customHeight="false" outlineLevel="0" collapsed="false">
      <c r="A811" s="7" t="s">
        <v>2199</v>
      </c>
      <c r="B811" s="7" t="s">
        <v>137</v>
      </c>
      <c r="C811" s="20" t="n">
        <v>45943</v>
      </c>
      <c r="D811" s="20" t="n">
        <v>45992</v>
      </c>
      <c r="E811" s="20"/>
      <c r="F811" s="7" t="s">
        <v>759</v>
      </c>
      <c r="G811" s="7" t="s">
        <v>149</v>
      </c>
      <c r="H811" s="7" t="s">
        <v>279</v>
      </c>
      <c r="I811" s="7" t="s">
        <v>280</v>
      </c>
      <c r="J811" s="7" t="s">
        <v>248</v>
      </c>
      <c r="K811" s="7" t="s">
        <v>278</v>
      </c>
      <c r="L811" s="7" t="s">
        <v>2200</v>
      </c>
      <c r="M811" s="7" t="s">
        <v>606</v>
      </c>
      <c r="N811" s="16" t="n">
        <v>123</v>
      </c>
      <c r="O811" s="7" t="s">
        <v>801</v>
      </c>
      <c r="P811" s="22" t="n">
        <v>43</v>
      </c>
      <c r="Q811" s="8" t="n">
        <v>5289</v>
      </c>
      <c r="R811" s="8" t="n">
        <v>5289</v>
      </c>
      <c r="S811" s="7" t="s">
        <v>33</v>
      </c>
      <c r="T811" s="7" t="s">
        <v>2201</v>
      </c>
      <c r="U811" s="7"/>
      <c r="V811" s="20" t="n">
        <v>45973</v>
      </c>
      <c r="W811" s="7"/>
      <c r="X811" s="7"/>
      <c r="Y811" s="7"/>
      <c r="Z811" s="7"/>
      <c r="AA811" s="23" t="n">
        <f aca="false">YEAR(C811)</f>
        <v>2025</v>
      </c>
    </row>
    <row r="812" customFormat="false" ht="15" hidden="false" customHeight="false" outlineLevel="0" collapsed="false">
      <c r="A812" s="7" t="s">
        <v>2202</v>
      </c>
      <c r="B812" s="7" t="s">
        <v>137</v>
      </c>
      <c r="C812" s="20" t="n">
        <v>45943</v>
      </c>
      <c r="D812" s="20" t="n">
        <v>45992</v>
      </c>
      <c r="E812" s="20"/>
      <c r="F812" s="7" t="s">
        <v>759</v>
      </c>
      <c r="G812" s="7" t="s">
        <v>149</v>
      </c>
      <c r="H812" s="7" t="s">
        <v>281</v>
      </c>
      <c r="I812" s="7" t="s">
        <v>282</v>
      </c>
      <c r="J812" s="7" t="s">
        <v>248</v>
      </c>
      <c r="K812" s="7" t="s">
        <v>278</v>
      </c>
      <c r="L812" s="7" t="s">
        <v>2203</v>
      </c>
      <c r="M812" s="7" t="s">
        <v>606</v>
      </c>
      <c r="N812" s="16" t="n">
        <v>4244</v>
      </c>
      <c r="O812" s="7" t="s">
        <v>798</v>
      </c>
      <c r="P812" s="22" t="n">
        <v>0.2</v>
      </c>
      <c r="Q812" s="8" t="n">
        <v>848.7</v>
      </c>
      <c r="R812" s="8" t="n">
        <v>848.7</v>
      </c>
      <c r="S812" s="7" t="s">
        <v>33</v>
      </c>
      <c r="T812" s="7" t="s">
        <v>2201</v>
      </c>
      <c r="U812" s="7"/>
      <c r="V812" s="20" t="n">
        <v>45973</v>
      </c>
      <c r="W812" s="7"/>
      <c r="X812" s="7"/>
      <c r="Y812" s="7"/>
      <c r="Z812" s="7"/>
      <c r="AA812" s="23" t="n">
        <f aca="false">YEAR(C812)</f>
        <v>2025</v>
      </c>
    </row>
    <row r="813" customFormat="false" ht="15" hidden="false" customHeight="false" outlineLevel="0" collapsed="false">
      <c r="A813" s="7" t="s">
        <v>2204</v>
      </c>
      <c r="B813" s="7" t="s">
        <v>137</v>
      </c>
      <c r="C813" s="20" t="n">
        <v>45943</v>
      </c>
      <c r="D813" s="20" t="n">
        <v>45999</v>
      </c>
      <c r="E813" s="20"/>
      <c r="F813" s="7" t="s">
        <v>759</v>
      </c>
      <c r="G813" s="7" t="s">
        <v>149</v>
      </c>
      <c r="H813" s="7" t="s">
        <v>279</v>
      </c>
      <c r="I813" s="7" t="s">
        <v>280</v>
      </c>
      <c r="J813" s="7" t="s">
        <v>248</v>
      </c>
      <c r="K813" s="7" t="s">
        <v>278</v>
      </c>
      <c r="L813" s="7" t="s">
        <v>2205</v>
      </c>
      <c r="M813" s="7" t="s">
        <v>583</v>
      </c>
      <c r="N813" s="16" t="n">
        <v>380</v>
      </c>
      <c r="O813" s="7" t="s">
        <v>801</v>
      </c>
      <c r="P813" s="22" t="n">
        <v>43</v>
      </c>
      <c r="Q813" s="8" t="n">
        <v>16340</v>
      </c>
      <c r="R813" s="8" t="n">
        <v>16340</v>
      </c>
      <c r="S813" s="7" t="s">
        <v>33</v>
      </c>
      <c r="T813" s="7" t="s">
        <v>2206</v>
      </c>
      <c r="U813" s="7"/>
      <c r="V813" s="20" t="n">
        <v>45973</v>
      </c>
      <c r="W813" s="7"/>
      <c r="X813" s="7"/>
      <c r="Y813" s="7"/>
      <c r="Z813" s="7"/>
      <c r="AA813" s="23" t="n">
        <f aca="false">YEAR(C813)</f>
        <v>2025</v>
      </c>
    </row>
    <row r="814" customFormat="false" ht="15" hidden="false" customHeight="false" outlineLevel="0" collapsed="false">
      <c r="A814" s="7" t="s">
        <v>2207</v>
      </c>
      <c r="B814" s="7" t="s">
        <v>137</v>
      </c>
      <c r="C814" s="20" t="n">
        <v>45943</v>
      </c>
      <c r="D814" s="20" t="n">
        <v>45999</v>
      </c>
      <c r="E814" s="20"/>
      <c r="F814" s="7" t="s">
        <v>759</v>
      </c>
      <c r="G814" s="7" t="s">
        <v>149</v>
      </c>
      <c r="H814" s="7" t="s">
        <v>281</v>
      </c>
      <c r="I814" s="7" t="s">
        <v>282</v>
      </c>
      <c r="J814" s="7" t="s">
        <v>248</v>
      </c>
      <c r="K814" s="7" t="s">
        <v>278</v>
      </c>
      <c r="L814" s="7" t="s">
        <v>2208</v>
      </c>
      <c r="M814" s="7" t="s">
        <v>583</v>
      </c>
      <c r="N814" s="16" t="n">
        <v>13110</v>
      </c>
      <c r="O814" s="7" t="s">
        <v>798</v>
      </c>
      <c r="P814" s="22" t="n">
        <v>0.2</v>
      </c>
      <c r="Q814" s="8" t="n">
        <v>2622</v>
      </c>
      <c r="R814" s="8" t="n">
        <v>2622</v>
      </c>
      <c r="S814" s="7" t="s">
        <v>33</v>
      </c>
      <c r="T814" s="7" t="s">
        <v>2206</v>
      </c>
      <c r="U814" s="7"/>
      <c r="V814" s="20" t="n">
        <v>45973</v>
      </c>
      <c r="W814" s="7"/>
      <c r="X814" s="7"/>
      <c r="Y814" s="7"/>
      <c r="Z814" s="7"/>
      <c r="AA814" s="23" t="n">
        <f aca="false">YEAR(C814)</f>
        <v>2025</v>
      </c>
    </row>
    <row r="815" customFormat="false" ht="15" hidden="false" customHeight="false" outlineLevel="0" collapsed="false">
      <c r="A815" s="7" t="s">
        <v>2209</v>
      </c>
      <c r="B815" s="7" t="s">
        <v>137</v>
      </c>
      <c r="C815" s="20" t="n">
        <v>45943</v>
      </c>
      <c r="D815" s="20" t="n">
        <v>46013</v>
      </c>
      <c r="E815" s="20"/>
      <c r="F815" s="7" t="s">
        <v>759</v>
      </c>
      <c r="G815" s="7" t="s">
        <v>149</v>
      </c>
      <c r="H815" s="7" t="s">
        <v>279</v>
      </c>
      <c r="I815" s="7" t="s">
        <v>280</v>
      </c>
      <c r="J815" s="7" t="s">
        <v>248</v>
      </c>
      <c r="K815" s="7" t="s">
        <v>278</v>
      </c>
      <c r="L815" s="7" t="s">
        <v>2210</v>
      </c>
      <c r="M815" s="7" t="s">
        <v>1016</v>
      </c>
      <c r="N815" s="16" t="n">
        <v>93</v>
      </c>
      <c r="O815" s="7" t="s">
        <v>801</v>
      </c>
      <c r="P815" s="22" t="n">
        <v>47</v>
      </c>
      <c r="Q815" s="8" t="n">
        <v>4371</v>
      </c>
      <c r="R815" s="8" t="n">
        <v>4371</v>
      </c>
      <c r="S815" s="7" t="s">
        <v>33</v>
      </c>
      <c r="T815" s="7" t="s">
        <v>2211</v>
      </c>
      <c r="U815" s="7"/>
      <c r="V815" s="20" t="n">
        <v>45973</v>
      </c>
      <c r="W815" s="7"/>
      <c r="X815" s="7"/>
      <c r="Y815" s="7"/>
      <c r="Z815" s="7"/>
      <c r="AA815" s="23" t="n">
        <f aca="false">YEAR(C815)</f>
        <v>2025</v>
      </c>
    </row>
    <row r="816" customFormat="false" ht="15" hidden="false" customHeight="false" outlineLevel="0" collapsed="false">
      <c r="A816" s="7" t="s">
        <v>2212</v>
      </c>
      <c r="B816" s="7" t="s">
        <v>137</v>
      </c>
      <c r="C816" s="20" t="n">
        <v>45943</v>
      </c>
      <c r="D816" s="20" t="n">
        <v>46013</v>
      </c>
      <c r="E816" s="20"/>
      <c r="F816" s="7" t="s">
        <v>759</v>
      </c>
      <c r="G816" s="7" t="s">
        <v>149</v>
      </c>
      <c r="H816" s="7" t="s">
        <v>281</v>
      </c>
      <c r="I816" s="7" t="s">
        <v>282</v>
      </c>
      <c r="J816" s="7" t="s">
        <v>248</v>
      </c>
      <c r="K816" s="7" t="s">
        <v>278</v>
      </c>
      <c r="L816" s="7" t="s">
        <v>2213</v>
      </c>
      <c r="M816" s="7" t="s">
        <v>1016</v>
      </c>
      <c r="N816" s="16" t="n">
        <v>11509</v>
      </c>
      <c r="O816" s="7" t="s">
        <v>798</v>
      </c>
      <c r="P816" s="22" t="n">
        <v>0.2</v>
      </c>
      <c r="Q816" s="8" t="n">
        <v>2301.75</v>
      </c>
      <c r="R816" s="8" t="n">
        <v>2301.75</v>
      </c>
      <c r="S816" s="7" t="s">
        <v>33</v>
      </c>
      <c r="T816" s="7" t="s">
        <v>2211</v>
      </c>
      <c r="U816" s="7"/>
      <c r="V816" s="20" t="n">
        <v>45973</v>
      </c>
      <c r="W816" s="7"/>
      <c r="X816" s="7"/>
      <c r="Y816" s="7"/>
      <c r="Z816" s="7"/>
      <c r="AA816" s="23" t="n">
        <f aca="false">YEAR(C816)</f>
        <v>2025</v>
      </c>
    </row>
    <row r="817" customFormat="false" ht="15" hidden="false" customHeight="false" outlineLevel="0" collapsed="false">
      <c r="A817" s="7" t="s">
        <v>2214</v>
      </c>
      <c r="B817" s="7" t="s">
        <v>137</v>
      </c>
      <c r="C817" s="20" t="n">
        <v>45944</v>
      </c>
      <c r="D817" s="20" t="n">
        <v>46000</v>
      </c>
      <c r="E817" s="20"/>
      <c r="F817" s="7" t="s">
        <v>759</v>
      </c>
      <c r="G817" s="7" t="s">
        <v>149</v>
      </c>
      <c r="H817" s="7" t="s">
        <v>279</v>
      </c>
      <c r="I817" s="7" t="s">
        <v>280</v>
      </c>
      <c r="J817" s="7" t="s">
        <v>248</v>
      </c>
      <c r="K817" s="7" t="s">
        <v>278</v>
      </c>
      <c r="L817" s="7" t="s">
        <v>2215</v>
      </c>
      <c r="M817" s="7" t="s">
        <v>583</v>
      </c>
      <c r="N817" s="16" t="n">
        <v>356</v>
      </c>
      <c r="O817" s="7" t="s">
        <v>801</v>
      </c>
      <c r="P817" s="22" t="n">
        <v>47</v>
      </c>
      <c r="Q817" s="8" t="n">
        <v>16732</v>
      </c>
      <c r="R817" s="8" t="n">
        <v>16732</v>
      </c>
      <c r="S817" s="7" t="s">
        <v>33</v>
      </c>
      <c r="T817" s="7" t="s">
        <v>2216</v>
      </c>
      <c r="U817" s="7"/>
      <c r="V817" s="20" t="n">
        <v>45974</v>
      </c>
      <c r="W817" s="7"/>
      <c r="X817" s="7"/>
      <c r="Y817" s="7"/>
      <c r="Z817" s="7"/>
      <c r="AA817" s="23" t="n">
        <f aca="false">YEAR(C817)</f>
        <v>2025</v>
      </c>
    </row>
    <row r="818" customFormat="false" ht="15" hidden="false" customHeight="false" outlineLevel="0" collapsed="false">
      <c r="A818" s="7" t="s">
        <v>2217</v>
      </c>
      <c r="B818" s="7" t="s">
        <v>137</v>
      </c>
      <c r="C818" s="20" t="n">
        <v>45944</v>
      </c>
      <c r="D818" s="20" t="n">
        <v>46000</v>
      </c>
      <c r="E818" s="20"/>
      <c r="F818" s="7" t="s">
        <v>759</v>
      </c>
      <c r="G818" s="7" t="s">
        <v>149</v>
      </c>
      <c r="H818" s="7" t="s">
        <v>281</v>
      </c>
      <c r="I818" s="7" t="s">
        <v>282</v>
      </c>
      <c r="J818" s="7" t="s">
        <v>248</v>
      </c>
      <c r="K818" s="7" t="s">
        <v>278</v>
      </c>
      <c r="L818" s="7" t="s">
        <v>2218</v>
      </c>
      <c r="M818" s="7" t="s">
        <v>583</v>
      </c>
      <c r="N818" s="16" t="n">
        <v>44055</v>
      </c>
      <c r="O818" s="7" t="s">
        <v>798</v>
      </c>
      <c r="P818" s="22" t="n">
        <v>0.2</v>
      </c>
      <c r="Q818" s="8" t="n">
        <v>8811</v>
      </c>
      <c r="R818" s="8" t="n">
        <v>8811</v>
      </c>
      <c r="S818" s="7" t="s">
        <v>33</v>
      </c>
      <c r="T818" s="7" t="s">
        <v>2216</v>
      </c>
      <c r="U818" s="7"/>
      <c r="V818" s="20" t="n">
        <v>45974</v>
      </c>
      <c r="W818" s="7"/>
      <c r="X818" s="7"/>
      <c r="Y818" s="7"/>
      <c r="Z818" s="7"/>
      <c r="AA818" s="23" t="n">
        <f aca="false">YEAR(C818)</f>
        <v>2025</v>
      </c>
    </row>
    <row r="819" customFormat="false" ht="15" hidden="false" customHeight="false" outlineLevel="0" collapsed="false">
      <c r="A819" s="7" t="s">
        <v>2219</v>
      </c>
      <c r="B819" s="7" t="s">
        <v>137</v>
      </c>
      <c r="C819" s="20" t="n">
        <v>45946</v>
      </c>
      <c r="D819" s="20" t="n">
        <v>45946</v>
      </c>
      <c r="E819" s="20"/>
      <c r="F819" s="7" t="s">
        <v>759</v>
      </c>
      <c r="G819" s="7" t="s">
        <v>149</v>
      </c>
      <c r="H819" s="7" t="s">
        <v>237</v>
      </c>
      <c r="I819" s="7" t="s">
        <v>238</v>
      </c>
      <c r="J819" s="7" t="s">
        <v>236</v>
      </c>
      <c r="K819" s="7" t="s">
        <v>189</v>
      </c>
      <c r="L819" s="7" t="s">
        <v>2220</v>
      </c>
      <c r="M819" s="7" t="s">
        <v>556</v>
      </c>
      <c r="N819" s="16"/>
      <c r="O819" s="7"/>
      <c r="P819" s="22"/>
      <c r="Q819" s="8" t="n">
        <v>329.32</v>
      </c>
      <c r="R819" s="8" t="n">
        <v>-329.32</v>
      </c>
      <c r="S819" s="7" t="s">
        <v>744</v>
      </c>
      <c r="T819" s="7"/>
      <c r="U819" s="7"/>
      <c r="V819" s="20"/>
      <c r="W819" s="7"/>
      <c r="X819" s="7" t="s">
        <v>1552</v>
      </c>
      <c r="Y819" s="7"/>
      <c r="Z819" s="7"/>
      <c r="AA819" s="23" t="n">
        <f aca="false">YEAR(C819)</f>
        <v>2025</v>
      </c>
    </row>
    <row r="820" customFormat="false" ht="15" hidden="false" customHeight="false" outlineLevel="0" collapsed="false">
      <c r="A820" s="7" t="s">
        <v>2221</v>
      </c>
      <c r="B820" s="7" t="s">
        <v>137</v>
      </c>
      <c r="C820" s="20" t="n">
        <v>45946</v>
      </c>
      <c r="D820" s="20" t="n">
        <v>45946</v>
      </c>
      <c r="E820" s="20"/>
      <c r="F820" s="7" t="s">
        <v>759</v>
      </c>
      <c r="G820" s="7" t="s">
        <v>149</v>
      </c>
      <c r="H820" s="7" t="s">
        <v>559</v>
      </c>
      <c r="I820" s="7" t="s">
        <v>771</v>
      </c>
      <c r="J820" s="7" t="s">
        <v>761</v>
      </c>
      <c r="K820" s="7" t="s">
        <v>772</v>
      </c>
      <c r="L820" s="7" t="s">
        <v>2222</v>
      </c>
      <c r="M820" s="7" t="s">
        <v>556</v>
      </c>
      <c r="N820" s="16"/>
      <c r="O820" s="7"/>
      <c r="P820" s="22"/>
      <c r="Q820" s="8" t="n">
        <v>1403.17</v>
      </c>
      <c r="R820" s="8" t="n">
        <v>-1403.17</v>
      </c>
      <c r="S820" s="7" t="s">
        <v>744</v>
      </c>
      <c r="T820" s="7"/>
      <c r="U820" s="7"/>
      <c r="V820" s="20"/>
      <c r="W820" s="7"/>
      <c r="X820" s="7" t="s">
        <v>1552</v>
      </c>
      <c r="Y820" s="7"/>
      <c r="Z820" s="7"/>
      <c r="AA820" s="23" t="n">
        <f aca="false">YEAR(C820)</f>
        <v>2025</v>
      </c>
    </row>
    <row r="821" customFormat="false" ht="15" hidden="false" customHeight="false" outlineLevel="0" collapsed="false">
      <c r="A821" s="7" t="s">
        <v>2223</v>
      </c>
      <c r="B821" s="7" t="s">
        <v>137</v>
      </c>
      <c r="C821" s="20" t="n">
        <v>45946</v>
      </c>
      <c r="D821" s="20" t="n">
        <v>45950</v>
      </c>
      <c r="E821" s="20"/>
      <c r="F821" s="7" t="s">
        <v>759</v>
      </c>
      <c r="G821" s="7" t="s">
        <v>144</v>
      </c>
      <c r="H821" s="7" t="s">
        <v>250</v>
      </c>
      <c r="I821" s="7" t="s">
        <v>251</v>
      </c>
      <c r="J821" s="7" t="s">
        <v>248</v>
      </c>
      <c r="K821" s="7" t="s">
        <v>249</v>
      </c>
      <c r="L821" s="7" t="s">
        <v>2224</v>
      </c>
      <c r="M821" s="7" t="s">
        <v>549</v>
      </c>
      <c r="N821" s="16" t="n">
        <v>1680</v>
      </c>
      <c r="O821" s="7" t="s">
        <v>798</v>
      </c>
      <c r="P821" s="22" t="n">
        <v>10.01</v>
      </c>
      <c r="Q821" s="8" t="n">
        <v>16816.8</v>
      </c>
      <c r="R821" s="8" t="n">
        <v>16816.8</v>
      </c>
      <c r="S821" s="7" t="s">
        <v>33</v>
      </c>
      <c r="T821" s="7" t="s">
        <v>2225</v>
      </c>
      <c r="U821" s="7"/>
      <c r="V821" s="20" t="n">
        <v>45946</v>
      </c>
      <c r="W821" s="7"/>
      <c r="X821" s="7"/>
      <c r="Y821" s="7" t="s">
        <v>711</v>
      </c>
      <c r="Z821" s="7"/>
      <c r="AA821" s="23" t="n">
        <f aca="false">YEAR(C821)</f>
        <v>2025</v>
      </c>
    </row>
    <row r="822" customFormat="false" ht="15" hidden="false" customHeight="false" outlineLevel="0" collapsed="false">
      <c r="A822" s="7" t="s">
        <v>2226</v>
      </c>
      <c r="B822" s="7" t="s">
        <v>137</v>
      </c>
      <c r="C822" s="20" t="n">
        <v>45946</v>
      </c>
      <c r="D822" s="20" t="n">
        <v>45992</v>
      </c>
      <c r="E822" s="20"/>
      <c r="F822" s="7" t="s">
        <v>759</v>
      </c>
      <c r="G822" s="7" t="s">
        <v>149</v>
      </c>
      <c r="H822" s="7" t="s">
        <v>279</v>
      </c>
      <c r="I822" s="7" t="s">
        <v>280</v>
      </c>
      <c r="J822" s="7" t="s">
        <v>248</v>
      </c>
      <c r="K822" s="7" t="s">
        <v>278</v>
      </c>
      <c r="L822" s="7" t="s">
        <v>2227</v>
      </c>
      <c r="M822" s="7" t="s">
        <v>603</v>
      </c>
      <c r="N822" s="16" t="n">
        <v>118</v>
      </c>
      <c r="O822" s="7" t="s">
        <v>801</v>
      </c>
      <c r="P822" s="22" t="n">
        <v>43</v>
      </c>
      <c r="Q822" s="8" t="n">
        <v>5074</v>
      </c>
      <c r="R822" s="8" t="n">
        <v>5074</v>
      </c>
      <c r="S822" s="7" t="s">
        <v>33</v>
      </c>
      <c r="T822" s="7" t="s">
        <v>2228</v>
      </c>
      <c r="U822" s="7"/>
      <c r="V822" s="20" t="n">
        <v>45976</v>
      </c>
      <c r="W822" s="7"/>
      <c r="X822" s="7"/>
      <c r="Y822" s="7"/>
      <c r="Z822" s="7"/>
      <c r="AA822" s="23" t="n">
        <f aca="false">YEAR(C822)</f>
        <v>2025</v>
      </c>
    </row>
    <row r="823" customFormat="false" ht="15" hidden="false" customHeight="false" outlineLevel="0" collapsed="false">
      <c r="A823" s="7" t="s">
        <v>2229</v>
      </c>
      <c r="B823" s="7" t="s">
        <v>137</v>
      </c>
      <c r="C823" s="20" t="n">
        <v>45946</v>
      </c>
      <c r="D823" s="20" t="n">
        <v>45992</v>
      </c>
      <c r="E823" s="20"/>
      <c r="F823" s="7" t="s">
        <v>759</v>
      </c>
      <c r="G823" s="7" t="s">
        <v>149</v>
      </c>
      <c r="H823" s="7" t="s">
        <v>281</v>
      </c>
      <c r="I823" s="7" t="s">
        <v>282</v>
      </c>
      <c r="J823" s="7" t="s">
        <v>248</v>
      </c>
      <c r="K823" s="7" t="s">
        <v>278</v>
      </c>
      <c r="L823" s="7" t="s">
        <v>2230</v>
      </c>
      <c r="M823" s="7" t="s">
        <v>603</v>
      </c>
      <c r="N823" s="16" t="n">
        <v>4071</v>
      </c>
      <c r="O823" s="7" t="s">
        <v>798</v>
      </c>
      <c r="P823" s="22" t="n">
        <v>0.2</v>
      </c>
      <c r="Q823" s="8" t="n">
        <v>814.2</v>
      </c>
      <c r="R823" s="8" t="n">
        <v>814.2</v>
      </c>
      <c r="S823" s="7" t="s">
        <v>33</v>
      </c>
      <c r="T823" s="7" t="s">
        <v>2228</v>
      </c>
      <c r="U823" s="7"/>
      <c r="V823" s="20" t="n">
        <v>45976</v>
      </c>
      <c r="W823" s="7"/>
      <c r="X823" s="7"/>
      <c r="Y823" s="7"/>
      <c r="Z823" s="7"/>
      <c r="AA823" s="23" t="n">
        <f aca="false">YEAR(C823)</f>
        <v>2025</v>
      </c>
    </row>
    <row r="824" customFormat="false" ht="15" hidden="false" customHeight="false" outlineLevel="0" collapsed="false">
      <c r="A824" s="7" t="s">
        <v>2231</v>
      </c>
      <c r="B824" s="7" t="s">
        <v>137</v>
      </c>
      <c r="C824" s="20" t="n">
        <v>45947</v>
      </c>
      <c r="D824" s="20" t="n">
        <v>45947</v>
      </c>
      <c r="E824" s="20"/>
      <c r="F824" s="7" t="s">
        <v>759</v>
      </c>
      <c r="G824" s="7" t="s">
        <v>149</v>
      </c>
      <c r="H824" s="7" t="s">
        <v>271</v>
      </c>
      <c r="I824" s="7" t="s">
        <v>272</v>
      </c>
      <c r="J824" s="7" t="s">
        <v>221</v>
      </c>
      <c r="K824" s="7" t="s">
        <v>270</v>
      </c>
      <c r="L824" s="7" t="s">
        <v>2058</v>
      </c>
      <c r="M824" s="7" t="s">
        <v>541</v>
      </c>
      <c r="N824" s="16"/>
      <c r="O824" s="7"/>
      <c r="P824" s="22"/>
      <c r="Q824" s="8" t="n">
        <v>1314.88</v>
      </c>
      <c r="R824" s="8" t="n">
        <v>-1314.88</v>
      </c>
      <c r="S824" s="7" t="s">
        <v>744</v>
      </c>
      <c r="T824" s="7"/>
      <c r="U824" s="7"/>
      <c r="V824" s="20"/>
      <c r="W824" s="7"/>
      <c r="X824" s="7"/>
      <c r="Y824" s="7"/>
      <c r="Z824" s="7"/>
      <c r="AA824" s="23" t="n">
        <f aca="false">YEAR(C824)</f>
        <v>2025</v>
      </c>
    </row>
    <row r="825" customFormat="false" ht="15" hidden="false" customHeight="false" outlineLevel="0" collapsed="false">
      <c r="A825" s="7" t="s">
        <v>2232</v>
      </c>
      <c r="B825" s="7" t="s">
        <v>137</v>
      </c>
      <c r="C825" s="20" t="n">
        <v>45947</v>
      </c>
      <c r="D825" s="20" t="n">
        <v>45947</v>
      </c>
      <c r="E825" s="20"/>
      <c r="F825" s="7" t="s">
        <v>759</v>
      </c>
      <c r="G825" s="7" t="s">
        <v>153</v>
      </c>
      <c r="H825" s="7" t="s">
        <v>271</v>
      </c>
      <c r="I825" s="7" t="s">
        <v>272</v>
      </c>
      <c r="J825" s="7" t="s">
        <v>221</v>
      </c>
      <c r="K825" s="7" t="s">
        <v>270</v>
      </c>
      <c r="L825" s="7" t="s">
        <v>544</v>
      </c>
      <c r="M825" s="7" t="s">
        <v>541</v>
      </c>
      <c r="N825" s="16"/>
      <c r="O825" s="7"/>
      <c r="P825" s="22"/>
      <c r="Q825" s="8" t="n">
        <v>876.59</v>
      </c>
      <c r="R825" s="8" t="n">
        <v>-876.59</v>
      </c>
      <c r="S825" s="7" t="s">
        <v>744</v>
      </c>
      <c r="T825" s="7"/>
      <c r="U825" s="7"/>
      <c r="V825" s="20"/>
      <c r="W825" s="7"/>
      <c r="X825" s="7"/>
      <c r="Y825" s="7"/>
      <c r="Z825" s="7"/>
      <c r="AA825" s="23" t="n">
        <f aca="false">YEAR(C825)</f>
        <v>2025</v>
      </c>
    </row>
    <row r="826" customFormat="false" ht="15" hidden="false" customHeight="false" outlineLevel="0" collapsed="false">
      <c r="A826" s="7" t="s">
        <v>2233</v>
      </c>
      <c r="B826" s="7" t="s">
        <v>137</v>
      </c>
      <c r="C826" s="20" t="n">
        <v>45947</v>
      </c>
      <c r="D826" s="20" t="n">
        <v>45976</v>
      </c>
      <c r="E826" s="20"/>
      <c r="F826" s="7" t="s">
        <v>759</v>
      </c>
      <c r="G826" s="7" t="s">
        <v>149</v>
      </c>
      <c r="H826" s="7" t="s">
        <v>273</v>
      </c>
      <c r="I826" s="7" t="s">
        <v>274</v>
      </c>
      <c r="J826" s="7" t="s">
        <v>221</v>
      </c>
      <c r="K826" s="7" t="s">
        <v>270</v>
      </c>
      <c r="L826" s="7" t="s">
        <v>554</v>
      </c>
      <c r="M826" s="7" t="s">
        <v>541</v>
      </c>
      <c r="N826" s="16"/>
      <c r="O826" s="7"/>
      <c r="P826" s="22"/>
      <c r="Q826" s="8" t="n">
        <v>192.85</v>
      </c>
      <c r="R826" s="8" t="n">
        <v>-192.85</v>
      </c>
      <c r="S826" s="7" t="s">
        <v>789</v>
      </c>
      <c r="T826" s="7"/>
      <c r="U826" s="7"/>
      <c r="V826" s="20"/>
      <c r="W826" s="7"/>
      <c r="X826" s="7"/>
      <c r="Y826" s="7"/>
      <c r="Z826" s="7"/>
      <c r="AA826" s="23" t="n">
        <f aca="false">YEAR(C826)</f>
        <v>2025</v>
      </c>
    </row>
    <row r="827" customFormat="false" ht="15" hidden="false" customHeight="false" outlineLevel="0" collapsed="false">
      <c r="A827" s="7" t="s">
        <v>2234</v>
      </c>
      <c r="B827" s="7" t="s">
        <v>137</v>
      </c>
      <c r="C827" s="20" t="n">
        <v>45948</v>
      </c>
      <c r="D827" s="20" t="n">
        <v>45978</v>
      </c>
      <c r="E827" s="20"/>
      <c r="F827" s="7" t="s">
        <v>759</v>
      </c>
      <c r="G827" s="7" t="s">
        <v>144</v>
      </c>
      <c r="H827" s="7" t="s">
        <v>261</v>
      </c>
      <c r="I827" s="7" t="s">
        <v>262</v>
      </c>
      <c r="J827" s="7" t="s">
        <v>221</v>
      </c>
      <c r="K827" s="7" t="s">
        <v>260</v>
      </c>
      <c r="L827" s="7" t="s">
        <v>578</v>
      </c>
      <c r="M827" s="7" t="s">
        <v>538</v>
      </c>
      <c r="N827" s="16"/>
      <c r="O827" s="7"/>
      <c r="P827" s="22"/>
      <c r="Q827" s="8" t="n">
        <v>1526.4</v>
      </c>
      <c r="R827" s="8" t="n">
        <v>-1526.4</v>
      </c>
      <c r="S827" s="7" t="s">
        <v>751</v>
      </c>
      <c r="T827" s="7"/>
      <c r="U827" s="7" t="s">
        <v>2235</v>
      </c>
      <c r="V827" s="20" t="n">
        <v>45978</v>
      </c>
      <c r="W827" s="7"/>
      <c r="X827" s="7"/>
      <c r="Y827" s="7" t="s">
        <v>711</v>
      </c>
      <c r="Z827" s="7"/>
      <c r="AA827" s="23" t="n">
        <f aca="false">YEAR(C827)</f>
        <v>2025</v>
      </c>
    </row>
    <row r="828" customFormat="false" ht="15" hidden="false" customHeight="false" outlineLevel="0" collapsed="false">
      <c r="A828" s="7" t="s">
        <v>2236</v>
      </c>
      <c r="B828" s="7" t="s">
        <v>137</v>
      </c>
      <c r="C828" s="20" t="n">
        <v>45948</v>
      </c>
      <c r="D828" s="20" t="n">
        <v>45982</v>
      </c>
      <c r="E828" s="20"/>
      <c r="F828" s="7" t="s">
        <v>759</v>
      </c>
      <c r="G828" s="7" t="s">
        <v>136</v>
      </c>
      <c r="H828" s="7" t="s">
        <v>264</v>
      </c>
      <c r="I828" s="7" t="s">
        <v>263</v>
      </c>
      <c r="J828" s="7" t="s">
        <v>221</v>
      </c>
      <c r="K828" s="7" t="s">
        <v>263</v>
      </c>
      <c r="L828" s="7" t="s">
        <v>592</v>
      </c>
      <c r="M828" s="7" t="s">
        <v>591</v>
      </c>
      <c r="N828" s="16" t="n">
        <v>96</v>
      </c>
      <c r="O828" s="7" t="s">
        <v>801</v>
      </c>
      <c r="P828" s="22" t="n">
        <v>19.08</v>
      </c>
      <c r="Q828" s="8" t="n">
        <v>1831.68</v>
      </c>
      <c r="R828" s="8" t="n">
        <v>-1831.68</v>
      </c>
      <c r="S828" s="7" t="s">
        <v>751</v>
      </c>
      <c r="T828" s="7"/>
      <c r="U828" s="7" t="s">
        <v>2237</v>
      </c>
      <c r="V828" s="20" t="n">
        <v>45978</v>
      </c>
      <c r="W828" s="7"/>
      <c r="X828" s="7"/>
      <c r="Y828" s="7" t="s">
        <v>722</v>
      </c>
      <c r="Z828" s="7"/>
      <c r="AA828" s="23" t="n">
        <f aca="false">YEAR(C828)</f>
        <v>2025</v>
      </c>
    </row>
    <row r="829" customFormat="false" ht="15" hidden="false" customHeight="false" outlineLevel="0" collapsed="false">
      <c r="A829" s="7" t="s">
        <v>2238</v>
      </c>
      <c r="B829" s="7" t="s">
        <v>137</v>
      </c>
      <c r="C829" s="20" t="n">
        <v>45948</v>
      </c>
      <c r="D829" s="20" t="n">
        <v>45982</v>
      </c>
      <c r="E829" s="20"/>
      <c r="F829" s="7" t="s">
        <v>759</v>
      </c>
      <c r="G829" s="7" t="s">
        <v>136</v>
      </c>
      <c r="H829" s="7" t="s">
        <v>223</v>
      </c>
      <c r="I829" s="7" t="s">
        <v>224</v>
      </c>
      <c r="J829" s="7" t="s">
        <v>221</v>
      </c>
      <c r="K829" s="7" t="s">
        <v>222</v>
      </c>
      <c r="L829" s="7" t="s">
        <v>590</v>
      </c>
      <c r="M829" s="7" t="s">
        <v>589</v>
      </c>
      <c r="N829" s="16" t="n">
        <v>96</v>
      </c>
      <c r="O829" s="7" t="s">
        <v>801</v>
      </c>
      <c r="P829" s="22" t="n">
        <v>9.54</v>
      </c>
      <c r="Q829" s="8" t="n">
        <v>915.84</v>
      </c>
      <c r="R829" s="8" t="n">
        <v>-915.84</v>
      </c>
      <c r="S829" s="7" t="s">
        <v>751</v>
      </c>
      <c r="T829" s="7"/>
      <c r="U829" s="7" t="s">
        <v>2239</v>
      </c>
      <c r="V829" s="20" t="n">
        <v>45978</v>
      </c>
      <c r="W829" s="7"/>
      <c r="X829" s="7"/>
      <c r="Y829" s="7" t="s">
        <v>722</v>
      </c>
      <c r="Z829" s="7"/>
      <c r="AA829" s="23" t="n">
        <f aca="false">YEAR(C829)</f>
        <v>2025</v>
      </c>
    </row>
    <row r="830" customFormat="false" ht="15" hidden="false" customHeight="false" outlineLevel="0" collapsed="false">
      <c r="A830" s="7" t="s">
        <v>2240</v>
      </c>
      <c r="B830" s="7" t="s">
        <v>137</v>
      </c>
      <c r="C830" s="20" t="n">
        <v>45948</v>
      </c>
      <c r="D830" s="20" t="n">
        <v>46027</v>
      </c>
      <c r="E830" s="20"/>
      <c r="F830" s="7" t="s">
        <v>759</v>
      </c>
      <c r="G830" s="7" t="s">
        <v>149</v>
      </c>
      <c r="H830" s="7" t="s">
        <v>279</v>
      </c>
      <c r="I830" s="7" t="s">
        <v>280</v>
      </c>
      <c r="J830" s="7" t="s">
        <v>248</v>
      </c>
      <c r="K830" s="7" t="s">
        <v>278</v>
      </c>
      <c r="L830" s="7" t="s">
        <v>2241</v>
      </c>
      <c r="M830" s="7" t="s">
        <v>1010</v>
      </c>
      <c r="N830" s="16" t="n">
        <v>222</v>
      </c>
      <c r="O830" s="7" t="s">
        <v>801</v>
      </c>
      <c r="P830" s="22" t="n">
        <v>43</v>
      </c>
      <c r="Q830" s="8" t="n">
        <v>9546</v>
      </c>
      <c r="R830" s="8" t="n">
        <v>9546</v>
      </c>
      <c r="S830" s="7" t="s">
        <v>33</v>
      </c>
      <c r="T830" s="7" t="s">
        <v>2242</v>
      </c>
      <c r="U830" s="7"/>
      <c r="V830" s="20" t="n">
        <v>45978</v>
      </c>
      <c r="W830" s="7"/>
      <c r="X830" s="7"/>
      <c r="Y830" s="7"/>
      <c r="Z830" s="7"/>
      <c r="AA830" s="23" t="n">
        <f aca="false">YEAR(C830)</f>
        <v>2025</v>
      </c>
    </row>
    <row r="831" customFormat="false" ht="15" hidden="false" customHeight="false" outlineLevel="0" collapsed="false">
      <c r="A831" s="7" t="s">
        <v>2243</v>
      </c>
      <c r="B831" s="7" t="s">
        <v>137</v>
      </c>
      <c r="C831" s="20" t="n">
        <v>45948</v>
      </c>
      <c r="D831" s="20" t="n">
        <v>46027</v>
      </c>
      <c r="E831" s="20"/>
      <c r="F831" s="7" t="s">
        <v>759</v>
      </c>
      <c r="G831" s="7" t="s">
        <v>149</v>
      </c>
      <c r="H831" s="7" t="s">
        <v>281</v>
      </c>
      <c r="I831" s="7" t="s">
        <v>282</v>
      </c>
      <c r="J831" s="7" t="s">
        <v>248</v>
      </c>
      <c r="K831" s="7" t="s">
        <v>278</v>
      </c>
      <c r="L831" s="7" t="s">
        <v>2244</v>
      </c>
      <c r="M831" s="7" t="s">
        <v>1010</v>
      </c>
      <c r="N831" s="16" t="n">
        <v>7659</v>
      </c>
      <c r="O831" s="7" t="s">
        <v>798</v>
      </c>
      <c r="P831" s="22" t="n">
        <v>0.2</v>
      </c>
      <c r="Q831" s="8" t="n">
        <v>1531.8</v>
      </c>
      <c r="R831" s="8" t="n">
        <v>1531.8</v>
      </c>
      <c r="S831" s="7" t="s">
        <v>33</v>
      </c>
      <c r="T831" s="7" t="s">
        <v>2242</v>
      </c>
      <c r="U831" s="7"/>
      <c r="V831" s="20" t="n">
        <v>45978</v>
      </c>
      <c r="W831" s="7"/>
      <c r="X831" s="7"/>
      <c r="Y831" s="7"/>
      <c r="Z831" s="7"/>
      <c r="AA831" s="23" t="n">
        <f aca="false">YEAR(C831)</f>
        <v>2025</v>
      </c>
    </row>
    <row r="832" customFormat="false" ht="15" hidden="false" customHeight="false" outlineLevel="0" collapsed="false">
      <c r="A832" s="7" t="s">
        <v>2245</v>
      </c>
      <c r="B832" s="7" t="s">
        <v>137</v>
      </c>
      <c r="C832" s="20" t="n">
        <v>45949</v>
      </c>
      <c r="D832" s="20" t="n">
        <v>46007</v>
      </c>
      <c r="E832" s="20"/>
      <c r="F832" s="7" t="s">
        <v>759</v>
      </c>
      <c r="G832" s="7" t="s">
        <v>149</v>
      </c>
      <c r="H832" s="7" t="s">
        <v>279</v>
      </c>
      <c r="I832" s="7" t="s">
        <v>280</v>
      </c>
      <c r="J832" s="7" t="s">
        <v>248</v>
      </c>
      <c r="K832" s="7" t="s">
        <v>278</v>
      </c>
      <c r="L832" s="7" t="s">
        <v>2246</v>
      </c>
      <c r="M832" s="7" t="s">
        <v>614</v>
      </c>
      <c r="N832" s="16" t="n">
        <v>108</v>
      </c>
      <c r="O832" s="7" t="s">
        <v>801</v>
      </c>
      <c r="P832" s="22" t="n">
        <v>43</v>
      </c>
      <c r="Q832" s="8" t="n">
        <v>4644</v>
      </c>
      <c r="R832" s="8" t="n">
        <v>4644</v>
      </c>
      <c r="S832" s="7" t="s">
        <v>33</v>
      </c>
      <c r="T832" s="7" t="s">
        <v>2247</v>
      </c>
      <c r="U832" s="7"/>
      <c r="V832" s="20" t="n">
        <v>45979</v>
      </c>
      <c r="W832" s="7"/>
      <c r="X832" s="7"/>
      <c r="Y832" s="7"/>
      <c r="Z832" s="7"/>
      <c r="AA832" s="23" t="n">
        <f aca="false">YEAR(C832)</f>
        <v>2025</v>
      </c>
    </row>
    <row r="833" customFormat="false" ht="15" hidden="false" customHeight="false" outlineLevel="0" collapsed="false">
      <c r="A833" s="7" t="s">
        <v>2248</v>
      </c>
      <c r="B833" s="7" t="s">
        <v>137</v>
      </c>
      <c r="C833" s="20" t="n">
        <v>45949</v>
      </c>
      <c r="D833" s="20" t="n">
        <v>46007</v>
      </c>
      <c r="E833" s="20"/>
      <c r="F833" s="7" t="s">
        <v>759</v>
      </c>
      <c r="G833" s="7" t="s">
        <v>149</v>
      </c>
      <c r="H833" s="7" t="s">
        <v>281</v>
      </c>
      <c r="I833" s="7" t="s">
        <v>282</v>
      </c>
      <c r="J833" s="7" t="s">
        <v>248</v>
      </c>
      <c r="K833" s="7" t="s">
        <v>278</v>
      </c>
      <c r="L833" s="7" t="s">
        <v>2249</v>
      </c>
      <c r="M833" s="7" t="s">
        <v>614</v>
      </c>
      <c r="N833" s="16" t="n">
        <v>3726</v>
      </c>
      <c r="O833" s="7" t="s">
        <v>798</v>
      </c>
      <c r="P833" s="22" t="n">
        <v>0.2</v>
      </c>
      <c r="Q833" s="8" t="n">
        <v>745.2</v>
      </c>
      <c r="R833" s="8" t="n">
        <v>745.2</v>
      </c>
      <c r="S833" s="7" t="s">
        <v>33</v>
      </c>
      <c r="T833" s="7" t="s">
        <v>2247</v>
      </c>
      <c r="U833" s="7"/>
      <c r="V833" s="20" t="n">
        <v>45979</v>
      </c>
      <c r="W833" s="7"/>
      <c r="X833" s="7"/>
      <c r="Y833" s="7"/>
      <c r="Z833" s="7"/>
      <c r="AA833" s="23" t="n">
        <f aca="false">YEAR(C833)</f>
        <v>2025</v>
      </c>
    </row>
    <row r="834" customFormat="false" ht="15" hidden="false" customHeight="false" outlineLevel="0" collapsed="false">
      <c r="A834" s="7" t="s">
        <v>2250</v>
      </c>
      <c r="B834" s="7" t="s">
        <v>137</v>
      </c>
      <c r="C834" s="20" t="n">
        <v>45950</v>
      </c>
      <c r="D834" s="20" t="n">
        <v>45980</v>
      </c>
      <c r="E834" s="20"/>
      <c r="F834" s="7" t="s">
        <v>759</v>
      </c>
      <c r="G834" s="7" t="s">
        <v>146</v>
      </c>
      <c r="H834" s="7" t="s">
        <v>266</v>
      </c>
      <c r="I834" s="7" t="s">
        <v>265</v>
      </c>
      <c r="J834" s="7" t="s">
        <v>221</v>
      </c>
      <c r="K834" s="7" t="s">
        <v>265</v>
      </c>
      <c r="L834" s="7" t="s">
        <v>580</v>
      </c>
      <c r="M834" s="7" t="s">
        <v>563</v>
      </c>
      <c r="N834" s="16" t="n">
        <v>80</v>
      </c>
      <c r="O834" s="7" t="s">
        <v>801</v>
      </c>
      <c r="P834" s="22"/>
      <c r="Q834" s="8" t="n">
        <v>2408</v>
      </c>
      <c r="R834" s="8" t="n">
        <v>-2408</v>
      </c>
      <c r="S834" s="7" t="s">
        <v>751</v>
      </c>
      <c r="T834" s="7"/>
      <c r="U834" s="7" t="s">
        <v>2251</v>
      </c>
      <c r="V834" s="20" t="n">
        <v>45980</v>
      </c>
      <c r="W834" s="7"/>
      <c r="X834" s="7"/>
      <c r="Y834" s="7" t="s">
        <v>712</v>
      </c>
      <c r="Z834" s="7"/>
      <c r="AA834" s="23" t="n">
        <f aca="false">YEAR(C834)</f>
        <v>2025</v>
      </c>
    </row>
    <row r="835" customFormat="false" ht="15" hidden="false" customHeight="false" outlineLevel="0" collapsed="false">
      <c r="A835" s="7" t="s">
        <v>2252</v>
      </c>
      <c r="B835" s="7" t="s">
        <v>137</v>
      </c>
      <c r="C835" s="20" t="n">
        <v>45950</v>
      </c>
      <c r="D835" s="20" t="n">
        <v>45980</v>
      </c>
      <c r="E835" s="20"/>
      <c r="F835" s="7" t="s">
        <v>759</v>
      </c>
      <c r="G835" s="7" t="s">
        <v>146</v>
      </c>
      <c r="H835" s="7" t="s">
        <v>255</v>
      </c>
      <c r="I835" s="7" t="s">
        <v>256</v>
      </c>
      <c r="J835" s="7" t="s">
        <v>221</v>
      </c>
      <c r="K835" s="7" t="s">
        <v>254</v>
      </c>
      <c r="L835" s="7" t="s">
        <v>581</v>
      </c>
      <c r="M835" s="7" t="s">
        <v>563</v>
      </c>
      <c r="N835" s="16"/>
      <c r="O835" s="7"/>
      <c r="P835" s="22"/>
      <c r="Q835" s="8" t="n">
        <v>2246.4</v>
      </c>
      <c r="R835" s="8" t="n">
        <v>-2246.4</v>
      </c>
      <c r="S835" s="7" t="s">
        <v>751</v>
      </c>
      <c r="T835" s="7"/>
      <c r="U835" s="7" t="s">
        <v>2253</v>
      </c>
      <c r="V835" s="20" t="n">
        <v>45980</v>
      </c>
      <c r="W835" s="7"/>
      <c r="X835" s="7"/>
      <c r="Y835" s="7" t="s">
        <v>712</v>
      </c>
      <c r="Z835" s="7"/>
      <c r="AA835" s="23" t="n">
        <f aca="false">YEAR(C835)</f>
        <v>2025</v>
      </c>
    </row>
    <row r="836" customFormat="false" ht="15" hidden="false" customHeight="false" outlineLevel="0" collapsed="false">
      <c r="A836" s="7" t="s">
        <v>2254</v>
      </c>
      <c r="B836" s="7" t="s">
        <v>137</v>
      </c>
      <c r="C836" s="20" t="n">
        <v>45950</v>
      </c>
      <c r="D836" s="20" t="n">
        <v>45980</v>
      </c>
      <c r="E836" s="20"/>
      <c r="F836" s="7" t="s">
        <v>759</v>
      </c>
      <c r="G836" s="7" t="s">
        <v>146</v>
      </c>
      <c r="H836" s="7" t="s">
        <v>268</v>
      </c>
      <c r="I836" s="7" t="s">
        <v>269</v>
      </c>
      <c r="J836" s="7" t="s">
        <v>221</v>
      </c>
      <c r="K836" s="7" t="s">
        <v>267</v>
      </c>
      <c r="L836" s="7" t="s">
        <v>582</v>
      </c>
      <c r="M836" s="7" t="s">
        <v>563</v>
      </c>
      <c r="N836" s="16"/>
      <c r="O836" s="7"/>
      <c r="P836" s="22"/>
      <c r="Q836" s="8" t="n">
        <v>435.2</v>
      </c>
      <c r="R836" s="8" t="n">
        <v>-435.2</v>
      </c>
      <c r="S836" s="7" t="s">
        <v>751</v>
      </c>
      <c r="T836" s="7"/>
      <c r="U836" s="7" t="s">
        <v>2255</v>
      </c>
      <c r="V836" s="20" t="n">
        <v>45980</v>
      </c>
      <c r="W836" s="7"/>
      <c r="X836" s="7"/>
      <c r="Y836" s="7" t="s">
        <v>712</v>
      </c>
      <c r="Z836" s="7"/>
      <c r="AA836" s="23" t="n">
        <f aca="false">YEAR(C836)</f>
        <v>2025</v>
      </c>
    </row>
    <row r="837" customFormat="false" ht="15" hidden="false" customHeight="false" outlineLevel="0" collapsed="false">
      <c r="A837" s="7" t="s">
        <v>2256</v>
      </c>
      <c r="B837" s="7" t="s">
        <v>137</v>
      </c>
      <c r="C837" s="20" t="n">
        <v>45951</v>
      </c>
      <c r="D837" s="20" t="n">
        <v>45951</v>
      </c>
      <c r="E837" s="20"/>
      <c r="F837" s="7" t="s">
        <v>759</v>
      </c>
      <c r="G837" s="7" t="s">
        <v>136</v>
      </c>
      <c r="H837" s="7" t="s">
        <v>303</v>
      </c>
      <c r="I837" s="7" t="s">
        <v>304</v>
      </c>
      <c r="J837" s="7" t="s">
        <v>248</v>
      </c>
      <c r="K837" s="7" t="s">
        <v>286</v>
      </c>
      <c r="L837" s="7" t="s">
        <v>2257</v>
      </c>
      <c r="M837" s="7" t="s">
        <v>551</v>
      </c>
      <c r="N837" s="16"/>
      <c r="O837" s="7"/>
      <c r="P837" s="22"/>
      <c r="Q837" s="8" t="n">
        <v>2944</v>
      </c>
      <c r="R837" s="8" t="n">
        <v>2944</v>
      </c>
      <c r="S837" s="7" t="s">
        <v>33</v>
      </c>
      <c r="T837" s="7"/>
      <c r="U837" s="7"/>
      <c r="V837" s="20"/>
      <c r="W837" s="7"/>
      <c r="X837" s="7"/>
      <c r="Y837" s="7"/>
      <c r="Z837" s="7"/>
      <c r="AA837" s="23" t="n">
        <f aca="false">YEAR(C837)</f>
        <v>2025</v>
      </c>
    </row>
    <row r="838" customFormat="false" ht="15" hidden="false" customHeight="false" outlineLevel="0" collapsed="false">
      <c r="A838" s="7" t="s">
        <v>2258</v>
      </c>
      <c r="B838" s="7" t="s">
        <v>137</v>
      </c>
      <c r="C838" s="20" t="n">
        <v>45955</v>
      </c>
      <c r="D838" s="20" t="n">
        <v>45985</v>
      </c>
      <c r="E838" s="20"/>
      <c r="F838" s="7" t="s">
        <v>759</v>
      </c>
      <c r="G838" s="7" t="s">
        <v>149</v>
      </c>
      <c r="H838" s="7" t="s">
        <v>268</v>
      </c>
      <c r="I838" s="7" t="s">
        <v>269</v>
      </c>
      <c r="J838" s="7" t="s">
        <v>221</v>
      </c>
      <c r="K838" s="7" t="s">
        <v>267</v>
      </c>
      <c r="L838" s="7" t="s">
        <v>2259</v>
      </c>
      <c r="M838" s="7" t="s">
        <v>563</v>
      </c>
      <c r="N838" s="16"/>
      <c r="O838" s="7"/>
      <c r="P838" s="22"/>
      <c r="Q838" s="8" t="n">
        <v>6701.4</v>
      </c>
      <c r="R838" s="8" t="n">
        <v>-6701.4</v>
      </c>
      <c r="S838" s="7" t="s">
        <v>751</v>
      </c>
      <c r="T838" s="7"/>
      <c r="U838" s="7" t="s">
        <v>2260</v>
      </c>
      <c r="V838" s="20" t="n">
        <v>45985</v>
      </c>
      <c r="W838" s="7"/>
      <c r="X838" s="7"/>
      <c r="Y838" s="7"/>
      <c r="Z838" s="7"/>
      <c r="AA838" s="23" t="n">
        <f aca="false">YEAR(C838)</f>
        <v>2025</v>
      </c>
    </row>
    <row r="839" customFormat="false" ht="15" hidden="false" customHeight="false" outlineLevel="0" collapsed="false">
      <c r="A839" s="7" t="s">
        <v>2261</v>
      </c>
      <c r="B839" s="7" t="s">
        <v>137</v>
      </c>
      <c r="C839" s="20" t="n">
        <v>45955</v>
      </c>
      <c r="D839" s="20" t="n">
        <v>45985</v>
      </c>
      <c r="E839" s="20"/>
      <c r="F839" s="7" t="s">
        <v>759</v>
      </c>
      <c r="G839" s="7" t="s">
        <v>149</v>
      </c>
      <c r="H839" s="7" t="s">
        <v>268</v>
      </c>
      <c r="I839" s="7" t="s">
        <v>269</v>
      </c>
      <c r="J839" s="7" t="s">
        <v>221</v>
      </c>
      <c r="K839" s="7" t="s">
        <v>267</v>
      </c>
      <c r="L839" s="7" t="s">
        <v>597</v>
      </c>
      <c r="M839" s="7" t="s">
        <v>563</v>
      </c>
      <c r="N839" s="16"/>
      <c r="O839" s="7"/>
      <c r="P839" s="22"/>
      <c r="Q839" s="8" t="n">
        <v>824.58</v>
      </c>
      <c r="R839" s="8" t="n">
        <v>-824.58</v>
      </c>
      <c r="S839" s="7" t="s">
        <v>751</v>
      </c>
      <c r="T839" s="7"/>
      <c r="U839" s="7" t="s">
        <v>2262</v>
      </c>
      <c r="V839" s="20" t="n">
        <v>45985</v>
      </c>
      <c r="W839" s="7"/>
      <c r="X839" s="7"/>
      <c r="Y839" s="7"/>
      <c r="Z839" s="7"/>
      <c r="AA839" s="23" t="n">
        <f aca="false">YEAR(C839)</f>
        <v>2025</v>
      </c>
    </row>
    <row r="840" customFormat="false" ht="15" hidden="false" customHeight="false" outlineLevel="0" collapsed="false">
      <c r="A840" s="7" t="s">
        <v>2263</v>
      </c>
      <c r="B840" s="7" t="s">
        <v>137</v>
      </c>
      <c r="C840" s="20" t="n">
        <v>45956</v>
      </c>
      <c r="D840" s="20" t="n">
        <v>45983</v>
      </c>
      <c r="E840" s="20"/>
      <c r="F840" s="7" t="s">
        <v>759</v>
      </c>
      <c r="G840" s="7" t="s">
        <v>153</v>
      </c>
      <c r="H840" s="7" t="s">
        <v>242</v>
      </c>
      <c r="I840" s="7" t="s">
        <v>243</v>
      </c>
      <c r="J840" s="7" t="s">
        <v>229</v>
      </c>
      <c r="K840" s="7" t="s">
        <v>241</v>
      </c>
      <c r="L840" s="7" t="s">
        <v>571</v>
      </c>
      <c r="M840" s="7"/>
      <c r="N840" s="16"/>
      <c r="O840" s="7"/>
      <c r="P840" s="22"/>
      <c r="Q840" s="8" t="n">
        <v>332.5</v>
      </c>
      <c r="R840" s="8" t="n">
        <v>-332.5</v>
      </c>
      <c r="S840" s="7" t="s">
        <v>765</v>
      </c>
      <c r="T840" s="7"/>
      <c r="U840" s="7"/>
      <c r="V840" s="20"/>
      <c r="W840" s="7"/>
      <c r="X840" s="7"/>
      <c r="Y840" s="7"/>
      <c r="Z840" s="7"/>
      <c r="AA840" s="23" t="n">
        <f aca="false">YEAR(C840)</f>
        <v>2025</v>
      </c>
    </row>
    <row r="841" customFormat="false" ht="15" hidden="false" customHeight="false" outlineLevel="0" collapsed="false">
      <c r="A841" s="7" t="s">
        <v>2264</v>
      </c>
      <c r="B841" s="7" t="s">
        <v>137</v>
      </c>
      <c r="C841" s="20" t="n">
        <v>45956</v>
      </c>
      <c r="D841" s="20" t="n">
        <v>45986</v>
      </c>
      <c r="E841" s="20"/>
      <c r="F841" s="7" t="s">
        <v>759</v>
      </c>
      <c r="G841" s="7" t="s">
        <v>141</v>
      </c>
      <c r="H841" s="7" t="s">
        <v>261</v>
      </c>
      <c r="I841" s="7" t="s">
        <v>262</v>
      </c>
      <c r="J841" s="7" t="s">
        <v>221</v>
      </c>
      <c r="K841" s="7" t="s">
        <v>260</v>
      </c>
      <c r="L841" s="7" t="s">
        <v>2265</v>
      </c>
      <c r="M841" s="7" t="s">
        <v>563</v>
      </c>
      <c r="N841" s="16"/>
      <c r="O841" s="7"/>
      <c r="P841" s="22"/>
      <c r="Q841" s="8" t="n">
        <v>1299.38</v>
      </c>
      <c r="R841" s="8" t="n">
        <v>-1299.38</v>
      </c>
      <c r="S841" s="7" t="s">
        <v>751</v>
      </c>
      <c r="T841" s="7"/>
      <c r="U841" s="7" t="s">
        <v>2266</v>
      </c>
      <c r="V841" s="20" t="n">
        <v>45986</v>
      </c>
      <c r="W841" s="7"/>
      <c r="X841" s="7"/>
      <c r="Y841" s="7" t="s">
        <v>710</v>
      </c>
      <c r="Z841" s="7"/>
      <c r="AA841" s="23" t="n">
        <f aca="false">YEAR(C841)</f>
        <v>2025</v>
      </c>
    </row>
    <row r="842" customFormat="false" ht="15" hidden="false" customHeight="false" outlineLevel="0" collapsed="false">
      <c r="A842" s="7" t="s">
        <v>2267</v>
      </c>
      <c r="B842" s="7" t="s">
        <v>137</v>
      </c>
      <c r="C842" s="20" t="n">
        <v>45959</v>
      </c>
      <c r="D842" s="20" t="n">
        <v>46013</v>
      </c>
      <c r="E842" s="20"/>
      <c r="F842" s="7" t="s">
        <v>759</v>
      </c>
      <c r="G842" s="7" t="s">
        <v>149</v>
      </c>
      <c r="H842" s="7" t="s">
        <v>279</v>
      </c>
      <c r="I842" s="7" t="s">
        <v>280</v>
      </c>
      <c r="J842" s="7" t="s">
        <v>248</v>
      </c>
      <c r="K842" s="7" t="s">
        <v>278</v>
      </c>
      <c r="L842" s="7" t="s">
        <v>2268</v>
      </c>
      <c r="M842" s="7" t="s">
        <v>614</v>
      </c>
      <c r="N842" s="16" t="n">
        <v>99</v>
      </c>
      <c r="O842" s="7" t="s">
        <v>801</v>
      </c>
      <c r="P842" s="22" t="n">
        <v>47</v>
      </c>
      <c r="Q842" s="8" t="n">
        <v>4653</v>
      </c>
      <c r="R842" s="8" t="n">
        <v>4653</v>
      </c>
      <c r="S842" s="7" t="s">
        <v>33</v>
      </c>
      <c r="T842" s="7" t="s">
        <v>2269</v>
      </c>
      <c r="U842" s="7"/>
      <c r="V842" s="20" t="n">
        <v>45989</v>
      </c>
      <c r="W842" s="7"/>
      <c r="X842" s="7"/>
      <c r="Y842" s="7"/>
      <c r="Z842" s="7"/>
      <c r="AA842" s="23" t="n">
        <f aca="false">YEAR(C842)</f>
        <v>2025</v>
      </c>
    </row>
    <row r="843" customFormat="false" ht="15" hidden="false" customHeight="false" outlineLevel="0" collapsed="false">
      <c r="A843" s="7" t="s">
        <v>2270</v>
      </c>
      <c r="B843" s="7" t="s">
        <v>137</v>
      </c>
      <c r="C843" s="20" t="n">
        <v>45959</v>
      </c>
      <c r="D843" s="20" t="n">
        <v>46013</v>
      </c>
      <c r="E843" s="20"/>
      <c r="F843" s="7" t="s">
        <v>759</v>
      </c>
      <c r="G843" s="7" t="s">
        <v>149</v>
      </c>
      <c r="H843" s="7" t="s">
        <v>281</v>
      </c>
      <c r="I843" s="7" t="s">
        <v>282</v>
      </c>
      <c r="J843" s="7" t="s">
        <v>248</v>
      </c>
      <c r="K843" s="7" t="s">
        <v>278</v>
      </c>
      <c r="L843" s="7" t="s">
        <v>2271</v>
      </c>
      <c r="M843" s="7" t="s">
        <v>614</v>
      </c>
      <c r="N843" s="16" t="n">
        <v>12251</v>
      </c>
      <c r="O843" s="7" t="s">
        <v>798</v>
      </c>
      <c r="P843" s="22" t="n">
        <v>0.2</v>
      </c>
      <c r="Q843" s="8" t="n">
        <v>2450.25</v>
      </c>
      <c r="R843" s="8" t="n">
        <v>2450.25</v>
      </c>
      <c r="S843" s="7" t="s">
        <v>33</v>
      </c>
      <c r="T843" s="7" t="s">
        <v>2269</v>
      </c>
      <c r="U843" s="7"/>
      <c r="V843" s="20" t="n">
        <v>45989</v>
      </c>
      <c r="W843" s="7"/>
      <c r="X843" s="7"/>
      <c r="Y843" s="7"/>
      <c r="Z843" s="7"/>
      <c r="AA843" s="23" t="n">
        <f aca="false">YEAR(C843)</f>
        <v>2025</v>
      </c>
    </row>
    <row r="844" customFormat="false" ht="15" hidden="false" customHeight="false" outlineLevel="0" collapsed="false">
      <c r="A844" s="7" t="s">
        <v>2272</v>
      </c>
      <c r="B844" s="7" t="s">
        <v>137</v>
      </c>
      <c r="C844" s="20" t="n">
        <v>45960</v>
      </c>
      <c r="D844" s="20" t="n">
        <v>46048</v>
      </c>
      <c r="E844" s="20"/>
      <c r="F844" s="7" t="s">
        <v>759</v>
      </c>
      <c r="G844" s="7" t="s">
        <v>149</v>
      </c>
      <c r="H844" s="7" t="s">
        <v>279</v>
      </c>
      <c r="I844" s="7" t="s">
        <v>280</v>
      </c>
      <c r="J844" s="7" t="s">
        <v>248</v>
      </c>
      <c r="K844" s="7" t="s">
        <v>278</v>
      </c>
      <c r="L844" s="7" t="s">
        <v>2273</v>
      </c>
      <c r="M844" s="7" t="s">
        <v>1010</v>
      </c>
      <c r="N844" s="16" t="n">
        <v>226</v>
      </c>
      <c r="O844" s="7" t="s">
        <v>801</v>
      </c>
      <c r="P844" s="22" t="n">
        <v>47</v>
      </c>
      <c r="Q844" s="8" t="n">
        <v>10622</v>
      </c>
      <c r="R844" s="8" t="n">
        <v>10622</v>
      </c>
      <c r="S844" s="7" t="s">
        <v>33</v>
      </c>
      <c r="T844" s="7" t="s">
        <v>2274</v>
      </c>
      <c r="U844" s="7"/>
      <c r="V844" s="20" t="n">
        <v>45990</v>
      </c>
      <c r="W844" s="7"/>
      <c r="X844" s="7"/>
      <c r="Y844" s="7"/>
      <c r="Z844" s="7"/>
      <c r="AA844" s="23" t="n">
        <f aca="false">YEAR(C844)</f>
        <v>2025</v>
      </c>
    </row>
    <row r="845" customFormat="false" ht="15" hidden="false" customHeight="false" outlineLevel="0" collapsed="false">
      <c r="A845" s="7" t="s">
        <v>2275</v>
      </c>
      <c r="B845" s="7" t="s">
        <v>137</v>
      </c>
      <c r="C845" s="20" t="n">
        <v>45960</v>
      </c>
      <c r="D845" s="20" t="n">
        <v>46048</v>
      </c>
      <c r="E845" s="20"/>
      <c r="F845" s="7" t="s">
        <v>759</v>
      </c>
      <c r="G845" s="7" t="s">
        <v>149</v>
      </c>
      <c r="H845" s="7" t="s">
        <v>281</v>
      </c>
      <c r="I845" s="7" t="s">
        <v>282</v>
      </c>
      <c r="J845" s="7" t="s">
        <v>248</v>
      </c>
      <c r="K845" s="7" t="s">
        <v>278</v>
      </c>
      <c r="L845" s="7" t="s">
        <v>2276</v>
      </c>
      <c r="M845" s="7" t="s">
        <v>1010</v>
      </c>
      <c r="N845" s="16" t="n">
        <v>27968</v>
      </c>
      <c r="O845" s="7" t="s">
        <v>798</v>
      </c>
      <c r="P845" s="22" t="n">
        <v>0.2</v>
      </c>
      <c r="Q845" s="8" t="n">
        <v>5593.5</v>
      </c>
      <c r="R845" s="8" t="n">
        <v>5593.5</v>
      </c>
      <c r="S845" s="7" t="s">
        <v>33</v>
      </c>
      <c r="T845" s="7" t="s">
        <v>2274</v>
      </c>
      <c r="U845" s="7"/>
      <c r="V845" s="20" t="n">
        <v>45990</v>
      </c>
      <c r="W845" s="7"/>
      <c r="X845" s="7"/>
      <c r="Y845" s="7"/>
      <c r="Z845" s="7"/>
      <c r="AA845" s="23" t="n">
        <f aca="false">YEAR(C845)</f>
        <v>2025</v>
      </c>
    </row>
    <row r="846" customFormat="false" ht="15" hidden="false" customHeight="false" outlineLevel="0" collapsed="false">
      <c r="A846" s="7" t="s">
        <v>2277</v>
      </c>
      <c r="B846" s="7" t="s">
        <v>137</v>
      </c>
      <c r="C846" s="20" t="n">
        <v>45961</v>
      </c>
      <c r="D846" s="20" t="n">
        <v>45961</v>
      </c>
      <c r="E846" s="20"/>
      <c r="F846" s="7" t="s">
        <v>759</v>
      </c>
      <c r="G846" s="7" t="s">
        <v>149</v>
      </c>
      <c r="H846" s="7" t="s">
        <v>271</v>
      </c>
      <c r="I846" s="7" t="s">
        <v>272</v>
      </c>
      <c r="J846" s="7" t="s">
        <v>221</v>
      </c>
      <c r="K846" s="7" t="s">
        <v>270</v>
      </c>
      <c r="L846" s="7" t="s">
        <v>1608</v>
      </c>
      <c r="M846" s="7" t="s">
        <v>541</v>
      </c>
      <c r="N846" s="16"/>
      <c r="O846" s="7"/>
      <c r="P846" s="22"/>
      <c r="Q846" s="8" t="n">
        <v>1475.89</v>
      </c>
      <c r="R846" s="8" t="n">
        <v>-1475.89</v>
      </c>
      <c r="S846" s="7" t="s">
        <v>744</v>
      </c>
      <c r="T846" s="7"/>
      <c r="U846" s="7"/>
      <c r="V846" s="20"/>
      <c r="W846" s="7"/>
      <c r="X846" s="7"/>
      <c r="Y846" s="7"/>
      <c r="Z846" s="7"/>
      <c r="AA846" s="23" t="n">
        <f aca="false">YEAR(C846)</f>
        <v>2025</v>
      </c>
    </row>
    <row r="847" customFormat="false" ht="15" hidden="false" customHeight="false" outlineLevel="0" collapsed="false">
      <c r="A847" s="7" t="s">
        <v>2278</v>
      </c>
      <c r="B847" s="7" t="s">
        <v>137</v>
      </c>
      <c r="C847" s="20" t="n">
        <v>45961</v>
      </c>
      <c r="D847" s="20" t="n">
        <v>45961</v>
      </c>
      <c r="E847" s="20"/>
      <c r="F847" s="7" t="s">
        <v>759</v>
      </c>
      <c r="G847" s="7" t="s">
        <v>153</v>
      </c>
      <c r="H847" s="7" t="s">
        <v>271</v>
      </c>
      <c r="I847" s="7" t="s">
        <v>272</v>
      </c>
      <c r="J847" s="7" t="s">
        <v>221</v>
      </c>
      <c r="K847" s="7" t="s">
        <v>270</v>
      </c>
      <c r="L847" s="7" t="s">
        <v>544</v>
      </c>
      <c r="M847" s="7" t="s">
        <v>541</v>
      </c>
      <c r="N847" s="16"/>
      <c r="O847" s="7"/>
      <c r="P847" s="22"/>
      <c r="Q847" s="8" t="n">
        <v>983.92</v>
      </c>
      <c r="R847" s="8" t="n">
        <v>-983.92</v>
      </c>
      <c r="S847" s="7" t="s">
        <v>744</v>
      </c>
      <c r="T847" s="7"/>
      <c r="U847" s="7"/>
      <c r="V847" s="20"/>
      <c r="W847" s="7"/>
      <c r="X847" s="7"/>
      <c r="Y847" s="7"/>
      <c r="Z847" s="7"/>
      <c r="AA847" s="23" t="n">
        <f aca="false">YEAR(C847)</f>
        <v>2025</v>
      </c>
    </row>
    <row r="848" customFormat="false" ht="15" hidden="false" customHeight="false" outlineLevel="0" collapsed="false">
      <c r="A848" s="7" t="s">
        <v>2279</v>
      </c>
      <c r="B848" s="7" t="s">
        <v>137</v>
      </c>
      <c r="C848" s="20" t="n">
        <v>45961</v>
      </c>
      <c r="D848" s="20" t="n">
        <v>45961</v>
      </c>
      <c r="E848" s="20"/>
      <c r="F848" s="7" t="s">
        <v>759</v>
      </c>
      <c r="G848" s="7" t="s">
        <v>153</v>
      </c>
      <c r="H848" s="7" t="s">
        <v>246</v>
      </c>
      <c r="I848" s="7" t="s">
        <v>247</v>
      </c>
      <c r="J848" s="7" t="s">
        <v>236</v>
      </c>
      <c r="K848" s="7" t="s">
        <v>189</v>
      </c>
      <c r="L848" s="7" t="s">
        <v>2280</v>
      </c>
      <c r="M848" s="7" t="s">
        <v>556</v>
      </c>
      <c r="N848" s="16"/>
      <c r="O848" s="7"/>
      <c r="P848" s="22"/>
      <c r="Q848" s="8" t="n">
        <v>1501.59</v>
      </c>
      <c r="R848" s="8" t="n">
        <v>-1501.59</v>
      </c>
      <c r="S848" s="7" t="s">
        <v>775</v>
      </c>
      <c r="T848" s="7"/>
      <c r="U848" s="7"/>
      <c r="V848" s="20"/>
      <c r="W848" s="7"/>
      <c r="X848" s="7" t="s">
        <v>784</v>
      </c>
      <c r="Y848" s="7"/>
      <c r="Z848" s="7"/>
      <c r="AA848" s="23" t="n">
        <f aca="false">YEAR(C848)</f>
        <v>2025</v>
      </c>
    </row>
    <row r="849" customFormat="false" ht="15" hidden="false" customHeight="false" outlineLevel="0" collapsed="false">
      <c r="A849" s="7" t="s">
        <v>2281</v>
      </c>
      <c r="B849" s="7" t="s">
        <v>137</v>
      </c>
      <c r="C849" s="20" t="n">
        <v>45961</v>
      </c>
      <c r="D849" s="20" t="n">
        <v>45961</v>
      </c>
      <c r="E849" s="20"/>
      <c r="F849" s="7" t="s">
        <v>759</v>
      </c>
      <c r="G849" s="7" t="s">
        <v>153</v>
      </c>
      <c r="H849" s="7" t="s">
        <v>574</v>
      </c>
      <c r="I849" s="7" t="s">
        <v>364</v>
      </c>
      <c r="J849" s="7" t="s">
        <v>761</v>
      </c>
      <c r="K849" s="7" t="s">
        <v>772</v>
      </c>
      <c r="L849" s="7" t="s">
        <v>575</v>
      </c>
      <c r="M849" s="7" t="s">
        <v>556</v>
      </c>
      <c r="N849" s="16"/>
      <c r="O849" s="7"/>
      <c r="P849" s="22"/>
      <c r="Q849" s="8" t="n">
        <v>18000</v>
      </c>
      <c r="R849" s="8" t="n">
        <v>-18000</v>
      </c>
      <c r="S849" s="7" t="s">
        <v>783</v>
      </c>
      <c r="T849" s="7"/>
      <c r="U849" s="7"/>
      <c r="V849" s="20"/>
      <c r="W849" s="7"/>
      <c r="X849" s="7" t="s">
        <v>784</v>
      </c>
      <c r="Y849" s="7"/>
      <c r="Z849" s="7"/>
      <c r="AA849" s="23" t="n">
        <f aca="false">YEAR(C849)</f>
        <v>2025</v>
      </c>
    </row>
    <row r="850" customFormat="false" ht="15" hidden="false" customHeight="false" outlineLevel="0" collapsed="false">
      <c r="A850" s="7" t="s">
        <v>2282</v>
      </c>
      <c r="B850" s="7" t="s">
        <v>137</v>
      </c>
      <c r="C850" s="20" t="n">
        <v>45961</v>
      </c>
      <c r="D850" s="20" t="n">
        <v>45976</v>
      </c>
      <c r="E850" s="20"/>
      <c r="F850" s="7" t="s">
        <v>759</v>
      </c>
      <c r="G850" s="7" t="s">
        <v>149</v>
      </c>
      <c r="H850" s="7" t="s">
        <v>273</v>
      </c>
      <c r="I850" s="7" t="s">
        <v>274</v>
      </c>
      <c r="J850" s="7" t="s">
        <v>221</v>
      </c>
      <c r="K850" s="7" t="s">
        <v>270</v>
      </c>
      <c r="L850" s="7" t="s">
        <v>554</v>
      </c>
      <c r="M850" s="7" t="s">
        <v>541</v>
      </c>
      <c r="N850" s="16"/>
      <c r="O850" s="7"/>
      <c r="P850" s="22"/>
      <c r="Q850" s="8" t="n">
        <v>216.46</v>
      </c>
      <c r="R850" s="8" t="n">
        <v>-216.46</v>
      </c>
      <c r="S850" s="7" t="s">
        <v>789</v>
      </c>
      <c r="T850" s="7"/>
      <c r="U850" s="7"/>
      <c r="V850" s="20"/>
      <c r="W850" s="7"/>
      <c r="X850" s="7"/>
      <c r="Y850" s="7"/>
      <c r="Z850" s="7"/>
      <c r="AA850" s="23" t="n">
        <f aca="false">YEAR(C850)</f>
        <v>2025</v>
      </c>
    </row>
    <row r="851" customFormat="false" ht="15" hidden="false" customHeight="false" outlineLevel="0" collapsed="false">
      <c r="A851" s="7" t="s">
        <v>2283</v>
      </c>
      <c r="B851" s="7" t="s">
        <v>137</v>
      </c>
      <c r="C851" s="20" t="n">
        <v>45962</v>
      </c>
      <c r="D851" s="20" t="n">
        <v>45962</v>
      </c>
      <c r="E851" s="20"/>
      <c r="F851" s="7" t="s">
        <v>759</v>
      </c>
      <c r="G851" s="7" t="s">
        <v>153</v>
      </c>
      <c r="H851" s="7" t="s">
        <v>545</v>
      </c>
      <c r="I851" s="7" t="s">
        <v>760</v>
      </c>
      <c r="J851" s="7" t="s">
        <v>761</v>
      </c>
      <c r="K851" s="7" t="s">
        <v>762</v>
      </c>
      <c r="L851" s="7" t="s">
        <v>546</v>
      </c>
      <c r="M851" s="7"/>
      <c r="N851" s="16"/>
      <c r="O851" s="7"/>
      <c r="P851" s="22"/>
      <c r="Q851" s="8" t="n">
        <v>4200</v>
      </c>
      <c r="R851" s="8" t="n">
        <v>-4200</v>
      </c>
      <c r="S851" s="7" t="s">
        <v>763</v>
      </c>
      <c r="T851" s="7"/>
      <c r="U851" s="7"/>
      <c r="V851" s="20"/>
      <c r="W851" s="7"/>
      <c r="X851" s="7"/>
      <c r="Y851" s="7"/>
      <c r="Z851" s="7"/>
      <c r="AA851" s="23" t="n">
        <f aca="false">YEAR(C851)</f>
        <v>2025</v>
      </c>
    </row>
    <row r="852" customFormat="false" ht="15" hidden="false" customHeight="false" outlineLevel="0" collapsed="false">
      <c r="A852" s="7" t="s">
        <v>2284</v>
      </c>
      <c r="B852" s="7" t="s">
        <v>137</v>
      </c>
      <c r="C852" s="20" t="n">
        <v>45969</v>
      </c>
      <c r="D852" s="20" t="n">
        <v>46013</v>
      </c>
      <c r="E852" s="20"/>
      <c r="F852" s="7" t="s">
        <v>759</v>
      </c>
      <c r="G852" s="7" t="s">
        <v>153</v>
      </c>
      <c r="H852" s="7" t="s">
        <v>244</v>
      </c>
      <c r="I852" s="7" t="s">
        <v>245</v>
      </c>
      <c r="J852" s="7" t="s">
        <v>229</v>
      </c>
      <c r="K852" s="7" t="s">
        <v>233</v>
      </c>
      <c r="L852" s="7" t="s">
        <v>570</v>
      </c>
      <c r="M852" s="7"/>
      <c r="N852" s="16"/>
      <c r="O852" s="7"/>
      <c r="P852" s="22"/>
      <c r="Q852" s="8" t="n">
        <v>165</v>
      </c>
      <c r="R852" s="8" t="n">
        <v>-165</v>
      </c>
      <c r="S852" s="7" t="s">
        <v>765</v>
      </c>
      <c r="T852" s="7"/>
      <c r="U852" s="7"/>
      <c r="V852" s="20"/>
      <c r="W852" s="7"/>
      <c r="X852" s="7"/>
      <c r="Y852" s="7"/>
      <c r="Z852" s="7"/>
      <c r="AA852" s="23" t="n">
        <f aca="false">YEAR(C852)</f>
        <v>2025</v>
      </c>
    </row>
    <row r="853" customFormat="false" ht="15" hidden="false" customHeight="false" outlineLevel="0" collapsed="false">
      <c r="A853" s="7" t="s">
        <v>2285</v>
      </c>
      <c r="B853" s="7" t="s">
        <v>137</v>
      </c>
      <c r="C853" s="20" t="n">
        <v>45970</v>
      </c>
      <c r="D853" s="20" t="n">
        <v>46000</v>
      </c>
      <c r="E853" s="20"/>
      <c r="F853" s="7" t="s">
        <v>759</v>
      </c>
      <c r="G853" s="7" t="s">
        <v>149</v>
      </c>
      <c r="H853" s="7" t="s">
        <v>268</v>
      </c>
      <c r="I853" s="7" t="s">
        <v>269</v>
      </c>
      <c r="J853" s="7" t="s">
        <v>221</v>
      </c>
      <c r="K853" s="7" t="s">
        <v>267</v>
      </c>
      <c r="L853" s="7" t="s">
        <v>2286</v>
      </c>
      <c r="M853" s="7" t="s">
        <v>563</v>
      </c>
      <c r="N853" s="16"/>
      <c r="O853" s="7"/>
      <c r="P853" s="22"/>
      <c r="Q853" s="8" t="n">
        <v>6012.9</v>
      </c>
      <c r="R853" s="8" t="n">
        <v>-6012.9</v>
      </c>
      <c r="S853" s="7" t="s">
        <v>751</v>
      </c>
      <c r="T853" s="7"/>
      <c r="U853" s="7" t="s">
        <v>2287</v>
      </c>
      <c r="V853" s="20" t="n">
        <v>46000</v>
      </c>
      <c r="W853" s="7"/>
      <c r="X853" s="7"/>
      <c r="Y853" s="7"/>
      <c r="Z853" s="7"/>
      <c r="AA853" s="23" t="n">
        <f aca="false">YEAR(C853)</f>
        <v>2025</v>
      </c>
    </row>
    <row r="854" customFormat="false" ht="15" hidden="false" customHeight="false" outlineLevel="0" collapsed="false">
      <c r="A854" s="7" t="s">
        <v>2288</v>
      </c>
      <c r="B854" s="7" t="s">
        <v>137</v>
      </c>
      <c r="C854" s="20" t="n">
        <v>45970</v>
      </c>
      <c r="D854" s="20" t="n">
        <v>46000</v>
      </c>
      <c r="E854" s="20"/>
      <c r="F854" s="7" t="s">
        <v>759</v>
      </c>
      <c r="G854" s="7" t="s">
        <v>149</v>
      </c>
      <c r="H854" s="7" t="s">
        <v>268</v>
      </c>
      <c r="I854" s="7" t="s">
        <v>269</v>
      </c>
      <c r="J854" s="7" t="s">
        <v>221</v>
      </c>
      <c r="K854" s="7" t="s">
        <v>267</v>
      </c>
      <c r="L854" s="7" t="s">
        <v>618</v>
      </c>
      <c r="M854" s="7" t="s">
        <v>563</v>
      </c>
      <c r="N854" s="16"/>
      <c r="O854" s="7"/>
      <c r="P854" s="22"/>
      <c r="Q854" s="8" t="n">
        <v>2653.84</v>
      </c>
      <c r="R854" s="8" t="n">
        <v>-2653.84</v>
      </c>
      <c r="S854" s="7" t="s">
        <v>751</v>
      </c>
      <c r="T854" s="7"/>
      <c r="U854" s="7" t="s">
        <v>2289</v>
      </c>
      <c r="V854" s="20" t="n">
        <v>46000</v>
      </c>
      <c r="W854" s="7"/>
      <c r="X854" s="7"/>
      <c r="Y854" s="7"/>
      <c r="Z854" s="7"/>
      <c r="AA854" s="23" t="n">
        <f aca="false">YEAR(C854)</f>
        <v>2025</v>
      </c>
    </row>
    <row r="855" customFormat="false" ht="15" hidden="false" customHeight="false" outlineLevel="0" collapsed="false">
      <c r="A855" s="7" t="s">
        <v>2290</v>
      </c>
      <c r="B855" s="7" t="s">
        <v>137</v>
      </c>
      <c r="C855" s="20" t="n">
        <v>45971</v>
      </c>
      <c r="D855" s="20" t="n">
        <v>45971</v>
      </c>
      <c r="E855" s="20"/>
      <c r="F855" s="7" t="s">
        <v>759</v>
      </c>
      <c r="G855" s="7" t="s">
        <v>153</v>
      </c>
      <c r="H855" s="7" t="s">
        <v>237</v>
      </c>
      <c r="I855" s="7" t="s">
        <v>238</v>
      </c>
      <c r="J855" s="7" t="s">
        <v>236</v>
      </c>
      <c r="K855" s="7" t="s">
        <v>189</v>
      </c>
      <c r="L855" s="7" t="s">
        <v>2291</v>
      </c>
      <c r="M855" s="7" t="s">
        <v>768</v>
      </c>
      <c r="N855" s="16"/>
      <c r="O855" s="7"/>
      <c r="P855" s="22"/>
      <c r="Q855" s="8" t="n">
        <v>21.65</v>
      </c>
      <c r="R855" s="8" t="n">
        <v>-21.65</v>
      </c>
      <c r="S855" s="7" t="s">
        <v>744</v>
      </c>
      <c r="T855" s="7"/>
      <c r="U855" s="7"/>
      <c r="V855" s="20"/>
      <c r="W855" s="7"/>
      <c r="X855" s="7" t="s">
        <v>769</v>
      </c>
      <c r="Y855" s="7"/>
      <c r="Z855" s="7"/>
      <c r="AA855" s="23" t="n">
        <f aca="false">YEAR(C855)</f>
        <v>2025</v>
      </c>
    </row>
    <row r="856" customFormat="false" ht="15" hidden="false" customHeight="false" outlineLevel="0" collapsed="false">
      <c r="A856" s="7" t="s">
        <v>2292</v>
      </c>
      <c r="B856" s="7" t="s">
        <v>137</v>
      </c>
      <c r="C856" s="20" t="n">
        <v>45971</v>
      </c>
      <c r="D856" s="20" t="n">
        <v>45971</v>
      </c>
      <c r="E856" s="20"/>
      <c r="F856" s="7" t="s">
        <v>759</v>
      </c>
      <c r="G856" s="7" t="s">
        <v>153</v>
      </c>
      <c r="H856" s="7" t="s">
        <v>559</v>
      </c>
      <c r="I856" s="7" t="s">
        <v>771</v>
      </c>
      <c r="J856" s="7" t="s">
        <v>761</v>
      </c>
      <c r="K856" s="7" t="s">
        <v>772</v>
      </c>
      <c r="L856" s="7" t="s">
        <v>2293</v>
      </c>
      <c r="M856" s="7" t="s">
        <v>768</v>
      </c>
      <c r="N856" s="16"/>
      <c r="O856" s="7"/>
      <c r="P856" s="22"/>
      <c r="Q856" s="8" t="n">
        <v>823.44</v>
      </c>
      <c r="R856" s="8" t="n">
        <v>-823.44</v>
      </c>
      <c r="S856" s="7" t="s">
        <v>744</v>
      </c>
      <c r="T856" s="7"/>
      <c r="U856" s="7"/>
      <c r="V856" s="20"/>
      <c r="W856" s="7"/>
      <c r="X856" s="7" t="s">
        <v>769</v>
      </c>
      <c r="Y856" s="7"/>
      <c r="Z856" s="7"/>
      <c r="AA856" s="23" t="n">
        <f aca="false">YEAR(C856)</f>
        <v>2025</v>
      </c>
    </row>
    <row r="857" customFormat="false" ht="15" hidden="false" customHeight="false" outlineLevel="0" collapsed="false">
      <c r="A857" s="7" t="s">
        <v>2294</v>
      </c>
      <c r="B857" s="7" t="s">
        <v>137</v>
      </c>
      <c r="C857" s="20" t="n">
        <v>45973</v>
      </c>
      <c r="D857" s="20" t="n">
        <v>45973</v>
      </c>
      <c r="E857" s="20"/>
      <c r="F857" s="7" t="s">
        <v>759</v>
      </c>
      <c r="G857" s="7" t="s">
        <v>153</v>
      </c>
      <c r="H857" s="7" t="s">
        <v>240</v>
      </c>
      <c r="I857" s="7" t="s">
        <v>239</v>
      </c>
      <c r="J857" s="7" t="s">
        <v>229</v>
      </c>
      <c r="K857" s="7" t="s">
        <v>239</v>
      </c>
      <c r="L857" s="7" t="s">
        <v>548</v>
      </c>
      <c r="M857" s="7" t="s">
        <v>547</v>
      </c>
      <c r="N857" s="16"/>
      <c r="O857" s="7"/>
      <c r="P857" s="22"/>
      <c r="Q857" s="8" t="n">
        <v>277.71</v>
      </c>
      <c r="R857" s="8" t="n">
        <v>-277.71</v>
      </c>
      <c r="S857" s="7" t="s">
        <v>775</v>
      </c>
      <c r="T857" s="7"/>
      <c r="U857" s="7"/>
      <c r="V857" s="20"/>
      <c r="W857" s="7"/>
      <c r="X857" s="7"/>
      <c r="Y857" s="7"/>
      <c r="Z857" s="7"/>
      <c r="AA857" s="23" t="n">
        <f aca="false">YEAR(C857)</f>
        <v>2025</v>
      </c>
    </row>
    <row r="858" customFormat="false" ht="15" hidden="false" customHeight="false" outlineLevel="0" collapsed="false">
      <c r="A858" s="7" t="s">
        <v>2295</v>
      </c>
      <c r="B858" s="7" t="s">
        <v>137</v>
      </c>
      <c r="C858" s="20" t="n">
        <v>45975</v>
      </c>
      <c r="D858" s="20" t="n">
        <v>45975</v>
      </c>
      <c r="E858" s="20"/>
      <c r="F858" s="7" t="s">
        <v>759</v>
      </c>
      <c r="G858" s="7" t="s">
        <v>149</v>
      </c>
      <c r="H858" s="7" t="s">
        <v>271</v>
      </c>
      <c r="I858" s="7" t="s">
        <v>272</v>
      </c>
      <c r="J858" s="7" t="s">
        <v>221</v>
      </c>
      <c r="K858" s="7" t="s">
        <v>270</v>
      </c>
      <c r="L858" s="7" t="s">
        <v>906</v>
      </c>
      <c r="M858" s="7" t="s">
        <v>541</v>
      </c>
      <c r="N858" s="16"/>
      <c r="O858" s="7"/>
      <c r="P858" s="22"/>
      <c r="Q858" s="8" t="n">
        <v>718.86</v>
      </c>
      <c r="R858" s="8" t="n">
        <v>-718.86</v>
      </c>
      <c r="S858" s="7" t="s">
        <v>744</v>
      </c>
      <c r="T858" s="7"/>
      <c r="U858" s="7"/>
      <c r="V858" s="20"/>
      <c r="W858" s="7"/>
      <c r="X858" s="7"/>
      <c r="Y858" s="7"/>
      <c r="Z858" s="7"/>
      <c r="AA858" s="23" t="n">
        <f aca="false">YEAR(C858)</f>
        <v>2025</v>
      </c>
    </row>
    <row r="859" customFormat="false" ht="15" hidden="false" customHeight="false" outlineLevel="0" collapsed="false">
      <c r="A859" s="7" t="s">
        <v>2296</v>
      </c>
      <c r="B859" s="7" t="s">
        <v>137</v>
      </c>
      <c r="C859" s="20" t="n">
        <v>45975</v>
      </c>
      <c r="D859" s="20" t="n">
        <v>45975</v>
      </c>
      <c r="E859" s="20"/>
      <c r="F859" s="7" t="s">
        <v>759</v>
      </c>
      <c r="G859" s="7" t="s">
        <v>153</v>
      </c>
      <c r="H859" s="7" t="s">
        <v>271</v>
      </c>
      <c r="I859" s="7" t="s">
        <v>272</v>
      </c>
      <c r="J859" s="7" t="s">
        <v>221</v>
      </c>
      <c r="K859" s="7" t="s">
        <v>270</v>
      </c>
      <c r="L859" s="7" t="s">
        <v>544</v>
      </c>
      <c r="M859" s="7" t="s">
        <v>541</v>
      </c>
      <c r="N859" s="16"/>
      <c r="O859" s="7"/>
      <c r="P859" s="22"/>
      <c r="Q859" s="8" t="n">
        <v>479.24</v>
      </c>
      <c r="R859" s="8" t="n">
        <v>-479.24</v>
      </c>
      <c r="S859" s="7" t="s">
        <v>744</v>
      </c>
      <c r="T859" s="7"/>
      <c r="U859" s="7"/>
      <c r="V859" s="20"/>
      <c r="W859" s="7"/>
      <c r="X859" s="7"/>
      <c r="Y859" s="7"/>
      <c r="Z859" s="7"/>
      <c r="AA859" s="23" t="n">
        <f aca="false">YEAR(C859)</f>
        <v>2025</v>
      </c>
    </row>
    <row r="860" customFormat="false" ht="15" hidden="false" customHeight="false" outlineLevel="0" collapsed="false">
      <c r="A860" s="7" t="s">
        <v>2297</v>
      </c>
      <c r="B860" s="7" t="s">
        <v>137</v>
      </c>
      <c r="C860" s="20" t="n">
        <v>45975</v>
      </c>
      <c r="D860" s="20" t="n">
        <v>46006</v>
      </c>
      <c r="E860" s="20"/>
      <c r="F860" s="7" t="s">
        <v>759</v>
      </c>
      <c r="G860" s="7" t="s">
        <v>149</v>
      </c>
      <c r="H860" s="7" t="s">
        <v>273</v>
      </c>
      <c r="I860" s="7" t="s">
        <v>274</v>
      </c>
      <c r="J860" s="7" t="s">
        <v>221</v>
      </c>
      <c r="K860" s="7" t="s">
        <v>270</v>
      </c>
      <c r="L860" s="7" t="s">
        <v>554</v>
      </c>
      <c r="M860" s="7" t="s">
        <v>541</v>
      </c>
      <c r="N860" s="16"/>
      <c r="O860" s="7"/>
      <c r="P860" s="22"/>
      <c r="Q860" s="8" t="n">
        <v>105.43</v>
      </c>
      <c r="R860" s="8" t="n">
        <v>-105.43</v>
      </c>
      <c r="S860" s="7" t="s">
        <v>789</v>
      </c>
      <c r="T860" s="7"/>
      <c r="U860" s="7"/>
      <c r="V860" s="20"/>
      <c r="W860" s="7"/>
      <c r="X860" s="7"/>
      <c r="Y860" s="7"/>
      <c r="Z860" s="7"/>
      <c r="AA860" s="23" t="n">
        <f aca="false">YEAR(C860)</f>
        <v>2025</v>
      </c>
    </row>
    <row r="861" customFormat="false" ht="15" hidden="false" customHeight="false" outlineLevel="0" collapsed="false">
      <c r="A861" s="7" t="s">
        <v>2298</v>
      </c>
      <c r="B861" s="7" t="s">
        <v>137</v>
      </c>
      <c r="C861" s="20" t="n">
        <v>45975</v>
      </c>
      <c r="D861" s="20" t="n">
        <v>46006</v>
      </c>
      <c r="E861" s="20"/>
      <c r="F861" s="7" t="s">
        <v>759</v>
      </c>
      <c r="G861" s="7" t="s">
        <v>153</v>
      </c>
      <c r="H861" s="7" t="s">
        <v>261</v>
      </c>
      <c r="I861" s="7" t="s">
        <v>262</v>
      </c>
      <c r="J861" s="7" t="s">
        <v>221</v>
      </c>
      <c r="K861" s="7" t="s">
        <v>260</v>
      </c>
      <c r="L861" s="7" t="s">
        <v>623</v>
      </c>
      <c r="M861" s="7" t="s">
        <v>538</v>
      </c>
      <c r="N861" s="16"/>
      <c r="O861" s="7"/>
      <c r="P861" s="22"/>
      <c r="Q861" s="8" t="n">
        <v>1796.12</v>
      </c>
      <c r="R861" s="8" t="n">
        <v>-1796.12</v>
      </c>
      <c r="S861" s="7" t="s">
        <v>751</v>
      </c>
      <c r="T861" s="7"/>
      <c r="U861" s="7" t="s">
        <v>2299</v>
      </c>
      <c r="V861" s="20" t="n">
        <v>46005</v>
      </c>
      <c r="W861" s="7"/>
      <c r="X861" s="7"/>
      <c r="Y861" s="7"/>
      <c r="Z861" s="7"/>
      <c r="AA861" s="23" t="n">
        <f aca="false">YEAR(C861)</f>
        <v>2025</v>
      </c>
    </row>
    <row r="862" customFormat="false" ht="15" hidden="false" customHeight="false" outlineLevel="0" collapsed="false">
      <c r="A862" s="7" t="s">
        <v>2300</v>
      </c>
      <c r="B862" s="7" t="s">
        <v>137</v>
      </c>
      <c r="C862" s="20" t="n">
        <v>45975</v>
      </c>
      <c r="D862" s="20" t="n">
        <v>46045</v>
      </c>
      <c r="E862" s="20"/>
      <c r="F862" s="7" t="s">
        <v>759</v>
      </c>
      <c r="G862" s="7" t="s">
        <v>136</v>
      </c>
      <c r="H862" s="7" t="s">
        <v>290</v>
      </c>
      <c r="I862" s="7" t="s">
        <v>291</v>
      </c>
      <c r="J862" s="7" t="s">
        <v>221</v>
      </c>
      <c r="K862" s="7" t="s">
        <v>289</v>
      </c>
      <c r="L862" s="7" t="s">
        <v>2301</v>
      </c>
      <c r="M862" s="7" t="s">
        <v>1259</v>
      </c>
      <c r="N862" s="16" t="n">
        <v>96</v>
      </c>
      <c r="O862" s="7" t="s">
        <v>801</v>
      </c>
      <c r="P862" s="22" t="n">
        <v>75</v>
      </c>
      <c r="Q862" s="8" t="n">
        <v>7200</v>
      </c>
      <c r="R862" s="8" t="n">
        <v>-7200</v>
      </c>
      <c r="S862" s="7" t="s">
        <v>751</v>
      </c>
      <c r="T862" s="7"/>
      <c r="U862" s="7" t="s">
        <v>2302</v>
      </c>
      <c r="V862" s="20" t="n">
        <v>46035</v>
      </c>
      <c r="W862" s="7"/>
      <c r="X862" s="7"/>
      <c r="Y862" s="7" t="s">
        <v>722</v>
      </c>
      <c r="Z862" s="7"/>
      <c r="AA862" s="23" t="n">
        <f aca="false">YEAR(C862)</f>
        <v>2025</v>
      </c>
    </row>
    <row r="863" customFormat="false" ht="15" hidden="false" customHeight="false" outlineLevel="0" collapsed="false">
      <c r="A863" s="7" t="s">
        <v>2303</v>
      </c>
      <c r="B863" s="7" t="s">
        <v>137</v>
      </c>
      <c r="C863" s="20" t="n">
        <v>45977</v>
      </c>
      <c r="D863" s="20" t="n">
        <v>45977</v>
      </c>
      <c r="E863" s="20"/>
      <c r="F863" s="7" t="s">
        <v>759</v>
      </c>
      <c r="G863" s="7" t="s">
        <v>149</v>
      </c>
      <c r="H863" s="7" t="s">
        <v>237</v>
      </c>
      <c r="I863" s="7" t="s">
        <v>238</v>
      </c>
      <c r="J863" s="7" t="s">
        <v>236</v>
      </c>
      <c r="K863" s="7" t="s">
        <v>189</v>
      </c>
      <c r="L863" s="7" t="s">
        <v>2304</v>
      </c>
      <c r="M863" s="7" t="s">
        <v>556</v>
      </c>
      <c r="N863" s="16"/>
      <c r="O863" s="7"/>
      <c r="P863" s="22"/>
      <c r="Q863" s="8" t="n">
        <v>320.84</v>
      </c>
      <c r="R863" s="8" t="n">
        <v>-320.84</v>
      </c>
      <c r="S863" s="7" t="s">
        <v>744</v>
      </c>
      <c r="T863" s="7"/>
      <c r="U863" s="7"/>
      <c r="V863" s="20"/>
      <c r="W863" s="7"/>
      <c r="X863" s="7" t="s">
        <v>1552</v>
      </c>
      <c r="Y863" s="7"/>
      <c r="Z863" s="7"/>
      <c r="AA863" s="23" t="n">
        <f aca="false">YEAR(C863)</f>
        <v>2025</v>
      </c>
    </row>
    <row r="864" customFormat="false" ht="15" hidden="false" customHeight="false" outlineLevel="0" collapsed="false">
      <c r="A864" s="7" t="s">
        <v>2305</v>
      </c>
      <c r="B864" s="7" t="s">
        <v>137</v>
      </c>
      <c r="C864" s="20" t="n">
        <v>45977</v>
      </c>
      <c r="D864" s="20" t="n">
        <v>45977</v>
      </c>
      <c r="E864" s="20"/>
      <c r="F864" s="7" t="s">
        <v>759</v>
      </c>
      <c r="G864" s="7" t="s">
        <v>149</v>
      </c>
      <c r="H864" s="7" t="s">
        <v>559</v>
      </c>
      <c r="I864" s="7" t="s">
        <v>771</v>
      </c>
      <c r="J864" s="7" t="s">
        <v>761</v>
      </c>
      <c r="K864" s="7" t="s">
        <v>772</v>
      </c>
      <c r="L864" s="7" t="s">
        <v>2306</v>
      </c>
      <c r="M864" s="7" t="s">
        <v>556</v>
      </c>
      <c r="N864" s="16"/>
      <c r="O864" s="7"/>
      <c r="P864" s="22"/>
      <c r="Q864" s="8" t="n">
        <v>1411.65</v>
      </c>
      <c r="R864" s="8" t="n">
        <v>-1411.65</v>
      </c>
      <c r="S864" s="7" t="s">
        <v>744</v>
      </c>
      <c r="T864" s="7"/>
      <c r="U864" s="7"/>
      <c r="V864" s="20"/>
      <c r="W864" s="7"/>
      <c r="X864" s="7" t="s">
        <v>1552</v>
      </c>
      <c r="Y864" s="7"/>
      <c r="Z864" s="7"/>
      <c r="AA864" s="23" t="n">
        <f aca="false">YEAR(C864)</f>
        <v>2025</v>
      </c>
    </row>
    <row r="865" customFormat="false" ht="15" hidden="false" customHeight="false" outlineLevel="0" collapsed="false">
      <c r="A865" s="7" t="s">
        <v>2307</v>
      </c>
      <c r="B865" s="7" t="s">
        <v>137</v>
      </c>
      <c r="C865" s="20" t="n">
        <v>45987</v>
      </c>
      <c r="D865" s="20" t="n">
        <v>46013</v>
      </c>
      <c r="E865" s="20"/>
      <c r="F865" s="7" t="s">
        <v>759</v>
      </c>
      <c r="G865" s="7" t="s">
        <v>153</v>
      </c>
      <c r="H865" s="7" t="s">
        <v>242</v>
      </c>
      <c r="I865" s="7" t="s">
        <v>243</v>
      </c>
      <c r="J865" s="7" t="s">
        <v>229</v>
      </c>
      <c r="K865" s="7" t="s">
        <v>241</v>
      </c>
      <c r="L865" s="7" t="s">
        <v>571</v>
      </c>
      <c r="M865" s="7"/>
      <c r="N865" s="16"/>
      <c r="O865" s="7"/>
      <c r="P865" s="22"/>
      <c r="Q865" s="8" t="n">
        <v>297.26</v>
      </c>
      <c r="R865" s="8" t="n">
        <v>-297.26</v>
      </c>
      <c r="S865" s="7" t="s">
        <v>765</v>
      </c>
      <c r="T865" s="7"/>
      <c r="U865" s="7"/>
      <c r="V865" s="20"/>
      <c r="W865" s="7"/>
      <c r="X865" s="7"/>
      <c r="Y865" s="7"/>
      <c r="Z865" s="7"/>
      <c r="AA865" s="23" t="n">
        <f aca="false">YEAR(C865)</f>
        <v>2025</v>
      </c>
    </row>
    <row r="866" customFormat="false" ht="15" hidden="false" customHeight="false" outlineLevel="0" collapsed="false">
      <c r="A866" s="7" t="s">
        <v>2308</v>
      </c>
      <c r="B866" s="7" t="s">
        <v>137</v>
      </c>
      <c r="C866" s="20" t="n">
        <v>45991</v>
      </c>
      <c r="D866" s="20" t="n">
        <v>45991</v>
      </c>
      <c r="E866" s="20"/>
      <c r="F866" s="7" t="s">
        <v>759</v>
      </c>
      <c r="G866" s="7" t="s">
        <v>153</v>
      </c>
      <c r="H866" s="7" t="s">
        <v>246</v>
      </c>
      <c r="I866" s="7" t="s">
        <v>247</v>
      </c>
      <c r="J866" s="7" t="s">
        <v>236</v>
      </c>
      <c r="K866" s="7" t="s">
        <v>189</v>
      </c>
      <c r="L866" s="7" t="s">
        <v>2280</v>
      </c>
      <c r="M866" s="7" t="s">
        <v>556</v>
      </c>
      <c r="N866" s="16"/>
      <c r="O866" s="7"/>
      <c r="P866" s="22"/>
      <c r="Q866" s="8" t="n">
        <v>1334.79</v>
      </c>
      <c r="R866" s="8" t="n">
        <v>-1334.79</v>
      </c>
      <c r="S866" s="7" t="s">
        <v>775</v>
      </c>
      <c r="T866" s="7"/>
      <c r="U866" s="7"/>
      <c r="V866" s="20"/>
      <c r="W866" s="7"/>
      <c r="X866" s="7" t="s">
        <v>784</v>
      </c>
      <c r="Y866" s="7"/>
      <c r="Z866" s="7"/>
      <c r="AA866" s="23" t="n">
        <f aca="false">YEAR(C866)</f>
        <v>2025</v>
      </c>
    </row>
    <row r="867" customFormat="false" ht="15" hidden="false" customHeight="false" outlineLevel="0" collapsed="false">
      <c r="A867" s="7" t="s">
        <v>2309</v>
      </c>
      <c r="B867" s="7" t="s">
        <v>137</v>
      </c>
      <c r="C867" s="20" t="n">
        <v>45992</v>
      </c>
      <c r="D867" s="20" t="n">
        <v>45992</v>
      </c>
      <c r="E867" s="20"/>
      <c r="F867" s="7" t="s">
        <v>759</v>
      </c>
      <c r="G867" s="7" t="s">
        <v>153</v>
      </c>
      <c r="H867" s="7" t="s">
        <v>237</v>
      </c>
      <c r="I867" s="7" t="s">
        <v>238</v>
      </c>
      <c r="J867" s="7" t="s">
        <v>236</v>
      </c>
      <c r="K867" s="7" t="s">
        <v>189</v>
      </c>
      <c r="L867" s="7" t="s">
        <v>2310</v>
      </c>
      <c r="M867" s="7" t="s">
        <v>609</v>
      </c>
      <c r="N867" s="16"/>
      <c r="O867" s="7"/>
      <c r="P867" s="22"/>
      <c r="Q867" s="8" t="n">
        <v>14311.34</v>
      </c>
      <c r="R867" s="8" t="n">
        <v>-14311.34</v>
      </c>
      <c r="S867" s="7" t="s">
        <v>744</v>
      </c>
      <c r="T867" s="7"/>
      <c r="U867" s="7"/>
      <c r="V867" s="20"/>
      <c r="W867" s="7"/>
      <c r="X867" s="7" t="s">
        <v>1265</v>
      </c>
      <c r="Y867" s="7"/>
      <c r="Z867" s="7"/>
      <c r="AA867" s="23" t="n">
        <f aca="false">YEAR(C867)</f>
        <v>2025</v>
      </c>
    </row>
    <row r="868" customFormat="false" ht="15" hidden="false" customHeight="false" outlineLevel="0" collapsed="false">
      <c r="A868" s="7" t="s">
        <v>2311</v>
      </c>
      <c r="B868" s="7" t="s">
        <v>137</v>
      </c>
      <c r="C868" s="20" t="n">
        <v>45992</v>
      </c>
      <c r="D868" s="20" t="n">
        <v>45992</v>
      </c>
      <c r="E868" s="20"/>
      <c r="F868" s="7" t="s">
        <v>759</v>
      </c>
      <c r="G868" s="7" t="s">
        <v>153</v>
      </c>
      <c r="H868" s="7" t="s">
        <v>559</v>
      </c>
      <c r="I868" s="7" t="s">
        <v>771</v>
      </c>
      <c r="J868" s="7" t="s">
        <v>761</v>
      </c>
      <c r="K868" s="7" t="s">
        <v>772</v>
      </c>
      <c r="L868" s="7" t="s">
        <v>2312</v>
      </c>
      <c r="M868" s="7" t="s">
        <v>609</v>
      </c>
      <c r="N868" s="16"/>
      <c r="O868" s="7"/>
      <c r="P868" s="22"/>
      <c r="Q868" s="8" t="n">
        <v>17558.34</v>
      </c>
      <c r="R868" s="8" t="n">
        <v>-17558.34</v>
      </c>
      <c r="S868" s="7" t="s">
        <v>744</v>
      </c>
      <c r="T868" s="7"/>
      <c r="U868" s="7"/>
      <c r="V868" s="20"/>
      <c r="W868" s="7"/>
      <c r="X868" s="7" t="s">
        <v>1265</v>
      </c>
      <c r="Y868" s="7"/>
      <c r="Z868" s="7"/>
      <c r="AA868" s="23" t="n">
        <f aca="false">YEAR(C868)</f>
        <v>2025</v>
      </c>
    </row>
    <row r="869" customFormat="false" ht="15" hidden="false" customHeight="false" outlineLevel="0" collapsed="false">
      <c r="A869" s="7" t="s">
        <v>2313</v>
      </c>
      <c r="B869" s="7" t="s">
        <v>137</v>
      </c>
      <c r="C869" s="20" t="n">
        <v>45992</v>
      </c>
      <c r="D869" s="20" t="n">
        <v>45992</v>
      </c>
      <c r="E869" s="20"/>
      <c r="F869" s="7" t="s">
        <v>759</v>
      </c>
      <c r="G869" s="7" t="s">
        <v>153</v>
      </c>
      <c r="H869" s="7" t="s">
        <v>561</v>
      </c>
      <c r="I869" s="7" t="s">
        <v>363</v>
      </c>
      <c r="J869" s="7" t="s">
        <v>761</v>
      </c>
      <c r="K869" s="7" t="s">
        <v>772</v>
      </c>
      <c r="L869" s="7" t="s">
        <v>562</v>
      </c>
      <c r="M869" s="7" t="s">
        <v>556</v>
      </c>
      <c r="N869" s="16"/>
      <c r="O869" s="7"/>
      <c r="P869" s="22"/>
      <c r="Q869" s="8" t="n">
        <v>14000</v>
      </c>
      <c r="R869" s="8" t="n">
        <v>14000</v>
      </c>
      <c r="S869" s="7" t="s">
        <v>783</v>
      </c>
      <c r="T869" s="7"/>
      <c r="U869" s="7"/>
      <c r="V869" s="20"/>
      <c r="W869" s="7"/>
      <c r="X869" s="7" t="s">
        <v>784</v>
      </c>
      <c r="Y869" s="7"/>
      <c r="Z869" s="7"/>
      <c r="AA869" s="23" t="n">
        <f aca="false">YEAR(C869)</f>
        <v>2025</v>
      </c>
    </row>
    <row r="870" customFormat="false" ht="15" hidden="false" customHeight="false" outlineLevel="0" collapsed="false">
      <c r="A870" s="7" t="s">
        <v>2314</v>
      </c>
      <c r="B870" s="7" t="s">
        <v>137</v>
      </c>
      <c r="C870" s="20" t="n">
        <v>45992</v>
      </c>
      <c r="D870" s="20" t="n">
        <v>45992</v>
      </c>
      <c r="E870" s="20"/>
      <c r="F870" s="7" t="s">
        <v>759</v>
      </c>
      <c r="G870" s="7" t="s">
        <v>153</v>
      </c>
      <c r="H870" s="7" t="s">
        <v>545</v>
      </c>
      <c r="I870" s="7" t="s">
        <v>760</v>
      </c>
      <c r="J870" s="7" t="s">
        <v>761</v>
      </c>
      <c r="K870" s="7" t="s">
        <v>762</v>
      </c>
      <c r="L870" s="7" t="s">
        <v>546</v>
      </c>
      <c r="M870" s="7"/>
      <c r="N870" s="16"/>
      <c r="O870" s="7"/>
      <c r="P870" s="22"/>
      <c r="Q870" s="8" t="n">
        <v>4200</v>
      </c>
      <c r="R870" s="8" t="n">
        <v>-4200</v>
      </c>
      <c r="S870" s="7" t="s">
        <v>763</v>
      </c>
      <c r="T870" s="7"/>
      <c r="U870" s="7"/>
      <c r="V870" s="20"/>
      <c r="W870" s="7"/>
      <c r="X870" s="7"/>
      <c r="Y870" s="7"/>
      <c r="Z870" s="7"/>
      <c r="AA870" s="23" t="n">
        <f aca="false">YEAR(C870)</f>
        <v>2025</v>
      </c>
    </row>
    <row r="871" customFormat="false" ht="15" hidden="false" customHeight="false" outlineLevel="0" collapsed="false">
      <c r="A871" s="7" t="s">
        <v>2315</v>
      </c>
      <c r="B871" s="7" t="s">
        <v>137</v>
      </c>
      <c r="C871" s="20" t="n">
        <v>45999</v>
      </c>
      <c r="D871" s="20" t="n">
        <v>46044</v>
      </c>
      <c r="E871" s="20"/>
      <c r="F871" s="7" t="s">
        <v>759</v>
      </c>
      <c r="G871" s="7" t="s">
        <v>153</v>
      </c>
      <c r="H871" s="7" t="s">
        <v>244</v>
      </c>
      <c r="I871" s="7" t="s">
        <v>245</v>
      </c>
      <c r="J871" s="7" t="s">
        <v>229</v>
      </c>
      <c r="K871" s="7" t="s">
        <v>233</v>
      </c>
      <c r="L871" s="7" t="s">
        <v>570</v>
      </c>
      <c r="M871" s="7"/>
      <c r="N871" s="16"/>
      <c r="O871" s="7"/>
      <c r="P871" s="22"/>
      <c r="Q871" s="8" t="n">
        <v>165</v>
      </c>
      <c r="R871" s="8" t="n">
        <v>-165</v>
      </c>
      <c r="S871" s="7" t="s">
        <v>765</v>
      </c>
      <c r="T871" s="7"/>
      <c r="U871" s="7"/>
      <c r="V871" s="20"/>
      <c r="W871" s="7"/>
      <c r="X871" s="7"/>
      <c r="Y871" s="7"/>
      <c r="Z871" s="7"/>
      <c r="AA871" s="23" t="n">
        <f aca="false">YEAR(C871)</f>
        <v>2025</v>
      </c>
    </row>
    <row r="872" customFormat="false" ht="15" hidden="false" customHeight="false" outlineLevel="0" collapsed="false">
      <c r="A872" s="7" t="s">
        <v>2316</v>
      </c>
      <c r="B872" s="7" t="s">
        <v>137</v>
      </c>
      <c r="C872" s="20" t="n">
        <v>46001</v>
      </c>
      <c r="D872" s="20" t="n">
        <v>46001</v>
      </c>
      <c r="E872" s="20"/>
      <c r="F872" s="7" t="s">
        <v>759</v>
      </c>
      <c r="G872" s="7" t="s">
        <v>153</v>
      </c>
      <c r="H872" s="7" t="s">
        <v>237</v>
      </c>
      <c r="I872" s="7" t="s">
        <v>238</v>
      </c>
      <c r="J872" s="7" t="s">
        <v>236</v>
      </c>
      <c r="K872" s="7" t="s">
        <v>189</v>
      </c>
      <c r="L872" s="7" t="s">
        <v>2317</v>
      </c>
      <c r="M872" s="7" t="s">
        <v>768</v>
      </c>
      <c r="N872" s="16"/>
      <c r="O872" s="7"/>
      <c r="P872" s="22"/>
      <c r="Q872" s="8" t="n">
        <v>18.98</v>
      </c>
      <c r="R872" s="8" t="n">
        <v>-18.98</v>
      </c>
      <c r="S872" s="7" t="s">
        <v>744</v>
      </c>
      <c r="T872" s="7"/>
      <c r="U872" s="7"/>
      <c r="V872" s="20"/>
      <c r="W872" s="7"/>
      <c r="X872" s="7" t="s">
        <v>769</v>
      </c>
      <c r="Y872" s="7"/>
      <c r="Z872" s="7"/>
      <c r="AA872" s="23" t="n">
        <f aca="false">YEAR(C872)</f>
        <v>2025</v>
      </c>
    </row>
    <row r="873" customFormat="false" ht="15" hidden="false" customHeight="false" outlineLevel="0" collapsed="false">
      <c r="A873" s="7" t="s">
        <v>2318</v>
      </c>
      <c r="B873" s="7" t="s">
        <v>137</v>
      </c>
      <c r="C873" s="20" t="n">
        <v>46001</v>
      </c>
      <c r="D873" s="20" t="n">
        <v>46001</v>
      </c>
      <c r="E873" s="20"/>
      <c r="F873" s="7" t="s">
        <v>759</v>
      </c>
      <c r="G873" s="7" t="s">
        <v>153</v>
      </c>
      <c r="H873" s="7" t="s">
        <v>559</v>
      </c>
      <c r="I873" s="7" t="s">
        <v>771</v>
      </c>
      <c r="J873" s="7" t="s">
        <v>761</v>
      </c>
      <c r="K873" s="7" t="s">
        <v>772</v>
      </c>
      <c r="L873" s="7" t="s">
        <v>2319</v>
      </c>
      <c r="M873" s="7" t="s">
        <v>768</v>
      </c>
      <c r="N873" s="16"/>
      <c r="O873" s="7"/>
      <c r="P873" s="22"/>
      <c r="Q873" s="8" t="n">
        <v>826.11</v>
      </c>
      <c r="R873" s="8" t="n">
        <v>-826.11</v>
      </c>
      <c r="S873" s="7" t="s">
        <v>744</v>
      </c>
      <c r="T873" s="7"/>
      <c r="U873" s="7"/>
      <c r="V873" s="20"/>
      <c r="W873" s="7"/>
      <c r="X873" s="7" t="s">
        <v>769</v>
      </c>
      <c r="Y873" s="7"/>
      <c r="Z873" s="7"/>
      <c r="AA873" s="23" t="n">
        <f aca="false">YEAR(C873)</f>
        <v>2025</v>
      </c>
    </row>
    <row r="874" customFormat="false" ht="15" hidden="false" customHeight="false" outlineLevel="0" collapsed="false">
      <c r="A874" s="7" t="s">
        <v>2320</v>
      </c>
      <c r="B874" s="7" t="s">
        <v>137</v>
      </c>
      <c r="C874" s="20" t="n">
        <v>46003</v>
      </c>
      <c r="D874" s="20" t="n">
        <v>46003</v>
      </c>
      <c r="E874" s="20"/>
      <c r="F874" s="7" t="s">
        <v>759</v>
      </c>
      <c r="G874" s="7" t="s">
        <v>153</v>
      </c>
      <c r="H874" s="7" t="s">
        <v>240</v>
      </c>
      <c r="I874" s="7" t="s">
        <v>239</v>
      </c>
      <c r="J874" s="7" t="s">
        <v>229</v>
      </c>
      <c r="K874" s="7" t="s">
        <v>239</v>
      </c>
      <c r="L874" s="7" t="s">
        <v>548</v>
      </c>
      <c r="M874" s="7" t="s">
        <v>547</v>
      </c>
      <c r="N874" s="16"/>
      <c r="O874" s="7"/>
      <c r="P874" s="22"/>
      <c r="Q874" s="8" t="n">
        <v>403.59</v>
      </c>
      <c r="R874" s="8" t="n">
        <v>-403.59</v>
      </c>
      <c r="S874" s="7" t="s">
        <v>775</v>
      </c>
      <c r="T874" s="7"/>
      <c r="U874" s="7"/>
      <c r="V874" s="20"/>
      <c r="W874" s="7"/>
      <c r="X874" s="7"/>
      <c r="Y874" s="7"/>
      <c r="Z874" s="7"/>
      <c r="AA874" s="23" t="n">
        <f aca="false">YEAR(C874)</f>
        <v>2025</v>
      </c>
    </row>
    <row r="875" customFormat="false" ht="15" hidden="false" customHeight="false" outlineLevel="0" collapsed="false">
      <c r="A875" s="7" t="s">
        <v>2321</v>
      </c>
      <c r="B875" s="7" t="s">
        <v>137</v>
      </c>
      <c r="C875" s="20" t="n">
        <v>46007</v>
      </c>
      <c r="D875" s="20" t="n">
        <v>46007</v>
      </c>
      <c r="E875" s="20"/>
      <c r="F875" s="7" t="s">
        <v>759</v>
      </c>
      <c r="G875" s="7" t="s">
        <v>149</v>
      </c>
      <c r="H875" s="7" t="s">
        <v>237</v>
      </c>
      <c r="I875" s="7" t="s">
        <v>238</v>
      </c>
      <c r="J875" s="7" t="s">
        <v>236</v>
      </c>
      <c r="K875" s="7" t="s">
        <v>189</v>
      </c>
      <c r="L875" s="7" t="s">
        <v>2322</v>
      </c>
      <c r="M875" s="7" t="s">
        <v>556</v>
      </c>
      <c r="N875" s="16"/>
      <c r="O875" s="7"/>
      <c r="P875" s="22"/>
      <c r="Q875" s="8" t="n">
        <v>312.31</v>
      </c>
      <c r="R875" s="8" t="n">
        <v>-312.31</v>
      </c>
      <c r="S875" s="7" t="s">
        <v>744</v>
      </c>
      <c r="T875" s="7"/>
      <c r="U875" s="7"/>
      <c r="V875" s="20"/>
      <c r="W875" s="7"/>
      <c r="X875" s="7" t="s">
        <v>1552</v>
      </c>
      <c r="Y875" s="7"/>
      <c r="Z875" s="7"/>
      <c r="AA875" s="23" t="n">
        <f aca="false">YEAR(C875)</f>
        <v>2025</v>
      </c>
    </row>
    <row r="876" customFormat="false" ht="15" hidden="false" customHeight="false" outlineLevel="0" collapsed="false">
      <c r="A876" s="7" t="s">
        <v>2323</v>
      </c>
      <c r="B876" s="7" t="s">
        <v>137</v>
      </c>
      <c r="C876" s="20" t="n">
        <v>46007</v>
      </c>
      <c r="D876" s="20" t="n">
        <v>46007</v>
      </c>
      <c r="E876" s="20"/>
      <c r="F876" s="7" t="s">
        <v>759</v>
      </c>
      <c r="G876" s="7" t="s">
        <v>149</v>
      </c>
      <c r="H876" s="7" t="s">
        <v>559</v>
      </c>
      <c r="I876" s="7" t="s">
        <v>771</v>
      </c>
      <c r="J876" s="7" t="s">
        <v>761</v>
      </c>
      <c r="K876" s="7" t="s">
        <v>772</v>
      </c>
      <c r="L876" s="7" t="s">
        <v>2324</v>
      </c>
      <c r="M876" s="7" t="s">
        <v>556</v>
      </c>
      <c r="N876" s="16"/>
      <c r="O876" s="7"/>
      <c r="P876" s="22"/>
      <c r="Q876" s="8" t="n">
        <v>1420.18</v>
      </c>
      <c r="R876" s="8" t="n">
        <v>-1420.18</v>
      </c>
      <c r="S876" s="7" t="s">
        <v>744</v>
      </c>
      <c r="T876" s="7"/>
      <c r="U876" s="7"/>
      <c r="V876" s="20"/>
      <c r="W876" s="7"/>
      <c r="X876" s="7" t="s">
        <v>1552</v>
      </c>
      <c r="Y876" s="7"/>
      <c r="Z876" s="7"/>
      <c r="AA876" s="23" t="n">
        <f aca="false">YEAR(C876)</f>
        <v>2025</v>
      </c>
    </row>
    <row r="877" customFormat="false" ht="15" hidden="false" customHeight="false" outlineLevel="0" collapsed="false">
      <c r="A877" s="7" t="s">
        <v>2325</v>
      </c>
      <c r="B877" s="7" t="s">
        <v>137</v>
      </c>
      <c r="C877" s="20" t="n">
        <v>46009</v>
      </c>
      <c r="D877" s="20" t="n">
        <v>46055</v>
      </c>
      <c r="E877" s="20"/>
      <c r="F877" s="7" t="s">
        <v>759</v>
      </c>
      <c r="G877" s="7" t="s">
        <v>136</v>
      </c>
      <c r="H877" s="7" t="s">
        <v>296</v>
      </c>
      <c r="I877" s="7" t="s">
        <v>297</v>
      </c>
      <c r="J877" s="7" t="s">
        <v>221</v>
      </c>
      <c r="K877" s="7" t="s">
        <v>289</v>
      </c>
      <c r="L877" s="7" t="s">
        <v>2326</v>
      </c>
      <c r="M877" s="7" t="s">
        <v>1278</v>
      </c>
      <c r="N877" s="16" t="n">
        <v>50016</v>
      </c>
      <c r="O877" s="7" t="s">
        <v>1279</v>
      </c>
      <c r="P877" s="22" t="n">
        <v>0.142</v>
      </c>
      <c r="Q877" s="8" t="n">
        <v>7102.27</v>
      </c>
      <c r="R877" s="8" t="n">
        <v>-7102.27</v>
      </c>
      <c r="S877" s="7" t="s">
        <v>751</v>
      </c>
      <c r="T877" s="7"/>
      <c r="U877" s="7" t="s">
        <v>2327</v>
      </c>
      <c r="V877" s="20" t="n">
        <v>46054</v>
      </c>
      <c r="W877" s="7"/>
      <c r="X877" s="7"/>
      <c r="Y877" s="7" t="s">
        <v>722</v>
      </c>
      <c r="Z877" s="7"/>
      <c r="AA877" s="23" t="n">
        <f aca="false">YEAR(C877)</f>
        <v>2025</v>
      </c>
    </row>
    <row r="878" customFormat="false" ht="15" hidden="false" customHeight="false" outlineLevel="0" collapsed="false">
      <c r="A878" s="7" t="s">
        <v>2328</v>
      </c>
      <c r="B878" s="7" t="s">
        <v>137</v>
      </c>
      <c r="C878" s="20" t="n">
        <v>46009</v>
      </c>
      <c r="D878" s="20" t="n">
        <v>46059</v>
      </c>
      <c r="E878" s="20"/>
      <c r="F878" s="7" t="s">
        <v>759</v>
      </c>
      <c r="G878" s="7" t="s">
        <v>136</v>
      </c>
      <c r="H878" s="7" t="s">
        <v>294</v>
      </c>
      <c r="I878" s="7" t="s">
        <v>295</v>
      </c>
      <c r="J878" s="7" t="s">
        <v>248</v>
      </c>
      <c r="K878" s="7" t="s">
        <v>249</v>
      </c>
      <c r="L878" s="7" t="s">
        <v>2329</v>
      </c>
      <c r="M878" s="7" t="s">
        <v>1283</v>
      </c>
      <c r="N878" s="16"/>
      <c r="O878" s="7"/>
      <c r="P878" s="22"/>
      <c r="Q878" s="8" t="n">
        <v>7457.39</v>
      </c>
      <c r="R878" s="8" t="n">
        <v>7457.39</v>
      </c>
      <c r="S878" s="7" t="s">
        <v>33</v>
      </c>
      <c r="T878" s="7" t="s">
        <v>2330</v>
      </c>
      <c r="U878" s="7"/>
      <c r="V878" s="20" t="n">
        <v>46039</v>
      </c>
      <c r="W878" s="7"/>
      <c r="X878" s="7"/>
      <c r="Y878" s="7" t="s">
        <v>722</v>
      </c>
      <c r="Z878" s="7"/>
      <c r="AA878" s="23" t="n">
        <f aca="false">YEAR(C878)</f>
        <v>2025</v>
      </c>
    </row>
    <row r="879" customFormat="false" ht="15" hidden="false" customHeight="false" outlineLevel="0" collapsed="false">
      <c r="A879" s="7" t="s">
        <v>2331</v>
      </c>
      <c r="B879" s="7" t="s">
        <v>137</v>
      </c>
      <c r="C879" s="20" t="n">
        <v>46010</v>
      </c>
      <c r="D879" s="20" t="n">
        <v>46037</v>
      </c>
      <c r="E879" s="20"/>
      <c r="F879" s="7" t="s">
        <v>759</v>
      </c>
      <c r="G879" s="7" t="s">
        <v>136</v>
      </c>
      <c r="H879" s="7" t="s">
        <v>292</v>
      </c>
      <c r="I879" s="7" t="s">
        <v>293</v>
      </c>
      <c r="J879" s="7" t="s">
        <v>248</v>
      </c>
      <c r="K879" s="7" t="s">
        <v>249</v>
      </c>
      <c r="L879" s="7" t="s">
        <v>2332</v>
      </c>
      <c r="M879" s="7" t="s">
        <v>566</v>
      </c>
      <c r="N879" s="16" t="n">
        <v>27509</v>
      </c>
      <c r="O879" s="7" t="s">
        <v>1279</v>
      </c>
      <c r="P879" s="22" t="n">
        <v>0.615</v>
      </c>
      <c r="Q879" s="8" t="n">
        <v>16917.91</v>
      </c>
      <c r="R879" s="8" t="n">
        <v>16917.91</v>
      </c>
      <c r="S879" s="7" t="s">
        <v>744</v>
      </c>
      <c r="T879" s="7" t="s">
        <v>2333</v>
      </c>
      <c r="U879" s="7"/>
      <c r="V879" s="20" t="n">
        <v>46037</v>
      </c>
      <c r="W879" s="7"/>
      <c r="X879" s="7"/>
      <c r="Y879" s="7" t="s">
        <v>722</v>
      </c>
      <c r="Z879" s="7"/>
      <c r="AA879" s="23" t="n">
        <f aca="false">YEAR(C879)</f>
        <v>2025</v>
      </c>
    </row>
    <row r="880" customFormat="false" ht="15" hidden="false" customHeight="false" outlineLevel="0" collapsed="false">
      <c r="A880" s="7" t="s">
        <v>2334</v>
      </c>
      <c r="B880" s="7" t="s">
        <v>137</v>
      </c>
      <c r="C880" s="20" t="n">
        <v>46010</v>
      </c>
      <c r="D880" s="20" t="n">
        <v>46127</v>
      </c>
      <c r="E880" s="20"/>
      <c r="F880" s="7" t="s">
        <v>759</v>
      </c>
      <c r="G880" s="7" t="s">
        <v>136</v>
      </c>
      <c r="H880" s="7" t="s">
        <v>292</v>
      </c>
      <c r="I880" s="7" t="s">
        <v>293</v>
      </c>
      <c r="J880" s="7" t="s">
        <v>248</v>
      </c>
      <c r="K880" s="7" t="s">
        <v>249</v>
      </c>
      <c r="L880" s="7" t="s">
        <v>567</v>
      </c>
      <c r="M880" s="7" t="s">
        <v>566</v>
      </c>
      <c r="N880" s="16" t="n">
        <v>7502</v>
      </c>
      <c r="O880" s="7" t="s">
        <v>1279</v>
      </c>
      <c r="P880" s="22" t="n">
        <v>0.615</v>
      </c>
      <c r="Q880" s="8" t="n">
        <v>4613.98</v>
      </c>
      <c r="R880" s="8" t="n">
        <v>4613.98</v>
      </c>
      <c r="S880" s="7" t="s">
        <v>744</v>
      </c>
      <c r="T880" s="7" t="s">
        <v>2333</v>
      </c>
      <c r="U880" s="7"/>
      <c r="V880" s="20" t="n">
        <v>46127</v>
      </c>
      <c r="W880" s="7"/>
      <c r="X880" s="7"/>
      <c r="Y880" s="7" t="s">
        <v>722</v>
      </c>
      <c r="Z880" s="7"/>
      <c r="AA880" s="23" t="n">
        <f aca="false">YEAR(C880)</f>
        <v>2025</v>
      </c>
    </row>
    <row r="881" customFormat="false" ht="15" hidden="false" customHeight="false" outlineLevel="0" collapsed="false">
      <c r="A881" s="7" t="s">
        <v>2335</v>
      </c>
      <c r="B881" s="7" t="s">
        <v>137</v>
      </c>
      <c r="C881" s="20" t="n">
        <v>46010</v>
      </c>
      <c r="D881" s="20" t="n">
        <v>46218</v>
      </c>
      <c r="E881" s="20"/>
      <c r="F881" s="7" t="s">
        <v>759</v>
      </c>
      <c r="G881" s="7" t="s">
        <v>136</v>
      </c>
      <c r="H881" s="7" t="s">
        <v>292</v>
      </c>
      <c r="I881" s="7" t="s">
        <v>293</v>
      </c>
      <c r="J881" s="7" t="s">
        <v>248</v>
      </c>
      <c r="K881" s="7" t="s">
        <v>249</v>
      </c>
      <c r="L881" s="7" t="s">
        <v>567</v>
      </c>
      <c r="M881" s="7" t="s">
        <v>566</v>
      </c>
      <c r="N881" s="16" t="n">
        <v>7502</v>
      </c>
      <c r="O881" s="7" t="s">
        <v>1279</v>
      </c>
      <c r="P881" s="22" t="n">
        <v>0.615</v>
      </c>
      <c r="Q881" s="8" t="n">
        <v>4613.98</v>
      </c>
      <c r="R881" s="8" t="n">
        <v>4613.98</v>
      </c>
      <c r="S881" s="7" t="s">
        <v>744</v>
      </c>
      <c r="T881" s="7" t="s">
        <v>2333</v>
      </c>
      <c r="U881" s="7"/>
      <c r="V881" s="20" t="n">
        <v>46218</v>
      </c>
      <c r="W881" s="7"/>
      <c r="X881" s="7"/>
      <c r="Y881" s="7" t="s">
        <v>722</v>
      </c>
      <c r="Z881" s="7"/>
      <c r="AA881" s="23" t="n">
        <f aca="false">YEAR(C881)</f>
        <v>2025</v>
      </c>
    </row>
    <row r="882" customFormat="false" ht="15" hidden="false" customHeight="false" outlineLevel="0" collapsed="false">
      <c r="A882" s="7" t="s">
        <v>2336</v>
      </c>
      <c r="B882" s="7" t="s">
        <v>137</v>
      </c>
      <c r="C882" s="20" t="n">
        <v>46010</v>
      </c>
      <c r="D882" s="20"/>
      <c r="E882" s="20" t="n">
        <v>46321</v>
      </c>
      <c r="F882" s="7" t="s">
        <v>759</v>
      </c>
      <c r="G882" s="7" t="s">
        <v>136</v>
      </c>
      <c r="H882" s="7" t="s">
        <v>292</v>
      </c>
      <c r="I882" s="7" t="s">
        <v>293</v>
      </c>
      <c r="J882" s="7" t="s">
        <v>248</v>
      </c>
      <c r="K882" s="7" t="s">
        <v>249</v>
      </c>
      <c r="L882" s="7" t="s">
        <v>567</v>
      </c>
      <c r="M882" s="7" t="s">
        <v>566</v>
      </c>
      <c r="N882" s="16" t="n">
        <v>7502</v>
      </c>
      <c r="O882" s="7" t="s">
        <v>1279</v>
      </c>
      <c r="P882" s="22" t="n">
        <v>0.615</v>
      </c>
      <c r="Q882" s="8" t="n">
        <v>4613.98</v>
      </c>
      <c r="R882" s="8" t="n">
        <v>0</v>
      </c>
      <c r="S882" s="7" t="s">
        <v>744</v>
      </c>
      <c r="T882" s="7" t="s">
        <v>2333</v>
      </c>
      <c r="U882" s="7"/>
      <c r="V882" s="20" t="n">
        <v>46321</v>
      </c>
      <c r="W882" s="7"/>
      <c r="X882" s="7"/>
      <c r="Y882" s="7" t="s">
        <v>722</v>
      </c>
      <c r="Z882" s="7"/>
      <c r="AA882" s="23" t="n">
        <f aca="false">YEAR(C882)</f>
        <v>2025</v>
      </c>
    </row>
    <row r="883" customFormat="false" ht="15" hidden="false" customHeight="false" outlineLevel="0" collapsed="false">
      <c r="A883" s="7" t="s">
        <v>2337</v>
      </c>
      <c r="B883" s="7" t="s">
        <v>137</v>
      </c>
      <c r="C883" s="20" t="n">
        <v>46011</v>
      </c>
      <c r="D883" s="20" t="n">
        <v>46011</v>
      </c>
      <c r="E883" s="20"/>
      <c r="F883" s="7" t="s">
        <v>759</v>
      </c>
      <c r="G883" s="7" t="s">
        <v>153</v>
      </c>
      <c r="H883" s="7" t="s">
        <v>299</v>
      </c>
      <c r="I883" s="7" t="s">
        <v>298</v>
      </c>
      <c r="J883" s="7" t="s">
        <v>229</v>
      </c>
      <c r="K883" s="7" t="s">
        <v>298</v>
      </c>
      <c r="L883" s="7" t="s">
        <v>2338</v>
      </c>
      <c r="M883" s="7" t="s">
        <v>633</v>
      </c>
      <c r="N883" s="16"/>
      <c r="O883" s="7"/>
      <c r="P883" s="22"/>
      <c r="Q883" s="8" t="n">
        <v>3631.45</v>
      </c>
      <c r="R883" s="8" t="n">
        <v>-3631.45</v>
      </c>
      <c r="S883" s="7" t="s">
        <v>33</v>
      </c>
      <c r="T883" s="7"/>
      <c r="U883" s="7"/>
      <c r="V883" s="20"/>
      <c r="W883" s="7"/>
      <c r="X883" s="7"/>
      <c r="Y883" s="7"/>
      <c r="Z883" s="7"/>
      <c r="AA883" s="23" t="n">
        <f aca="false">YEAR(C883)</f>
        <v>2025</v>
      </c>
    </row>
    <row r="884" customFormat="false" ht="15" hidden="false" customHeight="false" outlineLevel="0" collapsed="false">
      <c r="A884" s="7" t="s">
        <v>2339</v>
      </c>
      <c r="B884" s="7" t="s">
        <v>137</v>
      </c>
      <c r="C884" s="20" t="n">
        <v>46017</v>
      </c>
      <c r="D884" s="20" t="n">
        <v>46044</v>
      </c>
      <c r="E884" s="20"/>
      <c r="F884" s="7" t="s">
        <v>759</v>
      </c>
      <c r="G884" s="7" t="s">
        <v>153</v>
      </c>
      <c r="H884" s="7" t="s">
        <v>242</v>
      </c>
      <c r="I884" s="7" t="s">
        <v>243</v>
      </c>
      <c r="J884" s="7" t="s">
        <v>229</v>
      </c>
      <c r="K884" s="7" t="s">
        <v>241</v>
      </c>
      <c r="L884" s="7" t="s">
        <v>571</v>
      </c>
      <c r="M884" s="7"/>
      <c r="N884" s="16"/>
      <c r="O884" s="7"/>
      <c r="P884" s="22"/>
      <c r="Q884" s="8" t="n">
        <v>289.24</v>
      </c>
      <c r="R884" s="8" t="n">
        <v>-289.24</v>
      </c>
      <c r="S884" s="7" t="s">
        <v>765</v>
      </c>
      <c r="T884" s="7"/>
      <c r="U884" s="7"/>
      <c r="V884" s="20"/>
      <c r="W884" s="7"/>
      <c r="X884" s="7"/>
      <c r="Y884" s="7"/>
      <c r="Z884" s="7"/>
      <c r="AA884" s="23" t="n">
        <f aca="false">YEAR(C884)</f>
        <v>2025</v>
      </c>
    </row>
    <row r="885" customFormat="false" ht="15" hidden="false" customHeight="false" outlineLevel="0" collapsed="false">
      <c r="A885" s="7" t="s">
        <v>2340</v>
      </c>
      <c r="B885" s="7" t="s">
        <v>137</v>
      </c>
      <c r="C885" s="20" t="n">
        <v>46022</v>
      </c>
      <c r="D885" s="20" t="n">
        <v>46022</v>
      </c>
      <c r="E885" s="20"/>
      <c r="F885" s="7" t="s">
        <v>759</v>
      </c>
      <c r="G885" s="7" t="s">
        <v>153</v>
      </c>
      <c r="H885" s="7" t="s">
        <v>246</v>
      </c>
      <c r="I885" s="7" t="s">
        <v>247</v>
      </c>
      <c r="J885" s="7" t="s">
        <v>236</v>
      </c>
      <c r="K885" s="7" t="s">
        <v>189</v>
      </c>
      <c r="L885" s="7" t="s">
        <v>2341</v>
      </c>
      <c r="M885" s="7" t="s">
        <v>556</v>
      </c>
      <c r="N885" s="16"/>
      <c r="O885" s="7"/>
      <c r="P885" s="22"/>
      <c r="Q885" s="8" t="n">
        <v>1428.34</v>
      </c>
      <c r="R885" s="8" t="n">
        <v>-1428.34</v>
      </c>
      <c r="S885" s="7" t="s">
        <v>775</v>
      </c>
      <c r="T885" s="7"/>
      <c r="U885" s="7"/>
      <c r="V885" s="20"/>
      <c r="W885" s="7"/>
      <c r="X885" s="7" t="s">
        <v>784</v>
      </c>
      <c r="Y885" s="7"/>
      <c r="Z885" s="7"/>
      <c r="AA885" s="23" t="n">
        <f aca="false">YEAR(C885)</f>
        <v>2025</v>
      </c>
    </row>
    <row r="886" customFormat="false" ht="15" hidden="false" customHeight="false" outlineLevel="0" collapsed="false">
      <c r="A886" s="7" t="s">
        <v>2342</v>
      </c>
      <c r="B886" s="7" t="s">
        <v>137</v>
      </c>
      <c r="C886" s="20" t="n">
        <v>46022</v>
      </c>
      <c r="D886" s="20" t="n">
        <v>46022</v>
      </c>
      <c r="E886" s="20"/>
      <c r="F886" s="7" t="s">
        <v>759</v>
      </c>
      <c r="G886" s="7" t="s">
        <v>153</v>
      </c>
      <c r="H886" s="7" t="s">
        <v>574</v>
      </c>
      <c r="I886" s="7" t="s">
        <v>364</v>
      </c>
      <c r="J886" s="7" t="s">
        <v>761</v>
      </c>
      <c r="K886" s="7" t="s">
        <v>772</v>
      </c>
      <c r="L886" s="7" t="s">
        <v>575</v>
      </c>
      <c r="M886" s="7" t="s">
        <v>556</v>
      </c>
      <c r="N886" s="16"/>
      <c r="O886" s="7"/>
      <c r="P886" s="22"/>
      <c r="Q886" s="8" t="n">
        <v>42000</v>
      </c>
      <c r="R886" s="8" t="n">
        <v>-42000</v>
      </c>
      <c r="S886" s="7" t="s">
        <v>783</v>
      </c>
      <c r="T886" s="7"/>
      <c r="U886" s="7"/>
      <c r="V886" s="20"/>
      <c r="W886" s="7"/>
      <c r="X886" s="7" t="s">
        <v>784</v>
      </c>
      <c r="Y886" s="7"/>
      <c r="Z886" s="7"/>
      <c r="AA886" s="23" t="n">
        <f aca="false">YEAR(C886)</f>
        <v>2025</v>
      </c>
    </row>
    <row r="887" customFormat="false" ht="15" hidden="false" customHeight="false" outlineLevel="0" collapsed="false">
      <c r="A887" s="7" t="s">
        <v>2343</v>
      </c>
      <c r="B887" s="7" t="s">
        <v>137</v>
      </c>
      <c r="C887" s="20" t="n">
        <v>46022</v>
      </c>
      <c r="D887" s="20" t="n">
        <v>46049</v>
      </c>
      <c r="E887" s="20"/>
      <c r="F887" s="7" t="s">
        <v>759</v>
      </c>
      <c r="G887" s="7" t="s">
        <v>136</v>
      </c>
      <c r="H887" s="7" t="s">
        <v>299</v>
      </c>
      <c r="I887" s="7" t="s">
        <v>298</v>
      </c>
      <c r="J887" s="7" t="s">
        <v>229</v>
      </c>
      <c r="K887" s="7" t="s">
        <v>298</v>
      </c>
      <c r="L887" s="7" t="s">
        <v>2344</v>
      </c>
      <c r="M887" s="7" t="s">
        <v>755</v>
      </c>
      <c r="N887" s="16"/>
      <c r="O887" s="7"/>
      <c r="P887" s="22"/>
      <c r="Q887" s="8" t="n">
        <v>457.25</v>
      </c>
      <c r="R887" s="8" t="n">
        <v>-457.25</v>
      </c>
      <c r="S887" s="7" t="s">
        <v>33</v>
      </c>
      <c r="T887" s="7"/>
      <c r="U887" s="7"/>
      <c r="V887" s="20"/>
      <c r="W887" s="7"/>
      <c r="X887" s="7"/>
      <c r="Y887" s="7"/>
      <c r="Z887" s="7"/>
      <c r="AA887" s="23" t="n">
        <f aca="false">YEAR(C887)</f>
        <v>2025</v>
      </c>
    </row>
    <row r="888" customFormat="false" ht="15" hidden="false" customHeight="false" outlineLevel="0" collapsed="false">
      <c r="A888" s="7" t="s">
        <v>2345</v>
      </c>
      <c r="B888" s="7" t="s">
        <v>137</v>
      </c>
      <c r="C888" s="20" t="n">
        <v>46022</v>
      </c>
      <c r="D888" s="20" t="n">
        <v>46152</v>
      </c>
      <c r="E888" s="20"/>
      <c r="F888" s="7" t="s">
        <v>759</v>
      </c>
      <c r="G888" s="7" t="s">
        <v>153</v>
      </c>
      <c r="H888" s="7" t="s">
        <v>299</v>
      </c>
      <c r="I888" s="7" t="s">
        <v>298</v>
      </c>
      <c r="J888" s="7" t="s">
        <v>229</v>
      </c>
      <c r="K888" s="7" t="s">
        <v>298</v>
      </c>
      <c r="L888" s="7" t="s">
        <v>2346</v>
      </c>
      <c r="M888" s="7" t="s">
        <v>633</v>
      </c>
      <c r="N888" s="16"/>
      <c r="O888" s="7"/>
      <c r="P888" s="22"/>
      <c r="Q888" s="8" t="n">
        <v>3631.45</v>
      </c>
      <c r="R888" s="8" t="n">
        <v>-3631.45</v>
      </c>
      <c r="S888" s="7" t="s">
        <v>33</v>
      </c>
      <c r="T888" s="7"/>
      <c r="U888" s="7"/>
      <c r="V888" s="20"/>
      <c r="W888" s="7"/>
      <c r="X888" s="7"/>
      <c r="Y888" s="7"/>
      <c r="Z888" s="7"/>
      <c r="AA888" s="23" t="n">
        <f aca="false">YEAR(C888)</f>
        <v>2025</v>
      </c>
    </row>
    <row r="889" customFormat="false" ht="15" hidden="false" customHeight="false" outlineLevel="0" collapsed="false">
      <c r="A889" s="7" t="s">
        <v>2347</v>
      </c>
      <c r="B889" s="7" t="s">
        <v>137</v>
      </c>
      <c r="C889" s="20" t="n">
        <v>46023</v>
      </c>
      <c r="D889" s="20" t="n">
        <v>46023</v>
      </c>
      <c r="E889" s="20"/>
      <c r="F889" s="7" t="s">
        <v>759</v>
      </c>
      <c r="G889" s="7" t="s">
        <v>153</v>
      </c>
      <c r="H889" s="7" t="s">
        <v>545</v>
      </c>
      <c r="I889" s="7" t="s">
        <v>760</v>
      </c>
      <c r="J889" s="7" t="s">
        <v>761</v>
      </c>
      <c r="K889" s="7" t="s">
        <v>762</v>
      </c>
      <c r="L889" s="7" t="s">
        <v>546</v>
      </c>
      <c r="M889" s="7"/>
      <c r="N889" s="16"/>
      <c r="O889" s="7"/>
      <c r="P889" s="22"/>
      <c r="Q889" s="8" t="n">
        <v>4200</v>
      </c>
      <c r="R889" s="8" t="n">
        <v>-4200</v>
      </c>
      <c r="S889" s="7" t="s">
        <v>763</v>
      </c>
      <c r="T889" s="7"/>
      <c r="U889" s="7"/>
      <c r="V889" s="20"/>
      <c r="W889" s="7"/>
      <c r="X889" s="7"/>
      <c r="Y889" s="7"/>
      <c r="Z889" s="7"/>
      <c r="AA889" s="23" t="n">
        <f aca="false">YEAR(C889)</f>
        <v>2026</v>
      </c>
    </row>
    <row r="890" customFormat="false" ht="15" hidden="false" customHeight="false" outlineLevel="0" collapsed="false">
      <c r="A890" s="7" t="s">
        <v>2348</v>
      </c>
      <c r="B890" s="7" t="s">
        <v>137</v>
      </c>
      <c r="C890" s="20" t="n">
        <v>46030</v>
      </c>
      <c r="D890" s="20" t="n">
        <v>46075</v>
      </c>
      <c r="E890" s="20"/>
      <c r="F890" s="7" t="s">
        <v>759</v>
      </c>
      <c r="G890" s="7" t="s">
        <v>153</v>
      </c>
      <c r="H890" s="7" t="s">
        <v>244</v>
      </c>
      <c r="I890" s="7" t="s">
        <v>245</v>
      </c>
      <c r="J890" s="7" t="s">
        <v>229</v>
      </c>
      <c r="K890" s="7" t="s">
        <v>233</v>
      </c>
      <c r="L890" s="7" t="s">
        <v>570</v>
      </c>
      <c r="M890" s="7"/>
      <c r="N890" s="16"/>
      <c r="O890" s="7"/>
      <c r="P890" s="22"/>
      <c r="Q890" s="8" t="n">
        <v>165</v>
      </c>
      <c r="R890" s="8" t="n">
        <v>-165</v>
      </c>
      <c r="S890" s="7" t="s">
        <v>765</v>
      </c>
      <c r="T890" s="7"/>
      <c r="U890" s="7"/>
      <c r="V890" s="20"/>
      <c r="W890" s="7"/>
      <c r="X890" s="7"/>
      <c r="Y890" s="7"/>
      <c r="Z890" s="7"/>
      <c r="AA890" s="23" t="n">
        <f aca="false">YEAR(C890)</f>
        <v>2026</v>
      </c>
    </row>
    <row r="891" customFormat="false" ht="15" hidden="false" customHeight="false" outlineLevel="0" collapsed="false">
      <c r="A891" s="7" t="s">
        <v>2349</v>
      </c>
      <c r="B891" s="7" t="s">
        <v>137</v>
      </c>
      <c r="C891" s="20" t="n">
        <v>46032</v>
      </c>
      <c r="D891" s="20" t="n">
        <v>46032</v>
      </c>
      <c r="E891" s="20"/>
      <c r="F891" s="7" t="s">
        <v>759</v>
      </c>
      <c r="G891" s="7" t="s">
        <v>153</v>
      </c>
      <c r="H891" s="7" t="s">
        <v>237</v>
      </c>
      <c r="I891" s="7" t="s">
        <v>238</v>
      </c>
      <c r="J891" s="7" t="s">
        <v>236</v>
      </c>
      <c r="K891" s="7" t="s">
        <v>189</v>
      </c>
      <c r="L891" s="7" t="s">
        <v>2350</v>
      </c>
      <c r="M891" s="7" t="s">
        <v>768</v>
      </c>
      <c r="N891" s="16"/>
      <c r="O891" s="7"/>
      <c r="P891" s="22"/>
      <c r="Q891" s="8" t="n">
        <v>16.29</v>
      </c>
      <c r="R891" s="8" t="n">
        <v>-16.29</v>
      </c>
      <c r="S891" s="7" t="s">
        <v>744</v>
      </c>
      <c r="T891" s="7"/>
      <c r="U891" s="7"/>
      <c r="V891" s="20"/>
      <c r="W891" s="7"/>
      <c r="X891" s="7" t="s">
        <v>769</v>
      </c>
      <c r="Y891" s="7"/>
      <c r="Z891" s="7"/>
      <c r="AA891" s="23" t="n">
        <f aca="false">YEAR(C891)</f>
        <v>2026</v>
      </c>
    </row>
    <row r="892" customFormat="false" ht="15" hidden="false" customHeight="false" outlineLevel="0" collapsed="false">
      <c r="A892" s="7" t="s">
        <v>2351</v>
      </c>
      <c r="B892" s="7" t="s">
        <v>137</v>
      </c>
      <c r="C892" s="20" t="n">
        <v>46032</v>
      </c>
      <c r="D892" s="20" t="n">
        <v>46032</v>
      </c>
      <c r="E892" s="20"/>
      <c r="F892" s="7" t="s">
        <v>759</v>
      </c>
      <c r="G892" s="7" t="s">
        <v>153</v>
      </c>
      <c r="H892" s="7" t="s">
        <v>559</v>
      </c>
      <c r="I892" s="7" t="s">
        <v>771</v>
      </c>
      <c r="J892" s="7" t="s">
        <v>761</v>
      </c>
      <c r="K892" s="7" t="s">
        <v>772</v>
      </c>
      <c r="L892" s="7" t="s">
        <v>2352</v>
      </c>
      <c r="M892" s="7" t="s">
        <v>768</v>
      </c>
      <c r="N892" s="16"/>
      <c r="O892" s="7"/>
      <c r="P892" s="22"/>
      <c r="Q892" s="8" t="n">
        <v>828.8</v>
      </c>
      <c r="R892" s="8" t="n">
        <v>-828.8</v>
      </c>
      <c r="S892" s="7" t="s">
        <v>744</v>
      </c>
      <c r="T892" s="7"/>
      <c r="U892" s="7"/>
      <c r="V892" s="20"/>
      <c r="W892" s="7"/>
      <c r="X892" s="7" t="s">
        <v>769</v>
      </c>
      <c r="Y892" s="7"/>
      <c r="Z892" s="7"/>
      <c r="AA892" s="23" t="n">
        <f aca="false">YEAR(C892)</f>
        <v>2026</v>
      </c>
    </row>
    <row r="893" customFormat="false" ht="15" hidden="false" customHeight="false" outlineLevel="0" collapsed="false">
      <c r="A893" s="7" t="s">
        <v>2353</v>
      </c>
      <c r="B893" s="7" t="s">
        <v>137</v>
      </c>
      <c r="C893" s="20" t="n">
        <v>46034</v>
      </c>
      <c r="D893" s="20" t="n">
        <v>46034</v>
      </c>
      <c r="E893" s="20"/>
      <c r="F893" s="7" t="s">
        <v>759</v>
      </c>
      <c r="G893" s="7" t="s">
        <v>153</v>
      </c>
      <c r="H893" s="7" t="s">
        <v>240</v>
      </c>
      <c r="I893" s="7" t="s">
        <v>239</v>
      </c>
      <c r="J893" s="7" t="s">
        <v>229</v>
      </c>
      <c r="K893" s="7" t="s">
        <v>239</v>
      </c>
      <c r="L893" s="7" t="s">
        <v>548</v>
      </c>
      <c r="M893" s="7" t="s">
        <v>547</v>
      </c>
      <c r="N893" s="16"/>
      <c r="O893" s="7"/>
      <c r="P893" s="22"/>
      <c r="Q893" s="8" t="n">
        <v>376.25</v>
      </c>
      <c r="R893" s="8" t="n">
        <v>-376.25</v>
      </c>
      <c r="S893" s="7" t="s">
        <v>775</v>
      </c>
      <c r="T893" s="7"/>
      <c r="U893" s="7"/>
      <c r="V893" s="20"/>
      <c r="W893" s="7"/>
      <c r="X893" s="7"/>
      <c r="Y893" s="7"/>
      <c r="Z893" s="7"/>
      <c r="AA893" s="23" t="n">
        <f aca="false">YEAR(C893)</f>
        <v>2026</v>
      </c>
    </row>
    <row r="894" customFormat="false" ht="15" hidden="false" customHeight="false" outlineLevel="0" collapsed="false">
      <c r="A894" s="7" t="s">
        <v>2354</v>
      </c>
      <c r="B894" s="7" t="s">
        <v>137</v>
      </c>
      <c r="C894" s="20" t="n">
        <v>46036</v>
      </c>
      <c r="D894" s="20" t="n">
        <v>46036</v>
      </c>
      <c r="E894" s="20"/>
      <c r="F894" s="7" t="s">
        <v>759</v>
      </c>
      <c r="G894" s="7" t="s">
        <v>149</v>
      </c>
      <c r="H894" s="7" t="s">
        <v>237</v>
      </c>
      <c r="I894" s="7" t="s">
        <v>238</v>
      </c>
      <c r="J894" s="7" t="s">
        <v>236</v>
      </c>
      <c r="K894" s="7" t="s">
        <v>189</v>
      </c>
      <c r="L894" s="7" t="s">
        <v>2355</v>
      </c>
      <c r="M894" s="7" t="s">
        <v>778</v>
      </c>
      <c r="N894" s="16"/>
      <c r="O894" s="7"/>
      <c r="P894" s="22"/>
      <c r="Q894" s="8" t="n">
        <v>7857.02</v>
      </c>
      <c r="R894" s="8" t="n">
        <v>-7857.02</v>
      </c>
      <c r="S894" s="7" t="s">
        <v>744</v>
      </c>
      <c r="T894" s="7"/>
      <c r="U894" s="7"/>
      <c r="V894" s="20"/>
      <c r="W894" s="7"/>
      <c r="X894" s="7" t="s">
        <v>779</v>
      </c>
      <c r="Y894" s="7"/>
      <c r="Z894" s="7"/>
      <c r="AA894" s="23" t="n">
        <f aca="false">YEAR(C894)</f>
        <v>2026</v>
      </c>
    </row>
    <row r="895" customFormat="false" ht="15" hidden="false" customHeight="false" outlineLevel="0" collapsed="false">
      <c r="A895" s="7" t="s">
        <v>2356</v>
      </c>
      <c r="B895" s="7" t="s">
        <v>137</v>
      </c>
      <c r="C895" s="20" t="n">
        <v>46036</v>
      </c>
      <c r="D895" s="20" t="n">
        <v>46036</v>
      </c>
      <c r="E895" s="20"/>
      <c r="F895" s="7" t="s">
        <v>759</v>
      </c>
      <c r="G895" s="7" t="s">
        <v>149</v>
      </c>
      <c r="H895" s="7" t="s">
        <v>559</v>
      </c>
      <c r="I895" s="7" t="s">
        <v>771</v>
      </c>
      <c r="J895" s="7" t="s">
        <v>761</v>
      </c>
      <c r="K895" s="7" t="s">
        <v>772</v>
      </c>
      <c r="L895" s="7" t="s">
        <v>2357</v>
      </c>
      <c r="M895" s="7" t="s">
        <v>778</v>
      </c>
      <c r="N895" s="16"/>
      <c r="O895" s="7"/>
      <c r="P895" s="22"/>
      <c r="Q895" s="8" t="n">
        <v>37257.82</v>
      </c>
      <c r="R895" s="8" t="n">
        <v>-37257.82</v>
      </c>
      <c r="S895" s="7" t="s">
        <v>744</v>
      </c>
      <c r="T895" s="7"/>
      <c r="U895" s="7"/>
      <c r="V895" s="20"/>
      <c r="W895" s="7"/>
      <c r="X895" s="7" t="s">
        <v>779</v>
      </c>
      <c r="Y895" s="7"/>
      <c r="Z895" s="7"/>
      <c r="AA895" s="23" t="n">
        <f aca="false">YEAR(C895)</f>
        <v>2026</v>
      </c>
    </row>
    <row r="896" customFormat="false" ht="15" hidden="false" customHeight="false" outlineLevel="0" collapsed="false">
      <c r="A896" s="7" t="s">
        <v>2358</v>
      </c>
      <c r="B896" s="7" t="s">
        <v>137</v>
      </c>
      <c r="C896" s="20" t="n">
        <v>46036</v>
      </c>
      <c r="D896" s="20" t="n">
        <v>46036</v>
      </c>
      <c r="E896" s="20"/>
      <c r="F896" s="7" t="s">
        <v>759</v>
      </c>
      <c r="G896" s="7" t="s">
        <v>153</v>
      </c>
      <c r="H896" s="7" t="s">
        <v>561</v>
      </c>
      <c r="I896" s="7" t="s">
        <v>363</v>
      </c>
      <c r="J896" s="7" t="s">
        <v>761</v>
      </c>
      <c r="K896" s="7" t="s">
        <v>772</v>
      </c>
      <c r="L896" s="7" t="s">
        <v>562</v>
      </c>
      <c r="M896" s="7" t="s">
        <v>556</v>
      </c>
      <c r="N896" s="16"/>
      <c r="O896" s="7"/>
      <c r="P896" s="22"/>
      <c r="Q896" s="8" t="n">
        <v>31000</v>
      </c>
      <c r="R896" s="8" t="n">
        <v>31000</v>
      </c>
      <c r="S896" s="7" t="s">
        <v>783</v>
      </c>
      <c r="T896" s="7"/>
      <c r="U896" s="7"/>
      <c r="V896" s="20"/>
      <c r="W896" s="7"/>
      <c r="X896" s="7" t="s">
        <v>784</v>
      </c>
      <c r="Y896" s="7"/>
      <c r="Z896" s="7"/>
      <c r="AA896" s="23" t="n">
        <f aca="false">YEAR(C896)</f>
        <v>2026</v>
      </c>
    </row>
    <row r="897" customFormat="false" ht="15" hidden="false" customHeight="false" outlineLevel="0" collapsed="false">
      <c r="A897" s="7" t="s">
        <v>2359</v>
      </c>
      <c r="B897" s="7" t="s">
        <v>137</v>
      </c>
      <c r="C897" s="20" t="n">
        <v>46037</v>
      </c>
      <c r="D897" s="20" t="n">
        <v>46037</v>
      </c>
      <c r="E897" s="20"/>
      <c r="F897" s="7" t="s">
        <v>759</v>
      </c>
      <c r="G897" s="7" t="s">
        <v>153</v>
      </c>
      <c r="H897" s="7" t="s">
        <v>786</v>
      </c>
      <c r="I897" s="7" t="s">
        <v>787</v>
      </c>
      <c r="J897" s="7" t="s">
        <v>761</v>
      </c>
      <c r="K897" s="7" t="s">
        <v>762</v>
      </c>
      <c r="L897" s="7" t="s">
        <v>788</v>
      </c>
      <c r="M897" s="7"/>
      <c r="N897" s="16"/>
      <c r="O897" s="7"/>
      <c r="P897" s="22"/>
      <c r="Q897" s="8" t="n">
        <v>2500</v>
      </c>
      <c r="R897" s="8" t="n">
        <v>-2500</v>
      </c>
      <c r="S897" s="7" t="s">
        <v>789</v>
      </c>
      <c r="T897" s="7"/>
      <c r="U897" s="7"/>
      <c r="V897" s="20"/>
      <c r="W897" s="7"/>
      <c r="X897" s="7"/>
      <c r="Y897" s="7"/>
      <c r="Z897" s="7"/>
      <c r="AA897" s="23" t="n">
        <f aca="false">YEAR(C897)</f>
        <v>2026</v>
      </c>
    </row>
    <row r="898" customFormat="false" ht="15" hidden="false" customHeight="false" outlineLevel="0" collapsed="false">
      <c r="A898" s="7" t="s">
        <v>2360</v>
      </c>
      <c r="B898" s="7" t="s">
        <v>137</v>
      </c>
      <c r="C898" s="20" t="n">
        <v>46038</v>
      </c>
      <c r="D898" s="20" t="n">
        <v>46038</v>
      </c>
      <c r="E898" s="20"/>
      <c r="F898" s="7" t="s">
        <v>759</v>
      </c>
      <c r="G898" s="7" t="s">
        <v>149</v>
      </c>
      <c r="H898" s="7" t="s">
        <v>237</v>
      </c>
      <c r="I898" s="7" t="s">
        <v>238</v>
      </c>
      <c r="J898" s="7" t="s">
        <v>236</v>
      </c>
      <c r="K898" s="7" t="s">
        <v>189</v>
      </c>
      <c r="L898" s="7" t="s">
        <v>2361</v>
      </c>
      <c r="M898" s="7" t="s">
        <v>556</v>
      </c>
      <c r="N898" s="16"/>
      <c r="O898" s="7"/>
      <c r="P898" s="22"/>
      <c r="Q898" s="8" t="n">
        <v>303.73</v>
      </c>
      <c r="R898" s="8" t="n">
        <v>-303.73</v>
      </c>
      <c r="S898" s="7" t="s">
        <v>744</v>
      </c>
      <c r="T898" s="7"/>
      <c r="U898" s="7"/>
      <c r="V898" s="20"/>
      <c r="W898" s="7"/>
      <c r="X898" s="7" t="s">
        <v>1552</v>
      </c>
      <c r="Y898" s="7"/>
      <c r="Z898" s="7"/>
      <c r="AA898" s="23" t="n">
        <f aca="false">YEAR(C898)</f>
        <v>2026</v>
      </c>
    </row>
    <row r="899" customFormat="false" ht="15" hidden="false" customHeight="false" outlineLevel="0" collapsed="false">
      <c r="A899" s="7" t="s">
        <v>2362</v>
      </c>
      <c r="B899" s="7" t="s">
        <v>137</v>
      </c>
      <c r="C899" s="20" t="n">
        <v>46038</v>
      </c>
      <c r="D899" s="20" t="n">
        <v>46038</v>
      </c>
      <c r="E899" s="20"/>
      <c r="F899" s="7" t="s">
        <v>759</v>
      </c>
      <c r="G899" s="7" t="s">
        <v>149</v>
      </c>
      <c r="H899" s="7" t="s">
        <v>559</v>
      </c>
      <c r="I899" s="7" t="s">
        <v>771</v>
      </c>
      <c r="J899" s="7" t="s">
        <v>761</v>
      </c>
      <c r="K899" s="7" t="s">
        <v>772</v>
      </c>
      <c r="L899" s="7" t="s">
        <v>2363</v>
      </c>
      <c r="M899" s="7" t="s">
        <v>556</v>
      </c>
      <c r="N899" s="16"/>
      <c r="O899" s="7"/>
      <c r="P899" s="22"/>
      <c r="Q899" s="8" t="n">
        <v>1428.76</v>
      </c>
      <c r="R899" s="8" t="n">
        <v>-1428.76</v>
      </c>
      <c r="S899" s="7" t="s">
        <v>744</v>
      </c>
      <c r="T899" s="7"/>
      <c r="U899" s="7"/>
      <c r="V899" s="20"/>
      <c r="W899" s="7"/>
      <c r="X899" s="7" t="s">
        <v>1552</v>
      </c>
      <c r="Y899" s="7"/>
      <c r="Z899" s="7"/>
      <c r="AA899" s="23" t="n">
        <f aca="false">YEAR(C899)</f>
        <v>2026</v>
      </c>
    </row>
    <row r="900" customFormat="false" ht="15" hidden="false" customHeight="false" outlineLevel="0" collapsed="false">
      <c r="A900" s="7" t="s">
        <v>2364</v>
      </c>
      <c r="B900" s="7" t="s">
        <v>137</v>
      </c>
      <c r="C900" s="20" t="n">
        <v>46040</v>
      </c>
      <c r="D900" s="20" t="n">
        <v>46040</v>
      </c>
      <c r="E900" s="20"/>
      <c r="F900" s="7" t="s">
        <v>759</v>
      </c>
      <c r="G900" s="7" t="s">
        <v>149</v>
      </c>
      <c r="H900" s="7" t="s">
        <v>231</v>
      </c>
      <c r="I900" s="7" t="s">
        <v>232</v>
      </c>
      <c r="J900" s="7" t="s">
        <v>229</v>
      </c>
      <c r="K900" s="7" t="s">
        <v>230</v>
      </c>
      <c r="L900" s="7" t="s">
        <v>1828</v>
      </c>
      <c r="M900" s="7" t="s">
        <v>792</v>
      </c>
      <c r="N900" s="16"/>
      <c r="O900" s="7"/>
      <c r="P900" s="22"/>
      <c r="Q900" s="8" t="n">
        <v>8460</v>
      </c>
      <c r="R900" s="8" t="n">
        <v>-8460</v>
      </c>
      <c r="S900" s="7" t="s">
        <v>33</v>
      </c>
      <c r="T900" s="7"/>
      <c r="U900" s="7"/>
      <c r="V900" s="20"/>
      <c r="W900" s="7"/>
      <c r="X900" s="7"/>
      <c r="Y900" s="7"/>
      <c r="Z900" s="7"/>
      <c r="AA900" s="23" t="n">
        <f aca="false">YEAR(C900)</f>
        <v>2026</v>
      </c>
    </row>
    <row r="901" customFormat="false" ht="15" hidden="false" customHeight="false" outlineLevel="0" collapsed="false">
      <c r="A901" s="7" t="s">
        <v>2365</v>
      </c>
      <c r="B901" s="7" t="s">
        <v>137</v>
      </c>
      <c r="C901" s="20" t="n">
        <v>46040</v>
      </c>
      <c r="D901" s="20" t="n">
        <v>46040</v>
      </c>
      <c r="E901" s="20"/>
      <c r="F901" s="7" t="s">
        <v>759</v>
      </c>
      <c r="G901" s="7" t="s">
        <v>153</v>
      </c>
      <c r="H901" s="7" t="s">
        <v>231</v>
      </c>
      <c r="I901" s="7" t="s">
        <v>232</v>
      </c>
      <c r="J901" s="7" t="s">
        <v>229</v>
      </c>
      <c r="K901" s="7" t="s">
        <v>230</v>
      </c>
      <c r="L901" s="7" t="s">
        <v>794</v>
      </c>
      <c r="M901" s="7" t="s">
        <v>792</v>
      </c>
      <c r="N901" s="16"/>
      <c r="O901" s="7"/>
      <c r="P901" s="22"/>
      <c r="Q901" s="8" t="n">
        <v>9870</v>
      </c>
      <c r="R901" s="8" t="n">
        <v>-9870</v>
      </c>
      <c r="S901" s="7" t="s">
        <v>33</v>
      </c>
      <c r="T901" s="7"/>
      <c r="U901" s="7"/>
      <c r="V901" s="20"/>
      <c r="W901" s="7"/>
      <c r="X901" s="7"/>
      <c r="Y901" s="7"/>
      <c r="Z901" s="7"/>
      <c r="AA901" s="23" t="n">
        <f aca="false">YEAR(C901)</f>
        <v>2026</v>
      </c>
    </row>
    <row r="902" customFormat="false" ht="15" hidden="false" customHeight="false" outlineLevel="0" collapsed="false">
      <c r="A902" s="7" t="s">
        <v>2366</v>
      </c>
      <c r="B902" s="7" t="s">
        <v>137</v>
      </c>
      <c r="C902" s="20" t="n">
        <v>46042</v>
      </c>
      <c r="D902" s="20" t="n">
        <v>46048</v>
      </c>
      <c r="E902" s="20"/>
      <c r="F902" s="7" t="s">
        <v>759</v>
      </c>
      <c r="G902" s="7" t="s">
        <v>144</v>
      </c>
      <c r="H902" s="7" t="s">
        <v>250</v>
      </c>
      <c r="I902" s="7" t="s">
        <v>251</v>
      </c>
      <c r="J902" s="7" t="s">
        <v>248</v>
      </c>
      <c r="K902" s="7" t="s">
        <v>249</v>
      </c>
      <c r="L902" s="7" t="s">
        <v>2367</v>
      </c>
      <c r="M902" s="7" t="s">
        <v>549</v>
      </c>
      <c r="N902" s="16" t="n">
        <v>1680</v>
      </c>
      <c r="O902" s="7" t="s">
        <v>798</v>
      </c>
      <c r="P902" s="22" t="n">
        <v>10.34</v>
      </c>
      <c r="Q902" s="8" t="n">
        <v>17371.2</v>
      </c>
      <c r="R902" s="8" t="n">
        <v>17371.2</v>
      </c>
      <c r="S902" s="7" t="s">
        <v>33</v>
      </c>
      <c r="T902" s="7" t="s">
        <v>2368</v>
      </c>
      <c r="U902" s="7"/>
      <c r="V902" s="20" t="n">
        <v>46042</v>
      </c>
      <c r="W902" s="7"/>
      <c r="X902" s="7"/>
      <c r="Y902" s="7" t="s">
        <v>711</v>
      </c>
      <c r="Z902" s="7"/>
      <c r="AA902" s="23" t="n">
        <f aca="false">YEAR(C902)</f>
        <v>2026</v>
      </c>
    </row>
    <row r="903" customFormat="false" ht="15" hidden="false" customHeight="false" outlineLevel="0" collapsed="false">
      <c r="A903" s="7" t="s">
        <v>2369</v>
      </c>
      <c r="B903" s="7" t="s">
        <v>137</v>
      </c>
      <c r="C903" s="20" t="n">
        <v>46042</v>
      </c>
      <c r="D903" s="20" t="n">
        <v>46076</v>
      </c>
      <c r="E903" s="20"/>
      <c r="F903" s="7" t="s">
        <v>759</v>
      </c>
      <c r="G903" s="7" t="s">
        <v>136</v>
      </c>
      <c r="H903" s="7" t="s">
        <v>223</v>
      </c>
      <c r="I903" s="7" t="s">
        <v>224</v>
      </c>
      <c r="J903" s="7" t="s">
        <v>221</v>
      </c>
      <c r="K903" s="7" t="s">
        <v>222</v>
      </c>
      <c r="L903" s="7" t="s">
        <v>800</v>
      </c>
      <c r="M903" s="7" t="s">
        <v>589</v>
      </c>
      <c r="N903" s="16" t="n">
        <v>96</v>
      </c>
      <c r="O903" s="7" t="s">
        <v>801</v>
      </c>
      <c r="P903" s="22" t="n">
        <v>15.26</v>
      </c>
      <c r="Q903" s="8" t="n">
        <v>1464.96</v>
      </c>
      <c r="R903" s="8" t="n">
        <v>-1464.96</v>
      </c>
      <c r="S903" s="7" t="s">
        <v>751</v>
      </c>
      <c r="T903" s="7"/>
      <c r="U903" s="7" t="s">
        <v>2370</v>
      </c>
      <c r="V903" s="20" t="n">
        <v>46072</v>
      </c>
      <c r="W903" s="7"/>
      <c r="X903" s="7"/>
      <c r="Y903" s="7" t="s">
        <v>723</v>
      </c>
      <c r="Z903" s="7"/>
      <c r="AA903" s="23" t="n">
        <f aca="false">YEAR(C903)</f>
        <v>2026</v>
      </c>
    </row>
    <row r="904" customFormat="false" ht="15" hidden="false" customHeight="false" outlineLevel="0" collapsed="false">
      <c r="A904" s="7" t="s">
        <v>2371</v>
      </c>
      <c r="B904" s="7" t="s">
        <v>137</v>
      </c>
      <c r="C904" s="20" t="n">
        <v>46045</v>
      </c>
      <c r="D904" s="20" t="n">
        <v>46045</v>
      </c>
      <c r="E904" s="20"/>
      <c r="F904" s="7" t="s">
        <v>759</v>
      </c>
      <c r="G904" s="7" t="s">
        <v>153</v>
      </c>
      <c r="H904" s="7" t="s">
        <v>561</v>
      </c>
      <c r="I904" s="7" t="s">
        <v>363</v>
      </c>
      <c r="J904" s="7" t="s">
        <v>761</v>
      </c>
      <c r="K904" s="7" t="s">
        <v>772</v>
      </c>
      <c r="L904" s="7" t="s">
        <v>562</v>
      </c>
      <c r="M904" s="7" t="s">
        <v>556</v>
      </c>
      <c r="N904" s="16"/>
      <c r="O904" s="7"/>
      <c r="P904" s="22"/>
      <c r="Q904" s="8" t="n">
        <v>14000</v>
      </c>
      <c r="R904" s="8" t="n">
        <v>14000</v>
      </c>
      <c r="S904" s="7" t="s">
        <v>783</v>
      </c>
      <c r="T904" s="7"/>
      <c r="U904" s="7"/>
      <c r="V904" s="20"/>
      <c r="W904" s="7"/>
      <c r="X904" s="7" t="s">
        <v>784</v>
      </c>
      <c r="Y904" s="7"/>
      <c r="Z904" s="7"/>
      <c r="AA904" s="23" t="n">
        <f aca="false">YEAR(C904)</f>
        <v>2026</v>
      </c>
    </row>
    <row r="905" customFormat="false" ht="15" hidden="false" customHeight="false" outlineLevel="0" collapsed="false">
      <c r="A905" s="7" t="s">
        <v>2372</v>
      </c>
      <c r="B905" s="7" t="s">
        <v>137</v>
      </c>
      <c r="C905" s="20" t="n">
        <v>46048</v>
      </c>
      <c r="D905" s="20" t="n">
        <v>46048</v>
      </c>
      <c r="E905" s="20"/>
      <c r="F905" s="7" t="s">
        <v>759</v>
      </c>
      <c r="G905" s="7" t="s">
        <v>149</v>
      </c>
      <c r="H905" s="7" t="s">
        <v>234</v>
      </c>
      <c r="I905" s="7" t="s">
        <v>235</v>
      </c>
      <c r="J905" s="7" t="s">
        <v>229</v>
      </c>
      <c r="K905" s="7" t="s">
        <v>233</v>
      </c>
      <c r="L905" s="7" t="s">
        <v>804</v>
      </c>
      <c r="M905" s="7" t="s">
        <v>805</v>
      </c>
      <c r="N905" s="16"/>
      <c r="O905" s="7"/>
      <c r="P905" s="22"/>
      <c r="Q905" s="8" t="n">
        <v>1085</v>
      </c>
      <c r="R905" s="8" t="n">
        <v>-1085</v>
      </c>
      <c r="S905" s="7" t="s">
        <v>33</v>
      </c>
      <c r="T905" s="7"/>
      <c r="U905" s="7"/>
      <c r="V905" s="20"/>
      <c r="W905" s="7"/>
      <c r="X905" s="7"/>
      <c r="Y905" s="7"/>
      <c r="Z905" s="7"/>
      <c r="AA905" s="23" t="n">
        <f aca="false">YEAR(C905)</f>
        <v>2026</v>
      </c>
    </row>
    <row r="906" customFormat="false" ht="15" hidden="false" customHeight="false" outlineLevel="0" collapsed="false">
      <c r="A906" s="7" t="s">
        <v>2373</v>
      </c>
      <c r="B906" s="7" t="s">
        <v>137</v>
      </c>
      <c r="C906" s="20" t="n">
        <v>46048</v>
      </c>
      <c r="D906" s="20" t="n">
        <v>46075</v>
      </c>
      <c r="E906" s="20"/>
      <c r="F906" s="7" t="s">
        <v>759</v>
      </c>
      <c r="G906" s="7" t="s">
        <v>153</v>
      </c>
      <c r="H906" s="7" t="s">
        <v>242</v>
      </c>
      <c r="I906" s="7" t="s">
        <v>243</v>
      </c>
      <c r="J906" s="7" t="s">
        <v>229</v>
      </c>
      <c r="K906" s="7" t="s">
        <v>241</v>
      </c>
      <c r="L906" s="7" t="s">
        <v>571</v>
      </c>
      <c r="M906" s="7"/>
      <c r="N906" s="16"/>
      <c r="O906" s="7"/>
      <c r="P906" s="22"/>
      <c r="Q906" s="8" t="n">
        <v>319.05</v>
      </c>
      <c r="R906" s="8" t="n">
        <v>-319.05</v>
      </c>
      <c r="S906" s="7" t="s">
        <v>765</v>
      </c>
      <c r="T906" s="7"/>
      <c r="U906" s="7"/>
      <c r="V906" s="20"/>
      <c r="W906" s="7"/>
      <c r="X906" s="7"/>
      <c r="Y906" s="7"/>
      <c r="Z906" s="7"/>
      <c r="AA906" s="23" t="n">
        <f aca="false">YEAR(C906)</f>
        <v>2026</v>
      </c>
    </row>
    <row r="907" customFormat="false" ht="15" hidden="false" customHeight="false" outlineLevel="0" collapsed="false">
      <c r="A907" s="7" t="s">
        <v>2374</v>
      </c>
      <c r="B907" s="7" t="s">
        <v>137</v>
      </c>
      <c r="C907" s="20" t="n">
        <v>46053</v>
      </c>
      <c r="D907" s="20" t="n">
        <v>46053</v>
      </c>
      <c r="E907" s="20"/>
      <c r="F907" s="7" t="s">
        <v>759</v>
      </c>
      <c r="G907" s="7" t="s">
        <v>153</v>
      </c>
      <c r="H907" s="7" t="s">
        <v>246</v>
      </c>
      <c r="I907" s="7" t="s">
        <v>247</v>
      </c>
      <c r="J907" s="7" t="s">
        <v>236</v>
      </c>
      <c r="K907" s="7" t="s">
        <v>189</v>
      </c>
      <c r="L907" s="7" t="s">
        <v>2341</v>
      </c>
      <c r="M907" s="7" t="s">
        <v>556</v>
      </c>
      <c r="N907" s="16"/>
      <c r="O907" s="7"/>
      <c r="P907" s="22"/>
      <c r="Q907" s="8" t="n">
        <v>1297.12</v>
      </c>
      <c r="R907" s="8" t="n">
        <v>-1297.12</v>
      </c>
      <c r="S907" s="7" t="s">
        <v>775</v>
      </c>
      <c r="T907" s="7"/>
      <c r="U907" s="7"/>
      <c r="V907" s="20"/>
      <c r="W907" s="7"/>
      <c r="X907" s="7" t="s">
        <v>784</v>
      </c>
      <c r="Y907" s="7"/>
      <c r="Z907" s="7"/>
      <c r="AA907" s="23" t="n">
        <f aca="false">YEAR(C907)</f>
        <v>2026</v>
      </c>
    </row>
    <row r="908" customFormat="false" ht="15" hidden="false" customHeight="false" outlineLevel="0" collapsed="false">
      <c r="A908" s="7" t="s">
        <v>2375</v>
      </c>
      <c r="B908" s="7" t="s">
        <v>137</v>
      </c>
      <c r="C908" s="20" t="n">
        <v>46053</v>
      </c>
      <c r="D908" s="20" t="n">
        <v>46053</v>
      </c>
      <c r="E908" s="20"/>
      <c r="F908" s="7" t="s">
        <v>759</v>
      </c>
      <c r="G908" s="7" t="s">
        <v>153</v>
      </c>
      <c r="H908" s="7" t="s">
        <v>574</v>
      </c>
      <c r="I908" s="7" t="s">
        <v>364</v>
      </c>
      <c r="J908" s="7" t="s">
        <v>761</v>
      </c>
      <c r="K908" s="7" t="s">
        <v>772</v>
      </c>
      <c r="L908" s="7" t="s">
        <v>575</v>
      </c>
      <c r="M908" s="7" t="s">
        <v>556</v>
      </c>
      <c r="N908" s="16"/>
      <c r="O908" s="7"/>
      <c r="P908" s="22"/>
      <c r="Q908" s="8" t="n">
        <v>23000</v>
      </c>
      <c r="R908" s="8" t="n">
        <v>-23000</v>
      </c>
      <c r="S908" s="7" t="s">
        <v>783</v>
      </c>
      <c r="T908" s="7"/>
      <c r="U908" s="7"/>
      <c r="V908" s="20"/>
      <c r="W908" s="7"/>
      <c r="X908" s="7" t="s">
        <v>784</v>
      </c>
      <c r="Y908" s="7"/>
      <c r="Z908" s="7"/>
      <c r="AA908" s="23" t="n">
        <f aca="false">YEAR(C908)</f>
        <v>2026</v>
      </c>
    </row>
    <row r="909" customFormat="false" ht="15" hidden="false" customHeight="false" outlineLevel="0" collapsed="false">
      <c r="A909" s="7" t="s">
        <v>2376</v>
      </c>
      <c r="B909" s="7" t="s">
        <v>137</v>
      </c>
      <c r="C909" s="20" t="n">
        <v>46054</v>
      </c>
      <c r="D909" s="20" t="n">
        <v>46054</v>
      </c>
      <c r="E909" s="20"/>
      <c r="F909" s="7" t="s">
        <v>759</v>
      </c>
      <c r="G909" s="7" t="s">
        <v>153</v>
      </c>
      <c r="H909" s="7" t="s">
        <v>545</v>
      </c>
      <c r="I909" s="7" t="s">
        <v>760</v>
      </c>
      <c r="J909" s="7" t="s">
        <v>761</v>
      </c>
      <c r="K909" s="7" t="s">
        <v>762</v>
      </c>
      <c r="L909" s="7" t="s">
        <v>546</v>
      </c>
      <c r="M909" s="7"/>
      <c r="N909" s="16"/>
      <c r="O909" s="7"/>
      <c r="P909" s="22"/>
      <c r="Q909" s="8" t="n">
        <v>4200</v>
      </c>
      <c r="R909" s="8" t="n">
        <v>-4200</v>
      </c>
      <c r="S909" s="7" t="s">
        <v>763</v>
      </c>
      <c r="T909" s="7"/>
      <c r="U909" s="7"/>
      <c r="V909" s="20"/>
      <c r="W909" s="7"/>
      <c r="X909" s="7"/>
      <c r="Y909" s="7"/>
      <c r="Z909" s="7"/>
      <c r="AA909" s="23" t="n">
        <f aca="false">YEAR(C909)</f>
        <v>2026</v>
      </c>
    </row>
    <row r="910" customFormat="false" ht="15" hidden="false" customHeight="false" outlineLevel="0" collapsed="false">
      <c r="A910" s="7" t="s">
        <v>2377</v>
      </c>
      <c r="B910" s="7" t="s">
        <v>137</v>
      </c>
      <c r="C910" s="20" t="n">
        <v>46061</v>
      </c>
      <c r="D910" s="20" t="n">
        <v>46103</v>
      </c>
      <c r="E910" s="20"/>
      <c r="F910" s="7" t="s">
        <v>759</v>
      </c>
      <c r="G910" s="7" t="s">
        <v>153</v>
      </c>
      <c r="H910" s="7" t="s">
        <v>244</v>
      </c>
      <c r="I910" s="7" t="s">
        <v>245</v>
      </c>
      <c r="J910" s="7" t="s">
        <v>229</v>
      </c>
      <c r="K910" s="7" t="s">
        <v>233</v>
      </c>
      <c r="L910" s="7" t="s">
        <v>570</v>
      </c>
      <c r="M910" s="7"/>
      <c r="N910" s="16"/>
      <c r="O910" s="7"/>
      <c r="P910" s="22"/>
      <c r="Q910" s="8" t="n">
        <v>165</v>
      </c>
      <c r="R910" s="8" t="n">
        <v>-165</v>
      </c>
      <c r="S910" s="7" t="s">
        <v>765</v>
      </c>
      <c r="T910" s="7"/>
      <c r="U910" s="7"/>
      <c r="V910" s="20"/>
      <c r="W910" s="7"/>
      <c r="X910" s="7"/>
      <c r="Y910" s="7"/>
      <c r="Z910" s="7"/>
      <c r="AA910" s="23" t="n">
        <f aca="false">YEAR(C910)</f>
        <v>2026</v>
      </c>
    </row>
    <row r="911" customFormat="false" ht="15" hidden="false" customHeight="false" outlineLevel="0" collapsed="false">
      <c r="A911" s="7" t="s">
        <v>2378</v>
      </c>
      <c r="B911" s="7" t="s">
        <v>137</v>
      </c>
      <c r="C911" s="20" t="n">
        <v>46063</v>
      </c>
      <c r="D911" s="20" t="n">
        <v>46063</v>
      </c>
      <c r="E911" s="20"/>
      <c r="F911" s="7" t="s">
        <v>759</v>
      </c>
      <c r="G911" s="7" t="s">
        <v>153</v>
      </c>
      <c r="H911" s="7" t="s">
        <v>237</v>
      </c>
      <c r="I911" s="7" t="s">
        <v>238</v>
      </c>
      <c r="J911" s="7" t="s">
        <v>236</v>
      </c>
      <c r="K911" s="7" t="s">
        <v>189</v>
      </c>
      <c r="L911" s="7" t="s">
        <v>2379</v>
      </c>
      <c r="M911" s="7" t="s">
        <v>768</v>
      </c>
      <c r="N911" s="16"/>
      <c r="O911" s="7"/>
      <c r="P911" s="22"/>
      <c r="Q911" s="8" t="n">
        <v>13.6</v>
      </c>
      <c r="R911" s="8" t="n">
        <v>-13.6</v>
      </c>
      <c r="S911" s="7" t="s">
        <v>744</v>
      </c>
      <c r="T911" s="7"/>
      <c r="U911" s="7"/>
      <c r="V911" s="20"/>
      <c r="W911" s="7"/>
      <c r="X911" s="7" t="s">
        <v>769</v>
      </c>
      <c r="Y911" s="7"/>
      <c r="Z911" s="7"/>
      <c r="AA911" s="23" t="n">
        <f aca="false">YEAR(C911)</f>
        <v>2026</v>
      </c>
    </row>
    <row r="912" customFormat="false" ht="15" hidden="false" customHeight="false" outlineLevel="0" collapsed="false">
      <c r="A912" s="7" t="s">
        <v>2380</v>
      </c>
      <c r="B912" s="7" t="s">
        <v>137</v>
      </c>
      <c r="C912" s="20" t="n">
        <v>46063</v>
      </c>
      <c r="D912" s="20" t="n">
        <v>46063</v>
      </c>
      <c r="E912" s="20"/>
      <c r="F912" s="7" t="s">
        <v>759</v>
      </c>
      <c r="G912" s="7" t="s">
        <v>153</v>
      </c>
      <c r="H912" s="7" t="s">
        <v>559</v>
      </c>
      <c r="I912" s="7" t="s">
        <v>771</v>
      </c>
      <c r="J912" s="7" t="s">
        <v>761</v>
      </c>
      <c r="K912" s="7" t="s">
        <v>772</v>
      </c>
      <c r="L912" s="7" t="s">
        <v>2381</v>
      </c>
      <c r="M912" s="7" t="s">
        <v>768</v>
      </c>
      <c r="N912" s="16"/>
      <c r="O912" s="7"/>
      <c r="P912" s="22"/>
      <c r="Q912" s="8" t="n">
        <v>831.49</v>
      </c>
      <c r="R912" s="8" t="n">
        <v>-831.49</v>
      </c>
      <c r="S912" s="7" t="s">
        <v>744</v>
      </c>
      <c r="T912" s="7"/>
      <c r="U912" s="7"/>
      <c r="V912" s="20"/>
      <c r="W912" s="7"/>
      <c r="X912" s="7" t="s">
        <v>769</v>
      </c>
      <c r="Y912" s="7"/>
      <c r="Z912" s="7"/>
      <c r="AA912" s="23" t="n">
        <f aca="false">YEAR(C912)</f>
        <v>2026</v>
      </c>
    </row>
    <row r="913" customFormat="false" ht="15" hidden="false" customHeight="false" outlineLevel="0" collapsed="false">
      <c r="A913" s="7" t="s">
        <v>2382</v>
      </c>
      <c r="B913" s="7" t="s">
        <v>137</v>
      </c>
      <c r="C913" s="20" t="n">
        <v>46065</v>
      </c>
      <c r="D913" s="20" t="n">
        <v>46065</v>
      </c>
      <c r="E913" s="20"/>
      <c r="F913" s="7" t="s">
        <v>759</v>
      </c>
      <c r="G913" s="7" t="s">
        <v>153</v>
      </c>
      <c r="H913" s="7" t="s">
        <v>240</v>
      </c>
      <c r="I913" s="7" t="s">
        <v>239</v>
      </c>
      <c r="J913" s="7" t="s">
        <v>229</v>
      </c>
      <c r="K913" s="7" t="s">
        <v>239</v>
      </c>
      <c r="L913" s="7" t="s">
        <v>548</v>
      </c>
      <c r="M913" s="7" t="s">
        <v>547</v>
      </c>
      <c r="N913" s="16"/>
      <c r="O913" s="7"/>
      <c r="P913" s="22"/>
      <c r="Q913" s="8" t="n">
        <v>395.62</v>
      </c>
      <c r="R913" s="8" t="n">
        <v>-395.62</v>
      </c>
      <c r="S913" s="7" t="s">
        <v>775</v>
      </c>
      <c r="T913" s="7"/>
      <c r="U913" s="7"/>
      <c r="V913" s="20"/>
      <c r="W913" s="7"/>
      <c r="X913" s="7"/>
      <c r="Y913" s="7"/>
      <c r="Z913" s="7"/>
      <c r="AA913" s="23" t="n">
        <f aca="false">YEAR(C913)</f>
        <v>2026</v>
      </c>
    </row>
    <row r="914" customFormat="false" ht="15" hidden="false" customHeight="false" outlineLevel="0" collapsed="false">
      <c r="A914" s="7" t="s">
        <v>2383</v>
      </c>
      <c r="B914" s="7" t="s">
        <v>137</v>
      </c>
      <c r="C914" s="20" t="n">
        <v>46069</v>
      </c>
      <c r="D914" s="20" t="n">
        <v>46069</v>
      </c>
      <c r="E914" s="20"/>
      <c r="F914" s="7" t="s">
        <v>759</v>
      </c>
      <c r="G914" s="7" t="s">
        <v>149</v>
      </c>
      <c r="H914" s="7" t="s">
        <v>237</v>
      </c>
      <c r="I914" s="7" t="s">
        <v>238</v>
      </c>
      <c r="J914" s="7" t="s">
        <v>236</v>
      </c>
      <c r="K914" s="7" t="s">
        <v>189</v>
      </c>
      <c r="L914" s="7" t="s">
        <v>2384</v>
      </c>
      <c r="M914" s="7" t="s">
        <v>556</v>
      </c>
      <c r="N914" s="16"/>
      <c r="O914" s="7"/>
      <c r="P914" s="22"/>
      <c r="Q914" s="8" t="n">
        <v>295.1</v>
      </c>
      <c r="R914" s="8" t="n">
        <v>-295.1</v>
      </c>
      <c r="S914" s="7" t="s">
        <v>744</v>
      </c>
      <c r="T914" s="7"/>
      <c r="U914" s="7"/>
      <c r="V914" s="20"/>
      <c r="W914" s="7"/>
      <c r="X914" s="7" t="s">
        <v>1552</v>
      </c>
      <c r="Y914" s="7"/>
      <c r="Z914" s="7"/>
      <c r="AA914" s="23" t="n">
        <f aca="false">YEAR(C914)</f>
        <v>2026</v>
      </c>
    </row>
    <row r="915" customFormat="false" ht="15" hidden="false" customHeight="false" outlineLevel="0" collapsed="false">
      <c r="A915" s="7" t="s">
        <v>2385</v>
      </c>
      <c r="B915" s="7" t="s">
        <v>137</v>
      </c>
      <c r="C915" s="20" t="n">
        <v>46069</v>
      </c>
      <c r="D915" s="20" t="n">
        <v>46069</v>
      </c>
      <c r="E915" s="20"/>
      <c r="F915" s="7" t="s">
        <v>759</v>
      </c>
      <c r="G915" s="7" t="s">
        <v>149</v>
      </c>
      <c r="H915" s="7" t="s">
        <v>559</v>
      </c>
      <c r="I915" s="7" t="s">
        <v>771</v>
      </c>
      <c r="J915" s="7" t="s">
        <v>761</v>
      </c>
      <c r="K915" s="7" t="s">
        <v>772</v>
      </c>
      <c r="L915" s="7" t="s">
        <v>2386</v>
      </c>
      <c r="M915" s="7" t="s">
        <v>556</v>
      </c>
      <c r="N915" s="16"/>
      <c r="O915" s="7"/>
      <c r="P915" s="22"/>
      <c r="Q915" s="8" t="n">
        <v>1437.39</v>
      </c>
      <c r="R915" s="8" t="n">
        <v>-1437.39</v>
      </c>
      <c r="S915" s="7" t="s">
        <v>744</v>
      </c>
      <c r="T915" s="7"/>
      <c r="U915" s="7"/>
      <c r="V915" s="20"/>
      <c r="W915" s="7"/>
      <c r="X915" s="7" t="s">
        <v>1552</v>
      </c>
      <c r="Y915" s="7"/>
      <c r="Z915" s="7"/>
      <c r="AA915" s="23" t="n">
        <f aca="false">YEAR(C915)</f>
        <v>2026</v>
      </c>
    </row>
    <row r="916" customFormat="false" ht="15" hidden="false" customHeight="false" outlineLevel="0" collapsed="false">
      <c r="A916" s="7" t="s">
        <v>2387</v>
      </c>
      <c r="B916" s="7" t="s">
        <v>137</v>
      </c>
      <c r="C916" s="20" t="n">
        <v>46070</v>
      </c>
      <c r="D916" s="20" t="n">
        <v>46076</v>
      </c>
      <c r="E916" s="20"/>
      <c r="F916" s="7" t="s">
        <v>759</v>
      </c>
      <c r="G916" s="7" t="s">
        <v>141</v>
      </c>
      <c r="H916" s="7" t="s">
        <v>250</v>
      </c>
      <c r="I916" s="7" t="s">
        <v>251</v>
      </c>
      <c r="J916" s="7" t="s">
        <v>248</v>
      </c>
      <c r="K916" s="7" t="s">
        <v>249</v>
      </c>
      <c r="L916" s="7" t="s">
        <v>2388</v>
      </c>
      <c r="M916" s="7" t="s">
        <v>549</v>
      </c>
      <c r="N916" s="16" t="n">
        <v>10106</v>
      </c>
      <c r="O916" s="7" t="s">
        <v>798</v>
      </c>
      <c r="P916" s="22" t="n">
        <v>4.23</v>
      </c>
      <c r="Q916" s="8" t="n">
        <v>42748.38</v>
      </c>
      <c r="R916" s="8" t="n">
        <v>42748.38</v>
      </c>
      <c r="S916" s="7" t="s">
        <v>33</v>
      </c>
      <c r="T916" s="7" t="s">
        <v>2389</v>
      </c>
      <c r="U916" s="7"/>
      <c r="V916" s="20" t="n">
        <v>46070</v>
      </c>
      <c r="W916" s="7"/>
      <c r="X916" s="7"/>
      <c r="Y916" s="7" t="s">
        <v>710</v>
      </c>
      <c r="Z916" s="7"/>
      <c r="AA916" s="23" t="n">
        <f aca="false">YEAR(C916)</f>
        <v>2026</v>
      </c>
    </row>
    <row r="917" customFormat="false" ht="15" hidden="false" customHeight="false" outlineLevel="0" collapsed="false">
      <c r="A917" s="7" t="s">
        <v>2390</v>
      </c>
      <c r="B917" s="7" t="s">
        <v>137</v>
      </c>
      <c r="C917" s="20" t="n">
        <v>46071</v>
      </c>
      <c r="D917" s="20" t="n">
        <v>46071</v>
      </c>
      <c r="E917" s="20"/>
      <c r="F917" s="7" t="s">
        <v>759</v>
      </c>
      <c r="G917" s="7" t="s">
        <v>141</v>
      </c>
      <c r="H917" s="7" t="s">
        <v>303</v>
      </c>
      <c r="I917" s="7" t="s">
        <v>304</v>
      </c>
      <c r="J917" s="7" t="s">
        <v>248</v>
      </c>
      <c r="K917" s="7" t="s">
        <v>286</v>
      </c>
      <c r="L917" s="7" t="s">
        <v>2391</v>
      </c>
      <c r="M917" s="7" t="s">
        <v>551</v>
      </c>
      <c r="N917" s="16"/>
      <c r="O917" s="7"/>
      <c r="P917" s="22"/>
      <c r="Q917" s="8" t="n">
        <v>5545</v>
      </c>
      <c r="R917" s="8" t="n">
        <v>5545</v>
      </c>
      <c r="S917" s="7" t="s">
        <v>33</v>
      </c>
      <c r="T917" s="7"/>
      <c r="U917" s="7"/>
      <c r="V917" s="20"/>
      <c r="W917" s="7"/>
      <c r="X917" s="7"/>
      <c r="Y917" s="7"/>
      <c r="Z917" s="7"/>
      <c r="AA917" s="23" t="n">
        <f aca="false">YEAR(C917)</f>
        <v>2026</v>
      </c>
    </row>
    <row r="918" customFormat="false" ht="15" hidden="false" customHeight="false" outlineLevel="0" collapsed="false">
      <c r="A918" s="7" t="s">
        <v>2392</v>
      </c>
      <c r="B918" s="7" t="s">
        <v>137</v>
      </c>
      <c r="C918" s="20" t="n">
        <v>46071</v>
      </c>
      <c r="D918" s="20" t="n">
        <v>46071</v>
      </c>
      <c r="E918" s="20"/>
      <c r="F918" s="7" t="s">
        <v>759</v>
      </c>
      <c r="G918" s="7" t="s">
        <v>144</v>
      </c>
      <c r="H918" s="7" t="s">
        <v>303</v>
      </c>
      <c r="I918" s="7" t="s">
        <v>304</v>
      </c>
      <c r="J918" s="7" t="s">
        <v>248</v>
      </c>
      <c r="K918" s="7" t="s">
        <v>286</v>
      </c>
      <c r="L918" s="7" t="s">
        <v>2393</v>
      </c>
      <c r="M918" s="7" t="s">
        <v>551</v>
      </c>
      <c r="N918" s="16"/>
      <c r="O918" s="7"/>
      <c r="P918" s="22"/>
      <c r="Q918" s="8" t="n">
        <v>2470.4</v>
      </c>
      <c r="R918" s="8" t="n">
        <v>2470.4</v>
      </c>
      <c r="S918" s="7" t="s">
        <v>33</v>
      </c>
      <c r="T918" s="7"/>
      <c r="U918" s="7"/>
      <c r="V918" s="20"/>
      <c r="W918" s="7"/>
      <c r="X918" s="7"/>
      <c r="Y918" s="7"/>
      <c r="Z918" s="7"/>
      <c r="AA918" s="23" t="n">
        <f aca="false">YEAR(C918)</f>
        <v>2026</v>
      </c>
    </row>
    <row r="919" customFormat="false" ht="15" hidden="false" customHeight="false" outlineLevel="0" collapsed="false">
      <c r="A919" s="7" t="s">
        <v>2394</v>
      </c>
      <c r="B919" s="7" t="s">
        <v>137</v>
      </c>
      <c r="C919" s="20" t="n">
        <v>46071</v>
      </c>
      <c r="D919" s="20" t="n">
        <v>46071</v>
      </c>
      <c r="E919" s="20"/>
      <c r="F919" s="7" t="s">
        <v>759</v>
      </c>
      <c r="G919" s="7" t="s">
        <v>146</v>
      </c>
      <c r="H919" s="7" t="s">
        <v>303</v>
      </c>
      <c r="I919" s="7" t="s">
        <v>304</v>
      </c>
      <c r="J919" s="7" t="s">
        <v>248</v>
      </c>
      <c r="K919" s="7" t="s">
        <v>286</v>
      </c>
      <c r="L919" s="7" t="s">
        <v>2395</v>
      </c>
      <c r="M919" s="7" t="s">
        <v>551</v>
      </c>
      <c r="N919" s="16"/>
      <c r="O919" s="7"/>
      <c r="P919" s="22"/>
      <c r="Q919" s="8" t="n">
        <v>3148</v>
      </c>
      <c r="R919" s="8" t="n">
        <v>3148</v>
      </c>
      <c r="S919" s="7" t="s">
        <v>33</v>
      </c>
      <c r="T919" s="7"/>
      <c r="U919" s="7"/>
      <c r="V919" s="20"/>
      <c r="W919" s="7"/>
      <c r="X919" s="7"/>
      <c r="Y919" s="7"/>
      <c r="Z919" s="7"/>
      <c r="AA919" s="23" t="n">
        <f aca="false">YEAR(C919)</f>
        <v>2026</v>
      </c>
    </row>
    <row r="920" customFormat="false" ht="15" hidden="false" customHeight="false" outlineLevel="0" collapsed="false">
      <c r="A920" s="7" t="s">
        <v>2396</v>
      </c>
      <c r="B920" s="7" t="s">
        <v>137</v>
      </c>
      <c r="C920" s="20" t="n">
        <v>46071</v>
      </c>
      <c r="D920" s="20" t="n">
        <v>46071</v>
      </c>
      <c r="E920" s="20"/>
      <c r="F920" s="7" t="s">
        <v>759</v>
      </c>
      <c r="G920" s="7" t="s">
        <v>136</v>
      </c>
      <c r="H920" s="7" t="s">
        <v>303</v>
      </c>
      <c r="I920" s="7" t="s">
        <v>304</v>
      </c>
      <c r="J920" s="7" t="s">
        <v>248</v>
      </c>
      <c r="K920" s="7" t="s">
        <v>286</v>
      </c>
      <c r="L920" s="7" t="s">
        <v>2397</v>
      </c>
      <c r="M920" s="7" t="s">
        <v>551</v>
      </c>
      <c r="N920" s="16"/>
      <c r="O920" s="7"/>
      <c r="P920" s="22"/>
      <c r="Q920" s="8" t="n">
        <v>11265.6</v>
      </c>
      <c r="R920" s="8" t="n">
        <v>11265.6</v>
      </c>
      <c r="S920" s="7" t="s">
        <v>33</v>
      </c>
      <c r="T920" s="7"/>
      <c r="U920" s="7"/>
      <c r="V920" s="20"/>
      <c r="W920" s="7"/>
      <c r="X920" s="7"/>
      <c r="Y920" s="7"/>
      <c r="Z920" s="7"/>
      <c r="AA920" s="23" t="n">
        <f aca="false">YEAR(C920)</f>
        <v>2026</v>
      </c>
    </row>
    <row r="921" customFormat="false" ht="15" hidden="false" customHeight="false" outlineLevel="0" collapsed="false">
      <c r="A921" s="7" t="s">
        <v>2398</v>
      </c>
      <c r="B921" s="7" t="s">
        <v>137</v>
      </c>
      <c r="C921" s="20" t="n">
        <v>46079</v>
      </c>
      <c r="D921" s="20" t="n">
        <v>46103</v>
      </c>
      <c r="E921" s="20"/>
      <c r="F921" s="7" t="s">
        <v>759</v>
      </c>
      <c r="G921" s="7" t="s">
        <v>153</v>
      </c>
      <c r="H921" s="7" t="s">
        <v>242</v>
      </c>
      <c r="I921" s="7" t="s">
        <v>243</v>
      </c>
      <c r="J921" s="7" t="s">
        <v>229</v>
      </c>
      <c r="K921" s="7" t="s">
        <v>241</v>
      </c>
      <c r="L921" s="7" t="s">
        <v>571</v>
      </c>
      <c r="M921" s="7"/>
      <c r="N921" s="16"/>
      <c r="O921" s="7"/>
      <c r="P921" s="22"/>
      <c r="Q921" s="8" t="n">
        <v>238.75</v>
      </c>
      <c r="R921" s="8" t="n">
        <v>-238.75</v>
      </c>
      <c r="S921" s="7" t="s">
        <v>765</v>
      </c>
      <c r="T921" s="7"/>
      <c r="U921" s="7"/>
      <c r="V921" s="20"/>
      <c r="W921" s="7"/>
      <c r="X921" s="7"/>
      <c r="Y921" s="7"/>
      <c r="Z921" s="7"/>
      <c r="AA921" s="23" t="n">
        <f aca="false">YEAR(C921)</f>
        <v>2026</v>
      </c>
    </row>
    <row r="922" customFormat="false" ht="15" hidden="false" customHeight="false" outlineLevel="0" collapsed="false">
      <c r="A922" s="7" t="s">
        <v>2399</v>
      </c>
      <c r="B922" s="7" t="s">
        <v>137</v>
      </c>
      <c r="C922" s="20" t="n">
        <v>46080</v>
      </c>
      <c r="D922" s="20" t="n">
        <v>46080</v>
      </c>
      <c r="E922" s="20"/>
      <c r="F922" s="7" t="s">
        <v>759</v>
      </c>
      <c r="G922" s="7" t="s">
        <v>153</v>
      </c>
      <c r="H922" s="7" t="s">
        <v>252</v>
      </c>
      <c r="I922" s="7" t="s">
        <v>253</v>
      </c>
      <c r="J922" s="7" t="s">
        <v>229</v>
      </c>
      <c r="K922" s="7" t="s">
        <v>233</v>
      </c>
      <c r="L922" s="7" t="s">
        <v>819</v>
      </c>
      <c r="M922" s="7" t="s">
        <v>820</v>
      </c>
      <c r="N922" s="16"/>
      <c r="O922" s="7"/>
      <c r="P922" s="22"/>
      <c r="Q922" s="8" t="n">
        <v>3850</v>
      </c>
      <c r="R922" s="8" t="n">
        <v>-3850</v>
      </c>
      <c r="S922" s="7" t="s">
        <v>33</v>
      </c>
      <c r="T922" s="7"/>
      <c r="U922" s="7"/>
      <c r="V922" s="20"/>
      <c r="W922" s="7"/>
      <c r="X922" s="7"/>
      <c r="Y922" s="7"/>
      <c r="Z922" s="7"/>
      <c r="AA922" s="23" t="n">
        <f aca="false">YEAR(C922)</f>
        <v>2026</v>
      </c>
    </row>
    <row r="923" customFormat="false" ht="15" hidden="false" customHeight="false" outlineLevel="0" collapsed="false">
      <c r="A923" s="7" t="s">
        <v>2400</v>
      </c>
      <c r="B923" s="7" t="s">
        <v>137</v>
      </c>
      <c r="C923" s="20" t="n">
        <v>46081</v>
      </c>
      <c r="D923" s="20" t="n">
        <v>46081</v>
      </c>
      <c r="E923" s="20"/>
      <c r="F923" s="7" t="s">
        <v>759</v>
      </c>
      <c r="G923" s="7" t="s">
        <v>153</v>
      </c>
      <c r="H923" s="7" t="s">
        <v>246</v>
      </c>
      <c r="I923" s="7" t="s">
        <v>247</v>
      </c>
      <c r="J923" s="7" t="s">
        <v>236</v>
      </c>
      <c r="K923" s="7" t="s">
        <v>189</v>
      </c>
      <c r="L923" s="7" t="s">
        <v>2341</v>
      </c>
      <c r="M923" s="7" t="s">
        <v>556</v>
      </c>
      <c r="N923" s="16"/>
      <c r="O923" s="7"/>
      <c r="P923" s="22"/>
      <c r="Q923" s="8" t="n">
        <v>1171.21</v>
      </c>
      <c r="R923" s="8" t="n">
        <v>-1171.21</v>
      </c>
      <c r="S923" s="7" t="s">
        <v>775</v>
      </c>
      <c r="T923" s="7"/>
      <c r="U923" s="7"/>
      <c r="V923" s="20"/>
      <c r="W923" s="7"/>
      <c r="X923" s="7" t="s">
        <v>784</v>
      </c>
      <c r="Y923" s="7"/>
      <c r="Z923" s="7"/>
      <c r="AA923" s="23" t="n">
        <f aca="false">YEAR(C923)</f>
        <v>2026</v>
      </c>
    </row>
    <row r="924" customFormat="false" ht="15" hidden="false" customHeight="false" outlineLevel="0" collapsed="false">
      <c r="A924" s="7" t="s">
        <v>2401</v>
      </c>
      <c r="B924" s="7" t="s">
        <v>137</v>
      </c>
      <c r="C924" s="20" t="n">
        <v>46081</v>
      </c>
      <c r="D924" s="20" t="n">
        <v>46081</v>
      </c>
      <c r="E924" s="20"/>
      <c r="F924" s="7" t="s">
        <v>759</v>
      </c>
      <c r="G924" s="7" t="s">
        <v>153</v>
      </c>
      <c r="H924" s="7" t="s">
        <v>574</v>
      </c>
      <c r="I924" s="7" t="s">
        <v>364</v>
      </c>
      <c r="J924" s="7" t="s">
        <v>761</v>
      </c>
      <c r="K924" s="7" t="s">
        <v>772</v>
      </c>
      <c r="L924" s="7" t="s">
        <v>575</v>
      </c>
      <c r="M924" s="7" t="s">
        <v>556</v>
      </c>
      <c r="N924" s="16"/>
      <c r="O924" s="7"/>
      <c r="P924" s="22"/>
      <c r="Q924" s="8" t="n">
        <v>51000</v>
      </c>
      <c r="R924" s="8" t="n">
        <v>-51000</v>
      </c>
      <c r="S924" s="7" t="s">
        <v>783</v>
      </c>
      <c r="T924" s="7"/>
      <c r="U924" s="7"/>
      <c r="V924" s="20"/>
      <c r="W924" s="7"/>
      <c r="X924" s="7" t="s">
        <v>784</v>
      </c>
      <c r="Y924" s="7"/>
      <c r="Z924" s="7"/>
      <c r="AA924" s="23" t="n">
        <f aca="false">YEAR(C924)</f>
        <v>2026</v>
      </c>
    </row>
    <row r="925" customFormat="false" ht="15" hidden="false" customHeight="false" outlineLevel="0" collapsed="false">
      <c r="A925" s="7" t="s">
        <v>2402</v>
      </c>
      <c r="B925" s="7" t="s">
        <v>137</v>
      </c>
      <c r="C925" s="20" t="n">
        <v>46082</v>
      </c>
      <c r="D925" s="20" t="n">
        <v>46082</v>
      </c>
      <c r="E925" s="20"/>
      <c r="F925" s="7" t="s">
        <v>759</v>
      </c>
      <c r="G925" s="7" t="s">
        <v>153</v>
      </c>
      <c r="H925" s="7" t="s">
        <v>545</v>
      </c>
      <c r="I925" s="7" t="s">
        <v>760</v>
      </c>
      <c r="J925" s="7" t="s">
        <v>761</v>
      </c>
      <c r="K925" s="7" t="s">
        <v>762</v>
      </c>
      <c r="L925" s="7" t="s">
        <v>546</v>
      </c>
      <c r="M925" s="7"/>
      <c r="N925" s="16"/>
      <c r="O925" s="7"/>
      <c r="P925" s="22"/>
      <c r="Q925" s="8" t="n">
        <v>4200</v>
      </c>
      <c r="R925" s="8" t="n">
        <v>-4200</v>
      </c>
      <c r="S925" s="7" t="s">
        <v>763</v>
      </c>
      <c r="T925" s="7"/>
      <c r="U925" s="7"/>
      <c r="V925" s="20"/>
      <c r="W925" s="7"/>
      <c r="X925" s="7"/>
      <c r="Y925" s="7"/>
      <c r="Z925" s="7"/>
      <c r="AA925" s="23" t="n">
        <f aca="false">YEAR(C925)</f>
        <v>2026</v>
      </c>
    </row>
    <row r="926" customFormat="false" ht="15" hidden="false" customHeight="false" outlineLevel="0" collapsed="false">
      <c r="A926" s="7" t="s">
        <v>2403</v>
      </c>
      <c r="B926" s="7" t="s">
        <v>137</v>
      </c>
      <c r="C926" s="20" t="n">
        <v>46083</v>
      </c>
      <c r="D926" s="20" t="n">
        <v>46113</v>
      </c>
      <c r="E926" s="20"/>
      <c r="F926" s="7" t="s">
        <v>759</v>
      </c>
      <c r="G926" s="7" t="s">
        <v>146</v>
      </c>
      <c r="H926" s="7" t="s">
        <v>255</v>
      </c>
      <c r="I926" s="7" t="s">
        <v>256</v>
      </c>
      <c r="J926" s="7" t="s">
        <v>221</v>
      </c>
      <c r="K926" s="7" t="s">
        <v>254</v>
      </c>
      <c r="L926" s="7" t="s">
        <v>825</v>
      </c>
      <c r="M926" s="7" t="s">
        <v>563</v>
      </c>
      <c r="N926" s="16"/>
      <c r="O926" s="7"/>
      <c r="P926" s="22"/>
      <c r="Q926" s="8" t="n">
        <v>3968</v>
      </c>
      <c r="R926" s="8" t="n">
        <v>-3968</v>
      </c>
      <c r="S926" s="7" t="s">
        <v>751</v>
      </c>
      <c r="T926" s="7"/>
      <c r="U926" s="7" t="s">
        <v>2404</v>
      </c>
      <c r="V926" s="20" t="n">
        <v>46113</v>
      </c>
      <c r="W926" s="7"/>
      <c r="X926" s="7"/>
      <c r="Y926" s="7" t="s">
        <v>712</v>
      </c>
      <c r="Z926" s="7"/>
      <c r="AA926" s="23" t="n">
        <f aca="false">YEAR(C926)</f>
        <v>2026</v>
      </c>
    </row>
    <row r="927" customFormat="false" ht="15" hidden="false" customHeight="false" outlineLevel="0" collapsed="false">
      <c r="A927" s="7" t="s">
        <v>2405</v>
      </c>
      <c r="B927" s="7" t="s">
        <v>137</v>
      </c>
      <c r="C927" s="20" t="n">
        <v>46087</v>
      </c>
      <c r="D927" s="20" t="n">
        <v>46121</v>
      </c>
      <c r="E927" s="20"/>
      <c r="F927" s="7" t="s">
        <v>759</v>
      </c>
      <c r="G927" s="7" t="s">
        <v>136</v>
      </c>
      <c r="H927" s="7" t="s">
        <v>223</v>
      </c>
      <c r="I927" s="7" t="s">
        <v>224</v>
      </c>
      <c r="J927" s="7" t="s">
        <v>221</v>
      </c>
      <c r="K927" s="7" t="s">
        <v>222</v>
      </c>
      <c r="L927" s="7" t="s">
        <v>828</v>
      </c>
      <c r="M927" s="7" t="s">
        <v>589</v>
      </c>
      <c r="N927" s="16" t="n">
        <v>96</v>
      </c>
      <c r="O927" s="7" t="s">
        <v>801</v>
      </c>
      <c r="P927" s="22" t="n">
        <v>26.16</v>
      </c>
      <c r="Q927" s="8" t="n">
        <v>2511.36</v>
      </c>
      <c r="R927" s="8" t="n">
        <v>-2511.36</v>
      </c>
      <c r="S927" s="7" t="s">
        <v>751</v>
      </c>
      <c r="T927" s="7"/>
      <c r="U927" s="7" t="s">
        <v>2406</v>
      </c>
      <c r="V927" s="20" t="n">
        <v>46117</v>
      </c>
      <c r="W927" s="7"/>
      <c r="X927" s="7"/>
      <c r="Y927" s="7" t="s">
        <v>723</v>
      </c>
      <c r="Z927" s="7"/>
      <c r="AA927" s="23" t="n">
        <f aca="false">YEAR(C927)</f>
        <v>2026</v>
      </c>
    </row>
    <row r="928" customFormat="false" ht="15" hidden="false" customHeight="false" outlineLevel="0" collapsed="false">
      <c r="A928" s="7" t="s">
        <v>2407</v>
      </c>
      <c r="B928" s="7" t="s">
        <v>137</v>
      </c>
      <c r="C928" s="20" t="n">
        <v>46088</v>
      </c>
      <c r="D928" s="20" t="n">
        <v>46088</v>
      </c>
      <c r="E928" s="20"/>
      <c r="F928" s="7" t="s">
        <v>759</v>
      </c>
      <c r="G928" s="7" t="s">
        <v>153</v>
      </c>
      <c r="H928" s="7" t="s">
        <v>237</v>
      </c>
      <c r="I928" s="7" t="s">
        <v>238</v>
      </c>
      <c r="J928" s="7" t="s">
        <v>236</v>
      </c>
      <c r="K928" s="7" t="s">
        <v>189</v>
      </c>
      <c r="L928" s="7" t="s">
        <v>2408</v>
      </c>
      <c r="M928" s="7" t="s">
        <v>778</v>
      </c>
      <c r="N928" s="16"/>
      <c r="O928" s="7"/>
      <c r="P928" s="22"/>
      <c r="Q928" s="8" t="n">
        <v>12358.5</v>
      </c>
      <c r="R928" s="8" t="n">
        <v>-12358.5</v>
      </c>
      <c r="S928" s="7" t="s">
        <v>744</v>
      </c>
      <c r="T928" s="7"/>
      <c r="U928" s="7"/>
      <c r="V928" s="20"/>
      <c r="W928" s="7"/>
      <c r="X928" s="7" t="s">
        <v>1860</v>
      </c>
      <c r="Y928" s="7"/>
      <c r="Z928" s="7"/>
      <c r="AA928" s="23" t="n">
        <f aca="false">YEAR(C928)</f>
        <v>2026</v>
      </c>
    </row>
    <row r="929" customFormat="false" ht="15" hidden="false" customHeight="false" outlineLevel="0" collapsed="false">
      <c r="A929" s="7" t="s">
        <v>2409</v>
      </c>
      <c r="B929" s="7" t="s">
        <v>137</v>
      </c>
      <c r="C929" s="20" t="n">
        <v>46088</v>
      </c>
      <c r="D929" s="20" t="n">
        <v>46088</v>
      </c>
      <c r="E929" s="20"/>
      <c r="F929" s="7" t="s">
        <v>759</v>
      </c>
      <c r="G929" s="7" t="s">
        <v>153</v>
      </c>
      <c r="H929" s="7" t="s">
        <v>559</v>
      </c>
      <c r="I929" s="7" t="s">
        <v>771</v>
      </c>
      <c r="J929" s="7" t="s">
        <v>761</v>
      </c>
      <c r="K929" s="7" t="s">
        <v>772</v>
      </c>
      <c r="L929" s="7" t="s">
        <v>2410</v>
      </c>
      <c r="M929" s="7" t="s">
        <v>778</v>
      </c>
      <c r="N929" s="16"/>
      <c r="O929" s="7"/>
      <c r="P929" s="22"/>
      <c r="Q929" s="8" t="n">
        <v>22783.15</v>
      </c>
      <c r="R929" s="8" t="n">
        <v>-22783.15</v>
      </c>
      <c r="S929" s="7" t="s">
        <v>744</v>
      </c>
      <c r="T929" s="7"/>
      <c r="U929" s="7"/>
      <c r="V929" s="20"/>
      <c r="W929" s="7"/>
      <c r="X929" s="7" t="s">
        <v>1860</v>
      </c>
      <c r="Y929" s="7"/>
      <c r="Z929" s="7"/>
      <c r="AA929" s="23" t="n">
        <f aca="false">YEAR(C929)</f>
        <v>2026</v>
      </c>
    </row>
    <row r="930" customFormat="false" ht="15" hidden="false" customHeight="false" outlineLevel="0" collapsed="false">
      <c r="A930" s="7" t="s">
        <v>2411</v>
      </c>
      <c r="B930" s="7" t="s">
        <v>137</v>
      </c>
      <c r="C930" s="20" t="n">
        <v>46088</v>
      </c>
      <c r="D930" s="20" t="n">
        <v>46088</v>
      </c>
      <c r="E930" s="20"/>
      <c r="F930" s="7" t="s">
        <v>759</v>
      </c>
      <c r="G930" s="7" t="s">
        <v>153</v>
      </c>
      <c r="H930" s="7" t="s">
        <v>561</v>
      </c>
      <c r="I930" s="7" t="s">
        <v>363</v>
      </c>
      <c r="J930" s="7" t="s">
        <v>761</v>
      </c>
      <c r="K930" s="7" t="s">
        <v>772</v>
      </c>
      <c r="L930" s="7" t="s">
        <v>562</v>
      </c>
      <c r="M930" s="7" t="s">
        <v>556</v>
      </c>
      <c r="N930" s="16"/>
      <c r="O930" s="7"/>
      <c r="P930" s="22"/>
      <c r="Q930" s="8" t="n">
        <v>31000</v>
      </c>
      <c r="R930" s="8" t="n">
        <v>31000</v>
      </c>
      <c r="S930" s="7" t="s">
        <v>783</v>
      </c>
      <c r="T930" s="7"/>
      <c r="U930" s="7"/>
      <c r="V930" s="20"/>
      <c r="W930" s="7"/>
      <c r="X930" s="7" t="s">
        <v>784</v>
      </c>
      <c r="Y930" s="7"/>
      <c r="Z930" s="7"/>
      <c r="AA930" s="23" t="n">
        <f aca="false">YEAR(C930)</f>
        <v>2026</v>
      </c>
    </row>
    <row r="931" customFormat="false" ht="15" hidden="false" customHeight="false" outlineLevel="0" collapsed="false">
      <c r="A931" s="7" t="s">
        <v>2412</v>
      </c>
      <c r="B931" s="7" t="s">
        <v>137</v>
      </c>
      <c r="C931" s="20" t="n">
        <v>46089</v>
      </c>
      <c r="D931" s="20" t="n">
        <v>46134</v>
      </c>
      <c r="E931" s="20"/>
      <c r="F931" s="7" t="s">
        <v>759</v>
      </c>
      <c r="G931" s="7" t="s">
        <v>153</v>
      </c>
      <c r="H931" s="7" t="s">
        <v>244</v>
      </c>
      <c r="I931" s="7" t="s">
        <v>245</v>
      </c>
      <c r="J931" s="7" t="s">
        <v>229</v>
      </c>
      <c r="K931" s="7" t="s">
        <v>233</v>
      </c>
      <c r="L931" s="7" t="s">
        <v>570</v>
      </c>
      <c r="M931" s="7"/>
      <c r="N931" s="16"/>
      <c r="O931" s="7"/>
      <c r="P931" s="22"/>
      <c r="Q931" s="8" t="n">
        <v>165</v>
      </c>
      <c r="R931" s="8" t="n">
        <v>-165</v>
      </c>
      <c r="S931" s="7" t="s">
        <v>765</v>
      </c>
      <c r="T931" s="7"/>
      <c r="U931" s="7"/>
      <c r="V931" s="20"/>
      <c r="W931" s="7"/>
      <c r="X931" s="7"/>
      <c r="Y931" s="7"/>
      <c r="Z931" s="7"/>
      <c r="AA931" s="23" t="n">
        <f aca="false">YEAR(C931)</f>
        <v>2026</v>
      </c>
    </row>
    <row r="932" customFormat="false" ht="15" hidden="false" customHeight="false" outlineLevel="0" collapsed="false">
      <c r="A932" s="7" t="s">
        <v>2413</v>
      </c>
      <c r="B932" s="7" t="s">
        <v>137</v>
      </c>
      <c r="C932" s="20" t="n">
        <v>46091</v>
      </c>
      <c r="D932" s="20" t="n">
        <v>46091</v>
      </c>
      <c r="E932" s="20"/>
      <c r="F932" s="7" t="s">
        <v>759</v>
      </c>
      <c r="G932" s="7" t="s">
        <v>153</v>
      </c>
      <c r="H932" s="7" t="s">
        <v>237</v>
      </c>
      <c r="I932" s="7" t="s">
        <v>238</v>
      </c>
      <c r="J932" s="7" t="s">
        <v>236</v>
      </c>
      <c r="K932" s="7" t="s">
        <v>189</v>
      </c>
      <c r="L932" s="7" t="s">
        <v>2414</v>
      </c>
      <c r="M932" s="7" t="s">
        <v>768</v>
      </c>
      <c r="N932" s="16"/>
      <c r="O932" s="7"/>
      <c r="P932" s="22"/>
      <c r="Q932" s="8" t="n">
        <v>10.9</v>
      </c>
      <c r="R932" s="8" t="n">
        <v>-10.9</v>
      </c>
      <c r="S932" s="7" t="s">
        <v>744</v>
      </c>
      <c r="T932" s="7"/>
      <c r="U932" s="7"/>
      <c r="V932" s="20"/>
      <c r="W932" s="7"/>
      <c r="X932" s="7" t="s">
        <v>769</v>
      </c>
      <c r="Y932" s="7"/>
      <c r="Z932" s="7"/>
      <c r="AA932" s="23" t="n">
        <f aca="false">YEAR(C932)</f>
        <v>2026</v>
      </c>
    </row>
    <row r="933" customFormat="false" ht="15" hidden="false" customHeight="false" outlineLevel="0" collapsed="false">
      <c r="A933" s="7" t="s">
        <v>2415</v>
      </c>
      <c r="B933" s="7" t="s">
        <v>137</v>
      </c>
      <c r="C933" s="20" t="n">
        <v>46091</v>
      </c>
      <c r="D933" s="20" t="n">
        <v>46091</v>
      </c>
      <c r="E933" s="20"/>
      <c r="F933" s="7" t="s">
        <v>759</v>
      </c>
      <c r="G933" s="7" t="s">
        <v>153</v>
      </c>
      <c r="H933" s="7" t="s">
        <v>559</v>
      </c>
      <c r="I933" s="7" t="s">
        <v>771</v>
      </c>
      <c r="J933" s="7" t="s">
        <v>761</v>
      </c>
      <c r="K933" s="7" t="s">
        <v>772</v>
      </c>
      <c r="L933" s="7" t="s">
        <v>2416</v>
      </c>
      <c r="M933" s="7" t="s">
        <v>768</v>
      </c>
      <c r="N933" s="16"/>
      <c r="O933" s="7"/>
      <c r="P933" s="22"/>
      <c r="Q933" s="8" t="n">
        <v>834.19</v>
      </c>
      <c r="R933" s="8" t="n">
        <v>-834.19</v>
      </c>
      <c r="S933" s="7" t="s">
        <v>744</v>
      </c>
      <c r="T933" s="7"/>
      <c r="U933" s="7"/>
      <c r="V933" s="20"/>
      <c r="W933" s="7"/>
      <c r="X933" s="7" t="s">
        <v>769</v>
      </c>
      <c r="Y933" s="7"/>
      <c r="Z933" s="7"/>
      <c r="AA933" s="23" t="n">
        <f aca="false">YEAR(C933)</f>
        <v>2026</v>
      </c>
    </row>
    <row r="934" customFormat="false" ht="15" hidden="false" customHeight="false" outlineLevel="0" collapsed="false">
      <c r="A934" s="7" t="s">
        <v>2417</v>
      </c>
      <c r="B934" s="7" t="s">
        <v>137</v>
      </c>
      <c r="C934" s="20" t="n">
        <v>46092</v>
      </c>
      <c r="D934" s="20" t="n">
        <v>46101</v>
      </c>
      <c r="E934" s="20"/>
      <c r="F934" s="7" t="s">
        <v>759</v>
      </c>
      <c r="G934" s="7" t="s">
        <v>146</v>
      </c>
      <c r="H934" s="7" t="s">
        <v>250</v>
      </c>
      <c r="I934" s="7" t="s">
        <v>251</v>
      </c>
      <c r="J934" s="7" t="s">
        <v>248</v>
      </c>
      <c r="K934" s="7" t="s">
        <v>249</v>
      </c>
      <c r="L934" s="7" t="s">
        <v>2418</v>
      </c>
      <c r="M934" s="7" t="s">
        <v>626</v>
      </c>
      <c r="N934" s="16" t="n">
        <v>2120</v>
      </c>
      <c r="O934" s="7" t="s">
        <v>798</v>
      </c>
      <c r="P934" s="22" t="n">
        <v>5.23</v>
      </c>
      <c r="Q934" s="8" t="n">
        <v>11087.6</v>
      </c>
      <c r="R934" s="8" t="n">
        <v>11087.6</v>
      </c>
      <c r="S934" s="7" t="s">
        <v>33</v>
      </c>
      <c r="T934" s="7" t="s">
        <v>2419</v>
      </c>
      <c r="U934" s="7"/>
      <c r="V934" s="20" t="n">
        <v>46092</v>
      </c>
      <c r="W934" s="7"/>
      <c r="X934" s="7"/>
      <c r="Y934" s="7" t="s">
        <v>709</v>
      </c>
      <c r="Z934" s="7"/>
      <c r="AA934" s="23" t="n">
        <f aca="false">YEAR(C934)</f>
        <v>2026</v>
      </c>
    </row>
    <row r="935" customFormat="false" ht="15" hidden="false" customHeight="false" outlineLevel="0" collapsed="false">
      <c r="A935" s="7" t="s">
        <v>2420</v>
      </c>
      <c r="B935" s="7" t="s">
        <v>137</v>
      </c>
      <c r="C935" s="20" t="n">
        <v>46093</v>
      </c>
      <c r="D935" s="20" t="n">
        <v>46093</v>
      </c>
      <c r="E935" s="20"/>
      <c r="F935" s="7" t="s">
        <v>759</v>
      </c>
      <c r="G935" s="7" t="s">
        <v>153</v>
      </c>
      <c r="H935" s="7" t="s">
        <v>240</v>
      </c>
      <c r="I935" s="7" t="s">
        <v>239</v>
      </c>
      <c r="J935" s="7" t="s">
        <v>229</v>
      </c>
      <c r="K935" s="7" t="s">
        <v>239</v>
      </c>
      <c r="L935" s="7" t="s">
        <v>548</v>
      </c>
      <c r="M935" s="7" t="s">
        <v>547</v>
      </c>
      <c r="N935" s="16"/>
      <c r="O935" s="7"/>
      <c r="P935" s="22"/>
      <c r="Q935" s="8" t="n">
        <v>246.96</v>
      </c>
      <c r="R935" s="8" t="n">
        <v>-246.96</v>
      </c>
      <c r="S935" s="7" t="s">
        <v>775</v>
      </c>
      <c r="T935" s="7"/>
      <c r="U935" s="7"/>
      <c r="V935" s="20"/>
      <c r="W935" s="7"/>
      <c r="X935" s="7"/>
      <c r="Y935" s="7"/>
      <c r="Z935" s="7"/>
      <c r="AA935" s="23" t="n">
        <f aca="false">YEAR(C935)</f>
        <v>2026</v>
      </c>
    </row>
    <row r="936" customFormat="false" ht="15" hidden="false" customHeight="false" outlineLevel="0" collapsed="false">
      <c r="A936" s="7" t="s">
        <v>2421</v>
      </c>
      <c r="B936" s="7" t="s">
        <v>137</v>
      </c>
      <c r="C936" s="20" t="n">
        <v>46095</v>
      </c>
      <c r="D936" s="20" t="n">
        <v>46125</v>
      </c>
      <c r="E936" s="20"/>
      <c r="F936" s="7" t="s">
        <v>759</v>
      </c>
      <c r="G936" s="7" t="s">
        <v>153</v>
      </c>
      <c r="H936" s="7" t="s">
        <v>261</v>
      </c>
      <c r="I936" s="7" t="s">
        <v>262</v>
      </c>
      <c r="J936" s="7" t="s">
        <v>221</v>
      </c>
      <c r="K936" s="7" t="s">
        <v>260</v>
      </c>
      <c r="L936" s="7" t="s">
        <v>623</v>
      </c>
      <c r="M936" s="7" t="s">
        <v>538</v>
      </c>
      <c r="N936" s="16"/>
      <c r="O936" s="7"/>
      <c r="P936" s="22"/>
      <c r="Q936" s="8" t="n">
        <v>1461.68</v>
      </c>
      <c r="R936" s="8" t="n">
        <v>-1461.68</v>
      </c>
      <c r="S936" s="7" t="s">
        <v>751</v>
      </c>
      <c r="T936" s="7"/>
      <c r="U936" s="7" t="s">
        <v>2422</v>
      </c>
      <c r="V936" s="20" t="n">
        <v>46125</v>
      </c>
      <c r="W936" s="7"/>
      <c r="X936" s="7"/>
      <c r="Y936" s="7"/>
      <c r="Z936" s="7"/>
      <c r="AA936" s="23" t="n">
        <f aca="false">YEAR(C936)</f>
        <v>2026</v>
      </c>
    </row>
    <row r="937" customFormat="false" ht="15" hidden="false" customHeight="false" outlineLevel="0" collapsed="false">
      <c r="A937" s="7" t="s">
        <v>2423</v>
      </c>
      <c r="B937" s="7" t="s">
        <v>137</v>
      </c>
      <c r="C937" s="20" t="n">
        <v>46096</v>
      </c>
      <c r="D937" s="20" t="n">
        <v>46096</v>
      </c>
      <c r="E937" s="20"/>
      <c r="F937" s="7" t="s">
        <v>759</v>
      </c>
      <c r="G937" s="7" t="s">
        <v>146</v>
      </c>
      <c r="H937" s="7" t="s">
        <v>258</v>
      </c>
      <c r="I937" s="7" t="s">
        <v>259</v>
      </c>
      <c r="J937" s="7" t="s">
        <v>221</v>
      </c>
      <c r="K937" s="7" t="s">
        <v>257</v>
      </c>
      <c r="L937" s="7" t="s">
        <v>839</v>
      </c>
      <c r="M937" s="7" t="s">
        <v>840</v>
      </c>
      <c r="N937" s="16"/>
      <c r="O937" s="7"/>
      <c r="P937" s="22"/>
      <c r="Q937" s="8" t="n">
        <v>1440</v>
      </c>
      <c r="R937" s="8" t="n">
        <v>-1440</v>
      </c>
      <c r="S937" s="7" t="s">
        <v>33</v>
      </c>
      <c r="T937" s="7"/>
      <c r="U937" s="7"/>
      <c r="V937" s="20"/>
      <c r="W937" s="7"/>
      <c r="X937" s="7"/>
      <c r="Y937" s="7" t="s">
        <v>712</v>
      </c>
      <c r="Z937" s="7"/>
      <c r="AA937" s="23" t="n">
        <f aca="false">YEAR(C937)</f>
        <v>2026</v>
      </c>
    </row>
    <row r="938" customFormat="false" ht="15" hidden="false" customHeight="false" outlineLevel="0" collapsed="false">
      <c r="A938" s="7" t="s">
        <v>2424</v>
      </c>
      <c r="B938" s="7" t="s">
        <v>137</v>
      </c>
      <c r="C938" s="20" t="n">
        <v>46096</v>
      </c>
      <c r="D938" s="20" t="n">
        <v>46096</v>
      </c>
      <c r="E938" s="20"/>
      <c r="F938" s="7" t="s">
        <v>759</v>
      </c>
      <c r="G938" s="7" t="s">
        <v>141</v>
      </c>
      <c r="H938" s="7" t="s">
        <v>258</v>
      </c>
      <c r="I938" s="7" t="s">
        <v>259</v>
      </c>
      <c r="J938" s="7" t="s">
        <v>221</v>
      </c>
      <c r="K938" s="7" t="s">
        <v>257</v>
      </c>
      <c r="L938" s="7" t="s">
        <v>842</v>
      </c>
      <c r="M938" s="7" t="s">
        <v>840</v>
      </c>
      <c r="N938" s="16"/>
      <c r="O938" s="7"/>
      <c r="P938" s="22"/>
      <c r="Q938" s="8" t="n">
        <v>1760</v>
      </c>
      <c r="R938" s="8" t="n">
        <v>-1760</v>
      </c>
      <c r="S938" s="7" t="s">
        <v>33</v>
      </c>
      <c r="T938" s="7"/>
      <c r="U938" s="7"/>
      <c r="V938" s="20"/>
      <c r="W938" s="7"/>
      <c r="X938" s="7"/>
      <c r="Y938" s="7" t="s">
        <v>714</v>
      </c>
      <c r="Z938" s="7"/>
      <c r="AA938" s="23" t="n">
        <f aca="false">YEAR(C938)</f>
        <v>2026</v>
      </c>
    </row>
    <row r="939" customFormat="false" ht="15" hidden="false" customHeight="false" outlineLevel="0" collapsed="false">
      <c r="A939" s="7" t="s">
        <v>2425</v>
      </c>
      <c r="B939" s="7" t="s">
        <v>137</v>
      </c>
      <c r="C939" s="20" t="n">
        <v>46096</v>
      </c>
      <c r="D939" s="20" t="n">
        <v>46096</v>
      </c>
      <c r="E939" s="20"/>
      <c r="F939" s="7" t="s">
        <v>759</v>
      </c>
      <c r="G939" s="7" t="s">
        <v>144</v>
      </c>
      <c r="H939" s="7" t="s">
        <v>258</v>
      </c>
      <c r="I939" s="7" t="s">
        <v>259</v>
      </c>
      <c r="J939" s="7" t="s">
        <v>221</v>
      </c>
      <c r="K939" s="7" t="s">
        <v>257</v>
      </c>
      <c r="L939" s="7" t="s">
        <v>1354</v>
      </c>
      <c r="M939" s="7" t="s">
        <v>840</v>
      </c>
      <c r="N939" s="16"/>
      <c r="O939" s="7"/>
      <c r="P939" s="22"/>
      <c r="Q939" s="8" t="n">
        <v>1750</v>
      </c>
      <c r="R939" s="8" t="n">
        <v>-1750</v>
      </c>
      <c r="S939" s="7" t="s">
        <v>33</v>
      </c>
      <c r="T939" s="7"/>
      <c r="U939" s="7"/>
      <c r="V939" s="20"/>
      <c r="W939" s="7"/>
      <c r="X939" s="7"/>
      <c r="Y939" s="7" t="s">
        <v>715</v>
      </c>
      <c r="Z939" s="7"/>
      <c r="AA939" s="23" t="n">
        <f aca="false">YEAR(C939)</f>
        <v>2026</v>
      </c>
    </row>
    <row r="940" customFormat="false" ht="15" hidden="false" customHeight="false" outlineLevel="0" collapsed="false">
      <c r="A940" s="7" t="s">
        <v>2426</v>
      </c>
      <c r="B940" s="7" t="s">
        <v>137</v>
      </c>
      <c r="C940" s="20" t="n">
        <v>46097</v>
      </c>
      <c r="D940" s="20" t="n">
        <v>46097</v>
      </c>
      <c r="E940" s="20"/>
      <c r="F940" s="7" t="s">
        <v>759</v>
      </c>
      <c r="G940" s="7" t="s">
        <v>149</v>
      </c>
      <c r="H940" s="7" t="s">
        <v>237</v>
      </c>
      <c r="I940" s="7" t="s">
        <v>238</v>
      </c>
      <c r="J940" s="7" t="s">
        <v>236</v>
      </c>
      <c r="K940" s="7" t="s">
        <v>189</v>
      </c>
      <c r="L940" s="7" t="s">
        <v>2427</v>
      </c>
      <c r="M940" s="7" t="s">
        <v>556</v>
      </c>
      <c r="N940" s="16"/>
      <c r="O940" s="7"/>
      <c r="P940" s="22"/>
      <c r="Q940" s="8" t="n">
        <v>286.41</v>
      </c>
      <c r="R940" s="8" t="n">
        <v>-286.41</v>
      </c>
      <c r="S940" s="7" t="s">
        <v>744</v>
      </c>
      <c r="T940" s="7"/>
      <c r="U940" s="7"/>
      <c r="V940" s="20"/>
      <c r="W940" s="7"/>
      <c r="X940" s="7" t="s">
        <v>1552</v>
      </c>
      <c r="Y940" s="7"/>
      <c r="Z940" s="7"/>
      <c r="AA940" s="23" t="n">
        <f aca="false">YEAR(C940)</f>
        <v>2026</v>
      </c>
    </row>
    <row r="941" customFormat="false" ht="15" hidden="false" customHeight="false" outlineLevel="0" collapsed="false">
      <c r="A941" s="7" t="s">
        <v>2428</v>
      </c>
      <c r="B941" s="7" t="s">
        <v>137</v>
      </c>
      <c r="C941" s="20" t="n">
        <v>46097</v>
      </c>
      <c r="D941" s="20" t="n">
        <v>46097</v>
      </c>
      <c r="E941" s="20"/>
      <c r="F941" s="7" t="s">
        <v>759</v>
      </c>
      <c r="G941" s="7" t="s">
        <v>149</v>
      </c>
      <c r="H941" s="7" t="s">
        <v>559</v>
      </c>
      <c r="I941" s="7" t="s">
        <v>771</v>
      </c>
      <c r="J941" s="7" t="s">
        <v>761</v>
      </c>
      <c r="K941" s="7" t="s">
        <v>772</v>
      </c>
      <c r="L941" s="7" t="s">
        <v>2429</v>
      </c>
      <c r="M941" s="7" t="s">
        <v>556</v>
      </c>
      <c r="N941" s="16"/>
      <c r="O941" s="7"/>
      <c r="P941" s="22"/>
      <c r="Q941" s="8" t="n">
        <v>1446.08</v>
      </c>
      <c r="R941" s="8" t="n">
        <v>-1446.08</v>
      </c>
      <c r="S941" s="7" t="s">
        <v>744</v>
      </c>
      <c r="T941" s="7"/>
      <c r="U941" s="7"/>
      <c r="V941" s="20"/>
      <c r="W941" s="7"/>
      <c r="X941" s="7" t="s">
        <v>1552</v>
      </c>
      <c r="Y941" s="7"/>
      <c r="Z941" s="7"/>
      <c r="AA941" s="23" t="n">
        <f aca="false">YEAR(C941)</f>
        <v>2026</v>
      </c>
    </row>
    <row r="942" customFormat="false" ht="15" hidden="false" customHeight="false" outlineLevel="0" collapsed="false">
      <c r="A942" s="7" t="s">
        <v>2430</v>
      </c>
      <c r="B942" s="7" t="s">
        <v>137</v>
      </c>
      <c r="C942" s="20" t="n">
        <v>46107</v>
      </c>
      <c r="D942" s="20" t="n">
        <v>46134</v>
      </c>
      <c r="E942" s="20"/>
      <c r="F942" s="7" t="s">
        <v>759</v>
      </c>
      <c r="G942" s="7" t="s">
        <v>153</v>
      </c>
      <c r="H942" s="7" t="s">
        <v>242</v>
      </c>
      <c r="I942" s="7" t="s">
        <v>243</v>
      </c>
      <c r="J942" s="7" t="s">
        <v>229</v>
      </c>
      <c r="K942" s="7" t="s">
        <v>241</v>
      </c>
      <c r="L942" s="7" t="s">
        <v>571</v>
      </c>
      <c r="M942" s="7"/>
      <c r="N942" s="16"/>
      <c r="O942" s="7"/>
      <c r="P942" s="22"/>
      <c r="Q942" s="8" t="n">
        <v>317.54</v>
      </c>
      <c r="R942" s="8" t="n">
        <v>-317.54</v>
      </c>
      <c r="S942" s="7" t="s">
        <v>765</v>
      </c>
      <c r="T942" s="7"/>
      <c r="U942" s="7"/>
      <c r="V942" s="20"/>
      <c r="W942" s="7"/>
      <c r="X942" s="7"/>
      <c r="Y942" s="7"/>
      <c r="Z942" s="7"/>
      <c r="AA942" s="23" t="n">
        <f aca="false">YEAR(C942)</f>
        <v>2026</v>
      </c>
    </row>
    <row r="943" customFormat="false" ht="15" hidden="false" customHeight="false" outlineLevel="0" collapsed="false">
      <c r="A943" s="7" t="s">
        <v>2431</v>
      </c>
      <c r="B943" s="7" t="s">
        <v>137</v>
      </c>
      <c r="C943" s="20" t="n">
        <v>46109</v>
      </c>
      <c r="D943" s="20" t="n">
        <v>46139</v>
      </c>
      <c r="E943" s="20"/>
      <c r="F943" s="7" t="s">
        <v>759</v>
      </c>
      <c r="G943" s="7" t="s">
        <v>146</v>
      </c>
      <c r="H943" s="7" t="s">
        <v>264</v>
      </c>
      <c r="I943" s="7" t="s">
        <v>263</v>
      </c>
      <c r="J943" s="7" t="s">
        <v>221</v>
      </c>
      <c r="K943" s="7" t="s">
        <v>263</v>
      </c>
      <c r="L943" s="7" t="s">
        <v>847</v>
      </c>
      <c r="M943" s="7" t="s">
        <v>563</v>
      </c>
      <c r="N943" s="16"/>
      <c r="O943" s="7"/>
      <c r="P943" s="22"/>
      <c r="Q943" s="8" t="n">
        <v>1204</v>
      </c>
      <c r="R943" s="8" t="n">
        <v>-1204</v>
      </c>
      <c r="S943" s="7" t="s">
        <v>751</v>
      </c>
      <c r="T943" s="7"/>
      <c r="U943" s="7" t="s">
        <v>2432</v>
      </c>
      <c r="V943" s="20" t="n">
        <v>46139</v>
      </c>
      <c r="W943" s="7"/>
      <c r="X943" s="7"/>
      <c r="Y943" s="7" t="s">
        <v>712</v>
      </c>
      <c r="Z943" s="7"/>
      <c r="AA943" s="23" t="n">
        <f aca="false">YEAR(C943)</f>
        <v>2026</v>
      </c>
    </row>
    <row r="944" customFormat="false" ht="15" hidden="false" customHeight="false" outlineLevel="0" collapsed="false">
      <c r="A944" s="7" t="s">
        <v>2433</v>
      </c>
      <c r="B944" s="7" t="s">
        <v>137</v>
      </c>
      <c r="C944" s="20" t="n">
        <v>46112</v>
      </c>
      <c r="D944" s="20" t="n">
        <v>46112</v>
      </c>
      <c r="E944" s="20"/>
      <c r="F944" s="7" t="s">
        <v>759</v>
      </c>
      <c r="G944" s="7" t="s">
        <v>153</v>
      </c>
      <c r="H944" s="7" t="s">
        <v>246</v>
      </c>
      <c r="I944" s="7" t="s">
        <v>247</v>
      </c>
      <c r="J944" s="7" t="s">
        <v>236</v>
      </c>
      <c r="K944" s="7" t="s">
        <v>189</v>
      </c>
      <c r="L944" s="7" t="s">
        <v>2341</v>
      </c>
      <c r="M944" s="7" t="s">
        <v>556</v>
      </c>
      <c r="N944" s="16"/>
      <c r="O944" s="7"/>
      <c r="P944" s="22"/>
      <c r="Q944" s="8" t="n">
        <v>1125.55</v>
      </c>
      <c r="R944" s="8" t="n">
        <v>-1125.55</v>
      </c>
      <c r="S944" s="7" t="s">
        <v>775</v>
      </c>
      <c r="T944" s="7"/>
      <c r="U944" s="7"/>
      <c r="V944" s="20"/>
      <c r="W944" s="7"/>
      <c r="X944" s="7" t="s">
        <v>784</v>
      </c>
      <c r="Y944" s="7"/>
      <c r="Z944" s="7"/>
      <c r="AA944" s="23" t="n">
        <f aca="false">YEAR(C944)</f>
        <v>2026</v>
      </c>
    </row>
    <row r="945" customFormat="false" ht="15" hidden="false" customHeight="false" outlineLevel="0" collapsed="false">
      <c r="A945" s="7" t="s">
        <v>2434</v>
      </c>
      <c r="B945" s="7" t="s">
        <v>137</v>
      </c>
      <c r="C945" s="20" t="n">
        <v>46113</v>
      </c>
      <c r="D945" s="20" t="n">
        <v>46113</v>
      </c>
      <c r="E945" s="20"/>
      <c r="F945" s="7" t="s">
        <v>759</v>
      </c>
      <c r="G945" s="7" t="s">
        <v>153</v>
      </c>
      <c r="H945" s="7" t="s">
        <v>545</v>
      </c>
      <c r="I945" s="7" t="s">
        <v>760</v>
      </c>
      <c r="J945" s="7" t="s">
        <v>761</v>
      </c>
      <c r="K945" s="7" t="s">
        <v>762</v>
      </c>
      <c r="L945" s="7" t="s">
        <v>546</v>
      </c>
      <c r="M945" s="7"/>
      <c r="N945" s="16"/>
      <c r="O945" s="7"/>
      <c r="P945" s="22"/>
      <c r="Q945" s="8" t="n">
        <v>4200</v>
      </c>
      <c r="R945" s="8" t="n">
        <v>-4200</v>
      </c>
      <c r="S945" s="7" t="s">
        <v>763</v>
      </c>
      <c r="T945" s="7"/>
      <c r="U945" s="7"/>
      <c r="V945" s="20"/>
      <c r="W945" s="7"/>
      <c r="X945" s="7"/>
      <c r="Y945" s="7"/>
      <c r="Z945" s="7"/>
      <c r="AA945" s="23" t="n">
        <f aca="false">YEAR(C945)</f>
        <v>2026</v>
      </c>
    </row>
    <row r="946" customFormat="false" ht="15" hidden="false" customHeight="false" outlineLevel="0" collapsed="false">
      <c r="A946" s="7" t="s">
        <v>2435</v>
      </c>
      <c r="B946" s="7" t="s">
        <v>137</v>
      </c>
      <c r="C946" s="20" t="n">
        <v>46118</v>
      </c>
      <c r="D946" s="20" t="n">
        <v>46148</v>
      </c>
      <c r="E946" s="20"/>
      <c r="F946" s="7" t="s">
        <v>759</v>
      </c>
      <c r="G946" s="7" t="s">
        <v>149</v>
      </c>
      <c r="H946" s="7" t="s">
        <v>261</v>
      </c>
      <c r="I946" s="7" t="s">
        <v>262</v>
      </c>
      <c r="J946" s="7" t="s">
        <v>221</v>
      </c>
      <c r="K946" s="7" t="s">
        <v>260</v>
      </c>
      <c r="L946" s="7" t="s">
        <v>579</v>
      </c>
      <c r="M946" s="7" t="s">
        <v>538</v>
      </c>
      <c r="N946" s="16"/>
      <c r="O946" s="7"/>
      <c r="P946" s="22"/>
      <c r="Q946" s="8" t="n">
        <v>1574.36</v>
      </c>
      <c r="R946" s="8" t="n">
        <v>-1574.36</v>
      </c>
      <c r="S946" s="7" t="s">
        <v>751</v>
      </c>
      <c r="T946" s="7"/>
      <c r="U946" s="7" t="s">
        <v>2436</v>
      </c>
      <c r="V946" s="20" t="n">
        <v>46148</v>
      </c>
      <c r="W946" s="7" t="s">
        <v>1561</v>
      </c>
      <c r="X946" s="7"/>
      <c r="Y946" s="7"/>
      <c r="Z946" s="7"/>
      <c r="AA946" s="23" t="n">
        <f aca="false">YEAR(C946)</f>
        <v>2026</v>
      </c>
    </row>
    <row r="947" customFormat="false" ht="15" hidden="false" customHeight="false" outlineLevel="0" collapsed="false">
      <c r="A947" s="7" t="s">
        <v>2437</v>
      </c>
      <c r="B947" s="7" t="s">
        <v>137</v>
      </c>
      <c r="C947" s="20" t="n">
        <v>46119</v>
      </c>
      <c r="D947" s="20" t="n">
        <v>46149</v>
      </c>
      <c r="E947" s="20"/>
      <c r="F947" s="7" t="s">
        <v>759</v>
      </c>
      <c r="G947" s="7" t="s">
        <v>141</v>
      </c>
      <c r="H947" s="7" t="s">
        <v>255</v>
      </c>
      <c r="I947" s="7" t="s">
        <v>256</v>
      </c>
      <c r="J947" s="7" t="s">
        <v>221</v>
      </c>
      <c r="K947" s="7" t="s">
        <v>254</v>
      </c>
      <c r="L947" s="7" t="s">
        <v>850</v>
      </c>
      <c r="M947" s="7" t="s">
        <v>563</v>
      </c>
      <c r="N947" s="16"/>
      <c r="O947" s="7"/>
      <c r="P947" s="22"/>
      <c r="Q947" s="8" t="n">
        <v>2419.2</v>
      </c>
      <c r="R947" s="8" t="n">
        <v>-2419.2</v>
      </c>
      <c r="S947" s="7" t="s">
        <v>751</v>
      </c>
      <c r="T947" s="7"/>
      <c r="U947" s="7" t="s">
        <v>2438</v>
      </c>
      <c r="V947" s="20" t="n">
        <v>46149</v>
      </c>
      <c r="W947" s="7"/>
      <c r="X947" s="7"/>
      <c r="Y947" s="7" t="s">
        <v>714</v>
      </c>
      <c r="Z947" s="7"/>
      <c r="AA947" s="23" t="n">
        <f aca="false">YEAR(C947)</f>
        <v>2026</v>
      </c>
    </row>
    <row r="948" customFormat="false" ht="15" hidden="false" customHeight="false" outlineLevel="0" collapsed="false">
      <c r="A948" s="7" t="s">
        <v>2439</v>
      </c>
      <c r="B948" s="7" t="s">
        <v>137</v>
      </c>
      <c r="C948" s="20" t="n">
        <v>46120</v>
      </c>
      <c r="D948" s="20" t="n">
        <v>46164</v>
      </c>
      <c r="E948" s="20"/>
      <c r="F948" s="7" t="s">
        <v>759</v>
      </c>
      <c r="G948" s="7" t="s">
        <v>153</v>
      </c>
      <c r="H948" s="7" t="s">
        <v>244</v>
      </c>
      <c r="I948" s="7" t="s">
        <v>245</v>
      </c>
      <c r="J948" s="7" t="s">
        <v>229</v>
      </c>
      <c r="K948" s="7" t="s">
        <v>233</v>
      </c>
      <c r="L948" s="7" t="s">
        <v>570</v>
      </c>
      <c r="M948" s="7"/>
      <c r="N948" s="16"/>
      <c r="O948" s="7"/>
      <c r="P948" s="22"/>
      <c r="Q948" s="8" t="n">
        <v>165</v>
      </c>
      <c r="R948" s="8" t="n">
        <v>-165</v>
      </c>
      <c r="S948" s="7" t="s">
        <v>765</v>
      </c>
      <c r="T948" s="7"/>
      <c r="U948" s="7"/>
      <c r="V948" s="20"/>
      <c r="W948" s="7"/>
      <c r="X948" s="7"/>
      <c r="Y948" s="7"/>
      <c r="Z948" s="7"/>
      <c r="AA948" s="23" t="n">
        <f aca="false">YEAR(C948)</f>
        <v>2026</v>
      </c>
    </row>
    <row r="949" customFormat="false" ht="15" hidden="false" customHeight="false" outlineLevel="0" collapsed="false">
      <c r="A949" s="7" t="s">
        <v>2440</v>
      </c>
      <c r="B949" s="7" t="s">
        <v>137</v>
      </c>
      <c r="C949" s="20" t="n">
        <v>46122</v>
      </c>
      <c r="D949" s="20" t="n">
        <v>46122</v>
      </c>
      <c r="E949" s="20"/>
      <c r="F949" s="7" t="s">
        <v>759</v>
      </c>
      <c r="G949" s="7" t="s">
        <v>153</v>
      </c>
      <c r="H949" s="7" t="s">
        <v>237</v>
      </c>
      <c r="I949" s="7" t="s">
        <v>238</v>
      </c>
      <c r="J949" s="7" t="s">
        <v>236</v>
      </c>
      <c r="K949" s="7" t="s">
        <v>189</v>
      </c>
      <c r="L949" s="7" t="s">
        <v>2441</v>
      </c>
      <c r="M949" s="7" t="s">
        <v>768</v>
      </c>
      <c r="N949" s="16"/>
      <c r="O949" s="7"/>
      <c r="P949" s="22"/>
      <c r="Q949" s="8" t="n">
        <v>8.19</v>
      </c>
      <c r="R949" s="8" t="n">
        <v>-8.19</v>
      </c>
      <c r="S949" s="7" t="s">
        <v>744</v>
      </c>
      <c r="T949" s="7"/>
      <c r="U949" s="7"/>
      <c r="V949" s="20"/>
      <c r="W949" s="7"/>
      <c r="X949" s="7" t="s">
        <v>769</v>
      </c>
      <c r="Y949" s="7"/>
      <c r="Z949" s="7"/>
      <c r="AA949" s="23" t="n">
        <f aca="false">YEAR(C949)</f>
        <v>2026</v>
      </c>
    </row>
    <row r="950" customFormat="false" ht="15" hidden="false" customHeight="false" outlineLevel="0" collapsed="false">
      <c r="A950" s="7" t="s">
        <v>2442</v>
      </c>
      <c r="B950" s="7" t="s">
        <v>137</v>
      </c>
      <c r="C950" s="20" t="n">
        <v>46122</v>
      </c>
      <c r="D950" s="20" t="n">
        <v>46122</v>
      </c>
      <c r="E950" s="20"/>
      <c r="F950" s="7" t="s">
        <v>759</v>
      </c>
      <c r="G950" s="7" t="s">
        <v>153</v>
      </c>
      <c r="H950" s="7" t="s">
        <v>559</v>
      </c>
      <c r="I950" s="7" t="s">
        <v>771</v>
      </c>
      <c r="J950" s="7" t="s">
        <v>761</v>
      </c>
      <c r="K950" s="7" t="s">
        <v>772</v>
      </c>
      <c r="L950" s="7" t="s">
        <v>2443</v>
      </c>
      <c r="M950" s="7" t="s">
        <v>768</v>
      </c>
      <c r="N950" s="16"/>
      <c r="O950" s="7"/>
      <c r="P950" s="22"/>
      <c r="Q950" s="8" t="n">
        <v>836.9</v>
      </c>
      <c r="R950" s="8" t="n">
        <v>-836.9</v>
      </c>
      <c r="S950" s="7" t="s">
        <v>744</v>
      </c>
      <c r="T950" s="7"/>
      <c r="U950" s="7"/>
      <c r="V950" s="20"/>
      <c r="W950" s="7"/>
      <c r="X950" s="7" t="s">
        <v>769</v>
      </c>
      <c r="Y950" s="7"/>
      <c r="Z950" s="7"/>
      <c r="AA950" s="23" t="n">
        <f aca="false">YEAR(C950)</f>
        <v>2026</v>
      </c>
    </row>
    <row r="951" customFormat="false" ht="15" hidden="false" customHeight="false" outlineLevel="0" collapsed="false">
      <c r="A951" s="7" t="s">
        <v>2444</v>
      </c>
      <c r="B951" s="7" t="s">
        <v>137</v>
      </c>
      <c r="C951" s="20" t="n">
        <v>46124</v>
      </c>
      <c r="D951" s="20" t="n">
        <v>46124</v>
      </c>
      <c r="E951" s="20"/>
      <c r="F951" s="7" t="s">
        <v>759</v>
      </c>
      <c r="G951" s="7" t="s">
        <v>153</v>
      </c>
      <c r="H951" s="7" t="s">
        <v>240</v>
      </c>
      <c r="I951" s="7" t="s">
        <v>239</v>
      </c>
      <c r="J951" s="7" t="s">
        <v>229</v>
      </c>
      <c r="K951" s="7" t="s">
        <v>239</v>
      </c>
      <c r="L951" s="7" t="s">
        <v>548</v>
      </c>
      <c r="M951" s="7" t="s">
        <v>547</v>
      </c>
      <c r="N951" s="16"/>
      <c r="O951" s="7"/>
      <c r="P951" s="22"/>
      <c r="Q951" s="8" t="n">
        <v>241.31</v>
      </c>
      <c r="R951" s="8" t="n">
        <v>-241.31</v>
      </c>
      <c r="S951" s="7" t="s">
        <v>775</v>
      </c>
      <c r="T951" s="7"/>
      <c r="U951" s="7"/>
      <c r="V951" s="20"/>
      <c r="W951" s="7"/>
      <c r="X951" s="7"/>
      <c r="Y951" s="7"/>
      <c r="Z951" s="7"/>
      <c r="AA951" s="23" t="n">
        <f aca="false">YEAR(C951)</f>
        <v>2026</v>
      </c>
    </row>
    <row r="952" customFormat="false" ht="15" hidden="false" customHeight="false" outlineLevel="0" collapsed="false">
      <c r="A952" s="7" t="s">
        <v>2445</v>
      </c>
      <c r="B952" s="7" t="s">
        <v>137</v>
      </c>
      <c r="C952" s="20" t="n">
        <v>46124</v>
      </c>
      <c r="D952" s="20" t="n">
        <v>46160</v>
      </c>
      <c r="E952" s="20"/>
      <c r="F952" s="7" t="s">
        <v>759</v>
      </c>
      <c r="G952" s="7" t="s">
        <v>136</v>
      </c>
      <c r="H952" s="7" t="s">
        <v>264</v>
      </c>
      <c r="I952" s="7" t="s">
        <v>263</v>
      </c>
      <c r="J952" s="7" t="s">
        <v>221</v>
      </c>
      <c r="K952" s="7" t="s">
        <v>263</v>
      </c>
      <c r="L952" s="7" t="s">
        <v>872</v>
      </c>
      <c r="M952" s="7" t="s">
        <v>591</v>
      </c>
      <c r="N952" s="16" t="n">
        <v>96</v>
      </c>
      <c r="O952" s="7" t="s">
        <v>801</v>
      </c>
      <c r="P952" s="22" t="n">
        <v>23.98</v>
      </c>
      <c r="Q952" s="8" t="n">
        <v>2302.08</v>
      </c>
      <c r="R952" s="8" t="n">
        <v>-2302.08</v>
      </c>
      <c r="S952" s="7" t="s">
        <v>751</v>
      </c>
      <c r="T952" s="7"/>
      <c r="U952" s="7" t="s">
        <v>2446</v>
      </c>
      <c r="V952" s="20" t="n">
        <v>46154</v>
      </c>
      <c r="W952" s="7"/>
      <c r="X952" s="7"/>
      <c r="Y952" s="7" t="s">
        <v>723</v>
      </c>
      <c r="Z952" s="7"/>
      <c r="AA952" s="23" t="n">
        <f aca="false">YEAR(C952)</f>
        <v>2026</v>
      </c>
    </row>
    <row r="953" customFormat="false" ht="15" hidden="false" customHeight="false" outlineLevel="0" collapsed="false">
      <c r="A953" s="7" t="s">
        <v>2447</v>
      </c>
      <c r="B953" s="7" t="s">
        <v>137</v>
      </c>
      <c r="C953" s="20" t="n">
        <v>46124</v>
      </c>
      <c r="D953" s="20" t="n">
        <v>46160</v>
      </c>
      <c r="E953" s="20"/>
      <c r="F953" s="7" t="s">
        <v>759</v>
      </c>
      <c r="G953" s="7" t="s">
        <v>136</v>
      </c>
      <c r="H953" s="7" t="s">
        <v>223</v>
      </c>
      <c r="I953" s="7" t="s">
        <v>224</v>
      </c>
      <c r="J953" s="7" t="s">
        <v>221</v>
      </c>
      <c r="K953" s="7" t="s">
        <v>222</v>
      </c>
      <c r="L953" s="7" t="s">
        <v>875</v>
      </c>
      <c r="M953" s="7" t="s">
        <v>589</v>
      </c>
      <c r="N953" s="16" t="n">
        <v>96</v>
      </c>
      <c r="O953" s="7" t="s">
        <v>801</v>
      </c>
      <c r="P953" s="22" t="n">
        <v>9.81</v>
      </c>
      <c r="Q953" s="8" t="n">
        <v>941.76</v>
      </c>
      <c r="R953" s="8" t="n">
        <v>-941.76</v>
      </c>
      <c r="S953" s="7" t="s">
        <v>751</v>
      </c>
      <c r="T953" s="7"/>
      <c r="U953" s="7" t="s">
        <v>2448</v>
      </c>
      <c r="V953" s="20" t="n">
        <v>46154</v>
      </c>
      <c r="W953" s="7"/>
      <c r="X953" s="7"/>
      <c r="Y953" s="7" t="s">
        <v>723</v>
      </c>
      <c r="Z953" s="7"/>
      <c r="AA953" s="23" t="n">
        <f aca="false">YEAR(C953)</f>
        <v>2026</v>
      </c>
    </row>
    <row r="954" customFormat="false" ht="15" hidden="false" customHeight="false" outlineLevel="0" collapsed="false">
      <c r="A954" s="7" t="s">
        <v>2449</v>
      </c>
      <c r="B954" s="7" t="s">
        <v>137</v>
      </c>
      <c r="C954" s="20" t="n">
        <v>46125</v>
      </c>
      <c r="D954" s="20" t="n">
        <v>46155</v>
      </c>
      <c r="E954" s="20"/>
      <c r="F954" s="7" t="s">
        <v>759</v>
      </c>
      <c r="G954" s="7" t="s">
        <v>141</v>
      </c>
      <c r="H954" s="7" t="s">
        <v>255</v>
      </c>
      <c r="I954" s="7" t="s">
        <v>256</v>
      </c>
      <c r="J954" s="7" t="s">
        <v>221</v>
      </c>
      <c r="K954" s="7" t="s">
        <v>254</v>
      </c>
      <c r="L954" s="7" t="s">
        <v>868</v>
      </c>
      <c r="M954" s="7" t="s">
        <v>563</v>
      </c>
      <c r="N954" s="16" t="n">
        <v>80</v>
      </c>
      <c r="O954" s="7" t="s">
        <v>801</v>
      </c>
      <c r="P954" s="22"/>
      <c r="Q954" s="8" t="n">
        <v>5456</v>
      </c>
      <c r="R954" s="8" t="n">
        <v>-5456</v>
      </c>
      <c r="S954" s="7" t="s">
        <v>751</v>
      </c>
      <c r="T954" s="7"/>
      <c r="U954" s="7" t="s">
        <v>2450</v>
      </c>
      <c r="V954" s="20" t="n">
        <v>46155</v>
      </c>
      <c r="W954" s="7"/>
      <c r="X954" s="7"/>
      <c r="Y954" s="7" t="s">
        <v>714</v>
      </c>
      <c r="Z954" s="7"/>
      <c r="AA954" s="23" t="n">
        <f aca="false">YEAR(C954)</f>
        <v>2026</v>
      </c>
    </row>
    <row r="955" customFormat="false" ht="15" hidden="false" customHeight="false" outlineLevel="0" collapsed="false">
      <c r="A955" s="7" t="s">
        <v>2451</v>
      </c>
      <c r="B955" s="7" t="s">
        <v>137</v>
      </c>
      <c r="C955" s="20" t="n">
        <v>46127</v>
      </c>
      <c r="D955" s="20" t="n">
        <v>46127</v>
      </c>
      <c r="E955" s="20"/>
      <c r="F955" s="7" t="s">
        <v>759</v>
      </c>
      <c r="G955" s="7" t="s">
        <v>153</v>
      </c>
      <c r="H955" s="7" t="s">
        <v>786</v>
      </c>
      <c r="I955" s="7" t="s">
        <v>787</v>
      </c>
      <c r="J955" s="7" t="s">
        <v>761</v>
      </c>
      <c r="K955" s="7" t="s">
        <v>762</v>
      </c>
      <c r="L955" s="7" t="s">
        <v>788</v>
      </c>
      <c r="M955" s="7"/>
      <c r="N955" s="16"/>
      <c r="O955" s="7"/>
      <c r="P955" s="22"/>
      <c r="Q955" s="8" t="n">
        <v>2500</v>
      </c>
      <c r="R955" s="8" t="n">
        <v>-2500</v>
      </c>
      <c r="S955" s="7" t="s">
        <v>789</v>
      </c>
      <c r="T955" s="7"/>
      <c r="U955" s="7"/>
      <c r="V955" s="20"/>
      <c r="W955" s="7"/>
      <c r="X955" s="7"/>
      <c r="Y955" s="7"/>
      <c r="Z955" s="7"/>
      <c r="AA955" s="23" t="n">
        <f aca="false">YEAR(C955)</f>
        <v>2026</v>
      </c>
    </row>
    <row r="956" customFormat="false" ht="15" hidden="false" customHeight="false" outlineLevel="0" collapsed="false">
      <c r="A956" s="7" t="s">
        <v>2452</v>
      </c>
      <c r="B956" s="7" t="s">
        <v>137</v>
      </c>
      <c r="C956" s="20" t="n">
        <v>46128</v>
      </c>
      <c r="D956" s="20" t="n">
        <v>46128</v>
      </c>
      <c r="E956" s="20"/>
      <c r="F956" s="7" t="s">
        <v>759</v>
      </c>
      <c r="G956" s="7" t="s">
        <v>149</v>
      </c>
      <c r="H956" s="7" t="s">
        <v>237</v>
      </c>
      <c r="I956" s="7" t="s">
        <v>238</v>
      </c>
      <c r="J956" s="7" t="s">
        <v>236</v>
      </c>
      <c r="K956" s="7" t="s">
        <v>189</v>
      </c>
      <c r="L956" s="7" t="s">
        <v>2453</v>
      </c>
      <c r="M956" s="7" t="s">
        <v>556</v>
      </c>
      <c r="N956" s="16"/>
      <c r="O956" s="7"/>
      <c r="P956" s="22"/>
      <c r="Q956" s="8" t="n">
        <v>277.68</v>
      </c>
      <c r="R956" s="8" t="n">
        <v>-277.68</v>
      </c>
      <c r="S956" s="7" t="s">
        <v>744</v>
      </c>
      <c r="T956" s="7"/>
      <c r="U956" s="7"/>
      <c r="V956" s="20"/>
      <c r="W956" s="7"/>
      <c r="X956" s="7" t="s">
        <v>1552</v>
      </c>
      <c r="Y956" s="7"/>
      <c r="Z956" s="7"/>
      <c r="AA956" s="23" t="n">
        <f aca="false">YEAR(C956)</f>
        <v>2026</v>
      </c>
    </row>
    <row r="957" customFormat="false" ht="15" hidden="false" customHeight="false" outlineLevel="0" collapsed="false">
      <c r="A957" s="7" t="s">
        <v>2454</v>
      </c>
      <c r="B957" s="7" t="s">
        <v>137</v>
      </c>
      <c r="C957" s="20" t="n">
        <v>46128</v>
      </c>
      <c r="D957" s="20" t="n">
        <v>46128</v>
      </c>
      <c r="E957" s="20"/>
      <c r="F957" s="7" t="s">
        <v>759</v>
      </c>
      <c r="G957" s="7" t="s">
        <v>149</v>
      </c>
      <c r="H957" s="7" t="s">
        <v>559</v>
      </c>
      <c r="I957" s="7" t="s">
        <v>771</v>
      </c>
      <c r="J957" s="7" t="s">
        <v>761</v>
      </c>
      <c r="K957" s="7" t="s">
        <v>772</v>
      </c>
      <c r="L957" s="7" t="s">
        <v>2455</v>
      </c>
      <c r="M957" s="7" t="s">
        <v>556</v>
      </c>
      <c r="N957" s="16"/>
      <c r="O957" s="7"/>
      <c r="P957" s="22"/>
      <c r="Q957" s="8" t="n">
        <v>1454.81</v>
      </c>
      <c r="R957" s="8" t="n">
        <v>-1454.81</v>
      </c>
      <c r="S957" s="7" t="s">
        <v>744</v>
      </c>
      <c r="T957" s="7"/>
      <c r="U957" s="7"/>
      <c r="V957" s="20"/>
      <c r="W957" s="7"/>
      <c r="X957" s="7" t="s">
        <v>1552</v>
      </c>
      <c r="Y957" s="7"/>
      <c r="Z957" s="7"/>
      <c r="AA957" s="23" t="n">
        <f aca="false">YEAR(C957)</f>
        <v>2026</v>
      </c>
    </row>
    <row r="958" customFormat="false" ht="15" hidden="false" customHeight="false" outlineLevel="0" collapsed="false">
      <c r="A958" s="7" t="s">
        <v>2456</v>
      </c>
      <c r="B958" s="7" t="s">
        <v>137</v>
      </c>
      <c r="C958" s="20" t="n">
        <v>46129</v>
      </c>
      <c r="D958" s="20" t="n">
        <v>46174</v>
      </c>
      <c r="E958" s="20"/>
      <c r="F958" s="7" t="s">
        <v>759</v>
      </c>
      <c r="G958" s="7" t="s">
        <v>141</v>
      </c>
      <c r="H958" s="7" t="s">
        <v>266</v>
      </c>
      <c r="I958" s="7" t="s">
        <v>265</v>
      </c>
      <c r="J958" s="7" t="s">
        <v>221</v>
      </c>
      <c r="K958" s="7" t="s">
        <v>265</v>
      </c>
      <c r="L958" s="7" t="s">
        <v>878</v>
      </c>
      <c r="M958" s="7" t="s">
        <v>628</v>
      </c>
      <c r="N958" s="16" t="n">
        <v>80</v>
      </c>
      <c r="O958" s="7" t="s">
        <v>801</v>
      </c>
      <c r="P958" s="22"/>
      <c r="Q958" s="8" t="n">
        <v>6708</v>
      </c>
      <c r="R958" s="8" t="n">
        <v>-6708</v>
      </c>
      <c r="S958" s="7" t="s">
        <v>751</v>
      </c>
      <c r="T958" s="7"/>
      <c r="U958" s="7" t="s">
        <v>2457</v>
      </c>
      <c r="V958" s="20" t="n">
        <v>46174</v>
      </c>
      <c r="W958" s="7"/>
      <c r="X958" s="7"/>
      <c r="Y958" s="7" t="s">
        <v>714</v>
      </c>
      <c r="Z958" s="7"/>
      <c r="AA958" s="23" t="n">
        <f aca="false">YEAR(C958)</f>
        <v>2026</v>
      </c>
    </row>
    <row r="959" customFormat="false" ht="15" hidden="false" customHeight="false" outlineLevel="0" collapsed="false">
      <c r="A959" s="7" t="s">
        <v>2458</v>
      </c>
      <c r="B959" s="7" t="s">
        <v>137</v>
      </c>
      <c r="C959" s="20" t="n">
        <v>46134</v>
      </c>
      <c r="D959" s="20" t="n">
        <v>46139</v>
      </c>
      <c r="E959" s="20"/>
      <c r="F959" s="7" t="s">
        <v>759</v>
      </c>
      <c r="G959" s="7" t="s">
        <v>141</v>
      </c>
      <c r="H959" s="7" t="s">
        <v>250</v>
      </c>
      <c r="I959" s="7" t="s">
        <v>251</v>
      </c>
      <c r="J959" s="7" t="s">
        <v>248</v>
      </c>
      <c r="K959" s="7" t="s">
        <v>249</v>
      </c>
      <c r="L959" s="7" t="s">
        <v>2459</v>
      </c>
      <c r="M959" s="7" t="s">
        <v>549</v>
      </c>
      <c r="N959" s="16" t="n">
        <v>8662</v>
      </c>
      <c r="O959" s="7" t="s">
        <v>798</v>
      </c>
      <c r="P959" s="22" t="n">
        <v>4.28</v>
      </c>
      <c r="Q959" s="8" t="n">
        <v>37073.36</v>
      </c>
      <c r="R959" s="8" t="n">
        <v>37073.36</v>
      </c>
      <c r="S959" s="7" t="s">
        <v>33</v>
      </c>
      <c r="T959" s="7" t="s">
        <v>2460</v>
      </c>
      <c r="U959" s="7"/>
      <c r="V959" s="20" t="n">
        <v>46134</v>
      </c>
      <c r="W959" s="7"/>
      <c r="X959" s="7"/>
      <c r="Y959" s="7" t="s">
        <v>710</v>
      </c>
      <c r="Z959" s="7"/>
      <c r="AA959" s="23" t="n">
        <f aca="false">YEAR(C959)</f>
        <v>2026</v>
      </c>
    </row>
    <row r="960" customFormat="false" ht="15" hidden="false" customHeight="false" outlineLevel="0" collapsed="false">
      <c r="A960" s="7" t="s">
        <v>2461</v>
      </c>
      <c r="B960" s="7" t="s">
        <v>137</v>
      </c>
      <c r="C960" s="20" t="n">
        <v>46134</v>
      </c>
      <c r="D960" s="20" t="n">
        <v>46164</v>
      </c>
      <c r="E960" s="20"/>
      <c r="F960" s="7" t="s">
        <v>759</v>
      </c>
      <c r="G960" s="7" t="s">
        <v>144</v>
      </c>
      <c r="H960" s="7" t="s">
        <v>255</v>
      </c>
      <c r="I960" s="7" t="s">
        <v>256</v>
      </c>
      <c r="J960" s="7" t="s">
        <v>221</v>
      </c>
      <c r="K960" s="7" t="s">
        <v>254</v>
      </c>
      <c r="L960" s="7" t="s">
        <v>850</v>
      </c>
      <c r="M960" s="7" t="s">
        <v>563</v>
      </c>
      <c r="N960" s="16"/>
      <c r="O960" s="7"/>
      <c r="P960" s="22"/>
      <c r="Q960" s="8" t="n">
        <v>4050</v>
      </c>
      <c r="R960" s="8" t="n">
        <v>-4050</v>
      </c>
      <c r="S960" s="7" t="s">
        <v>751</v>
      </c>
      <c r="T960" s="7"/>
      <c r="U960" s="7" t="s">
        <v>2462</v>
      </c>
      <c r="V960" s="20" t="n">
        <v>46164</v>
      </c>
      <c r="W960" s="7"/>
      <c r="X960" s="7"/>
      <c r="Y960" s="7" t="s">
        <v>715</v>
      </c>
      <c r="Z960" s="7"/>
      <c r="AA960" s="23" t="n">
        <f aca="false">YEAR(C960)</f>
        <v>2026</v>
      </c>
    </row>
    <row r="961" customFormat="false" ht="15" hidden="false" customHeight="false" outlineLevel="0" collapsed="false">
      <c r="A961" s="7" t="s">
        <v>2463</v>
      </c>
      <c r="B961" s="7" t="s">
        <v>137</v>
      </c>
      <c r="C961" s="20" t="n">
        <v>46134</v>
      </c>
      <c r="D961" s="20" t="n">
        <v>46164</v>
      </c>
      <c r="E961" s="20"/>
      <c r="F961" s="7" t="s">
        <v>759</v>
      </c>
      <c r="G961" s="7" t="s">
        <v>153</v>
      </c>
      <c r="H961" s="7" t="s">
        <v>234</v>
      </c>
      <c r="I961" s="7" t="s">
        <v>235</v>
      </c>
      <c r="J961" s="7" t="s">
        <v>229</v>
      </c>
      <c r="K961" s="7" t="s">
        <v>233</v>
      </c>
      <c r="L961" s="7" t="s">
        <v>888</v>
      </c>
      <c r="M961" s="7"/>
      <c r="N961" s="16"/>
      <c r="O961" s="7"/>
      <c r="P961" s="22"/>
      <c r="Q961" s="8" t="n">
        <v>480</v>
      </c>
      <c r="R961" s="8" t="n">
        <v>-480</v>
      </c>
      <c r="S961" s="7" t="s">
        <v>765</v>
      </c>
      <c r="T961" s="7"/>
      <c r="U961" s="7"/>
      <c r="V961" s="20"/>
      <c r="W961" s="7"/>
      <c r="X961" s="7"/>
      <c r="Y961" s="7"/>
      <c r="Z961" s="7"/>
      <c r="AA961" s="23" t="n">
        <f aca="false">YEAR(C961)</f>
        <v>2026</v>
      </c>
    </row>
    <row r="962" customFormat="false" ht="15" hidden="false" customHeight="false" outlineLevel="0" collapsed="false">
      <c r="A962" s="7" t="s">
        <v>2464</v>
      </c>
      <c r="B962" s="7" t="s">
        <v>137</v>
      </c>
      <c r="C962" s="20" t="n">
        <v>46137</v>
      </c>
      <c r="D962" s="20" t="n">
        <v>46171</v>
      </c>
      <c r="E962" s="20"/>
      <c r="F962" s="7" t="s">
        <v>759</v>
      </c>
      <c r="G962" s="7" t="s">
        <v>136</v>
      </c>
      <c r="H962" s="7" t="s">
        <v>255</v>
      </c>
      <c r="I962" s="7" t="s">
        <v>256</v>
      </c>
      <c r="J962" s="7" t="s">
        <v>221</v>
      </c>
      <c r="K962" s="7" t="s">
        <v>254</v>
      </c>
      <c r="L962" s="7" t="s">
        <v>892</v>
      </c>
      <c r="M962" s="7" t="s">
        <v>591</v>
      </c>
      <c r="N962" s="16" t="n">
        <v>96</v>
      </c>
      <c r="O962" s="7" t="s">
        <v>801</v>
      </c>
      <c r="P962" s="22" t="n">
        <v>43.16</v>
      </c>
      <c r="Q962" s="8" t="n">
        <v>4143.36</v>
      </c>
      <c r="R962" s="8" t="n">
        <v>-4143.36</v>
      </c>
      <c r="S962" s="7" t="s">
        <v>751</v>
      </c>
      <c r="T962" s="7"/>
      <c r="U962" s="7" t="s">
        <v>2465</v>
      </c>
      <c r="V962" s="20" t="n">
        <v>46167</v>
      </c>
      <c r="W962" s="7"/>
      <c r="X962" s="7"/>
      <c r="Y962" s="7" t="s">
        <v>723</v>
      </c>
      <c r="Z962" s="7"/>
      <c r="AA962" s="23" t="n">
        <f aca="false">YEAR(C962)</f>
        <v>2026</v>
      </c>
    </row>
    <row r="963" customFormat="false" ht="15" hidden="false" customHeight="false" outlineLevel="0" collapsed="false">
      <c r="A963" s="7" t="s">
        <v>2466</v>
      </c>
      <c r="B963" s="7" t="s">
        <v>137</v>
      </c>
      <c r="C963" s="20" t="n">
        <v>46138</v>
      </c>
      <c r="D963" s="20" t="n">
        <v>46164</v>
      </c>
      <c r="E963" s="20"/>
      <c r="F963" s="7" t="s">
        <v>759</v>
      </c>
      <c r="G963" s="7" t="s">
        <v>153</v>
      </c>
      <c r="H963" s="7" t="s">
        <v>242</v>
      </c>
      <c r="I963" s="7" t="s">
        <v>243</v>
      </c>
      <c r="J963" s="7" t="s">
        <v>229</v>
      </c>
      <c r="K963" s="7" t="s">
        <v>241</v>
      </c>
      <c r="L963" s="7" t="s">
        <v>571</v>
      </c>
      <c r="M963" s="7"/>
      <c r="N963" s="16"/>
      <c r="O963" s="7"/>
      <c r="P963" s="22"/>
      <c r="Q963" s="8" t="n">
        <v>312.95</v>
      </c>
      <c r="R963" s="8" t="n">
        <v>-312.95</v>
      </c>
      <c r="S963" s="7" t="s">
        <v>765</v>
      </c>
      <c r="T963" s="7"/>
      <c r="U963" s="7"/>
      <c r="V963" s="20"/>
      <c r="W963" s="7"/>
      <c r="X963" s="7"/>
      <c r="Y963" s="7"/>
      <c r="Z963" s="7"/>
      <c r="AA963" s="23" t="n">
        <f aca="false">YEAR(C963)</f>
        <v>2026</v>
      </c>
    </row>
    <row r="964" customFormat="false" ht="15" hidden="false" customHeight="false" outlineLevel="0" collapsed="false">
      <c r="A964" s="7" t="s">
        <v>2467</v>
      </c>
      <c r="B964" s="7" t="s">
        <v>137</v>
      </c>
      <c r="C964" s="20" t="n">
        <v>46139</v>
      </c>
      <c r="D964" s="20" t="n">
        <v>46169</v>
      </c>
      <c r="E964" s="20"/>
      <c r="F964" s="7" t="s">
        <v>759</v>
      </c>
      <c r="G964" s="7" t="s">
        <v>141</v>
      </c>
      <c r="H964" s="7" t="s">
        <v>268</v>
      </c>
      <c r="I964" s="7" t="s">
        <v>269</v>
      </c>
      <c r="J964" s="7" t="s">
        <v>221</v>
      </c>
      <c r="K964" s="7" t="s">
        <v>267</v>
      </c>
      <c r="L964" s="7" t="s">
        <v>882</v>
      </c>
      <c r="M964" s="7" t="s">
        <v>563</v>
      </c>
      <c r="N964" s="16"/>
      <c r="O964" s="7"/>
      <c r="P964" s="22"/>
      <c r="Q964" s="8" t="n">
        <v>766.08</v>
      </c>
      <c r="R964" s="8" t="n">
        <v>-766.08</v>
      </c>
      <c r="S964" s="7" t="s">
        <v>751</v>
      </c>
      <c r="T964" s="7"/>
      <c r="U964" s="7" t="s">
        <v>2468</v>
      </c>
      <c r="V964" s="20" t="n">
        <v>46169</v>
      </c>
      <c r="W964" s="7"/>
      <c r="X964" s="7"/>
      <c r="Y964" s="7" t="s">
        <v>714</v>
      </c>
      <c r="Z964" s="7"/>
      <c r="AA964" s="23" t="n">
        <f aca="false">YEAR(C964)</f>
        <v>2026</v>
      </c>
    </row>
    <row r="965" customFormat="false" ht="15" hidden="false" customHeight="false" outlineLevel="0" collapsed="false">
      <c r="A965" s="7" t="s">
        <v>2469</v>
      </c>
      <c r="B965" s="7" t="s">
        <v>137</v>
      </c>
      <c r="C965" s="20" t="n">
        <v>46141</v>
      </c>
      <c r="D965" s="20" t="n">
        <v>46171</v>
      </c>
      <c r="E965" s="20"/>
      <c r="F965" s="7" t="s">
        <v>759</v>
      </c>
      <c r="G965" s="7" t="s">
        <v>141</v>
      </c>
      <c r="H965" s="7" t="s">
        <v>264</v>
      </c>
      <c r="I965" s="7" t="s">
        <v>263</v>
      </c>
      <c r="J965" s="7" t="s">
        <v>221</v>
      </c>
      <c r="K965" s="7" t="s">
        <v>263</v>
      </c>
      <c r="L965" s="7" t="s">
        <v>885</v>
      </c>
      <c r="M965" s="7" t="s">
        <v>563</v>
      </c>
      <c r="N965" s="16"/>
      <c r="O965" s="7"/>
      <c r="P965" s="22"/>
      <c r="Q965" s="8" t="n">
        <v>2365</v>
      </c>
      <c r="R965" s="8" t="n">
        <v>-2365</v>
      </c>
      <c r="S965" s="7" t="s">
        <v>751</v>
      </c>
      <c r="T965" s="7"/>
      <c r="U965" s="7" t="s">
        <v>2470</v>
      </c>
      <c r="V965" s="20" t="n">
        <v>46171</v>
      </c>
      <c r="W965" s="7"/>
      <c r="X965" s="7"/>
      <c r="Y965" s="7" t="s">
        <v>714</v>
      </c>
      <c r="Z965" s="7"/>
      <c r="AA965" s="23" t="n">
        <f aca="false">YEAR(C965)</f>
        <v>2026</v>
      </c>
    </row>
    <row r="966" customFormat="false" ht="15" hidden="false" customHeight="false" outlineLevel="0" collapsed="false">
      <c r="A966" s="7" t="s">
        <v>2471</v>
      </c>
      <c r="B966" s="7" t="s">
        <v>137</v>
      </c>
      <c r="C966" s="20" t="n">
        <v>46142</v>
      </c>
      <c r="D966" s="20" t="n">
        <v>46011</v>
      </c>
      <c r="E966" s="20"/>
      <c r="F966" s="7" t="s">
        <v>759</v>
      </c>
      <c r="G966" s="7" t="s">
        <v>144</v>
      </c>
      <c r="H966" s="7" t="s">
        <v>266</v>
      </c>
      <c r="I966" s="7" t="s">
        <v>265</v>
      </c>
      <c r="J966" s="7" t="s">
        <v>221</v>
      </c>
      <c r="K966" s="7" t="s">
        <v>265</v>
      </c>
      <c r="L966" s="7" t="s">
        <v>1382</v>
      </c>
      <c r="M966" s="7" t="s">
        <v>628</v>
      </c>
      <c r="N966" s="16" t="n">
        <v>125</v>
      </c>
      <c r="O966" s="7" t="s">
        <v>801</v>
      </c>
      <c r="P966" s="22"/>
      <c r="Q966" s="8" t="n">
        <v>9406.25</v>
      </c>
      <c r="R966" s="8" t="n">
        <v>-9406.25</v>
      </c>
      <c r="S966" s="7" t="s">
        <v>33</v>
      </c>
      <c r="T966" s="7"/>
      <c r="U966" s="7"/>
      <c r="V966" s="20"/>
      <c r="W966" s="7"/>
      <c r="X966" s="7"/>
      <c r="Y966" s="7" t="s">
        <v>715</v>
      </c>
      <c r="Z966" s="7"/>
      <c r="AA966" s="23" t="n">
        <f aca="false">YEAR(C966)</f>
        <v>2026</v>
      </c>
    </row>
    <row r="967" customFormat="false" ht="15" hidden="false" customHeight="false" outlineLevel="0" collapsed="false">
      <c r="A967" s="7" t="s">
        <v>2472</v>
      </c>
      <c r="B967" s="7" t="s">
        <v>137</v>
      </c>
      <c r="C967" s="20" t="n">
        <v>46142</v>
      </c>
      <c r="D967" s="20" t="n">
        <v>46142</v>
      </c>
      <c r="E967" s="20"/>
      <c r="F967" s="7" t="s">
        <v>759</v>
      </c>
      <c r="G967" s="7" t="s">
        <v>153</v>
      </c>
      <c r="H967" s="7" t="s">
        <v>246</v>
      </c>
      <c r="I967" s="7" t="s">
        <v>247</v>
      </c>
      <c r="J967" s="7" t="s">
        <v>236</v>
      </c>
      <c r="K967" s="7" t="s">
        <v>189</v>
      </c>
      <c r="L967" s="7" t="s">
        <v>2341</v>
      </c>
      <c r="M967" s="7" t="s">
        <v>556</v>
      </c>
      <c r="N967" s="16"/>
      <c r="O967" s="7"/>
      <c r="P967" s="22"/>
      <c r="Q967" s="8" t="n">
        <v>1127.47</v>
      </c>
      <c r="R967" s="8" t="n">
        <v>-1127.47</v>
      </c>
      <c r="S967" s="7" t="s">
        <v>775</v>
      </c>
      <c r="T967" s="7"/>
      <c r="U967" s="7"/>
      <c r="V967" s="20"/>
      <c r="W967" s="7"/>
      <c r="X967" s="7" t="s">
        <v>784</v>
      </c>
      <c r="Y967" s="7"/>
      <c r="Z967" s="7"/>
      <c r="AA967" s="23" t="n">
        <f aca="false">YEAR(C967)</f>
        <v>2026</v>
      </c>
    </row>
    <row r="968" customFormat="false" ht="15" hidden="false" customHeight="false" outlineLevel="0" collapsed="false">
      <c r="A968" s="7" t="s">
        <v>2473</v>
      </c>
      <c r="B968" s="7" t="s">
        <v>137</v>
      </c>
      <c r="C968" s="20" t="n">
        <v>46143</v>
      </c>
      <c r="D968" s="20" t="n">
        <v>46143</v>
      </c>
      <c r="E968" s="20"/>
      <c r="F968" s="7" t="s">
        <v>759</v>
      </c>
      <c r="G968" s="7" t="s">
        <v>153</v>
      </c>
      <c r="H968" s="7" t="s">
        <v>545</v>
      </c>
      <c r="I968" s="7" t="s">
        <v>760</v>
      </c>
      <c r="J968" s="7" t="s">
        <v>761</v>
      </c>
      <c r="K968" s="7" t="s">
        <v>762</v>
      </c>
      <c r="L968" s="7" t="s">
        <v>546</v>
      </c>
      <c r="M968" s="7"/>
      <c r="N968" s="16"/>
      <c r="O968" s="7"/>
      <c r="P968" s="22"/>
      <c r="Q968" s="8" t="n">
        <v>4200</v>
      </c>
      <c r="R968" s="8" t="n">
        <v>-4200</v>
      </c>
      <c r="S968" s="7" t="s">
        <v>763</v>
      </c>
      <c r="T968" s="7"/>
      <c r="U968" s="7"/>
      <c r="V968" s="20"/>
      <c r="W968" s="7"/>
      <c r="X968" s="7"/>
      <c r="Y968" s="7"/>
      <c r="Z968" s="7"/>
      <c r="AA968" s="23" t="n">
        <f aca="false">YEAR(C968)</f>
        <v>2026</v>
      </c>
    </row>
    <row r="969" customFormat="false" ht="15" hidden="false" customHeight="false" outlineLevel="0" collapsed="false">
      <c r="A969" s="7" t="s">
        <v>2474</v>
      </c>
      <c r="B969" s="7" t="s">
        <v>137</v>
      </c>
      <c r="C969" s="20" t="n">
        <v>46150</v>
      </c>
      <c r="D969" s="20" t="n">
        <v>46195</v>
      </c>
      <c r="E969" s="20"/>
      <c r="F969" s="7" t="s">
        <v>759</v>
      </c>
      <c r="G969" s="7" t="s">
        <v>153</v>
      </c>
      <c r="H969" s="7" t="s">
        <v>244</v>
      </c>
      <c r="I969" s="7" t="s">
        <v>245</v>
      </c>
      <c r="J969" s="7" t="s">
        <v>229</v>
      </c>
      <c r="K969" s="7" t="s">
        <v>233</v>
      </c>
      <c r="L969" s="7" t="s">
        <v>570</v>
      </c>
      <c r="M969" s="7"/>
      <c r="N969" s="16"/>
      <c r="O969" s="7"/>
      <c r="P969" s="22"/>
      <c r="Q969" s="8" t="n">
        <v>165</v>
      </c>
      <c r="R969" s="8" t="n">
        <v>-165</v>
      </c>
      <c r="S969" s="7" t="s">
        <v>765</v>
      </c>
      <c r="T969" s="7"/>
      <c r="U969" s="7"/>
      <c r="V969" s="20"/>
      <c r="W969" s="7"/>
      <c r="X969" s="7"/>
      <c r="Y969" s="7"/>
      <c r="Z969" s="7"/>
      <c r="AA969" s="23" t="n">
        <f aca="false">YEAR(C969)</f>
        <v>2026</v>
      </c>
    </row>
    <row r="970" customFormat="false" ht="15" hidden="false" customHeight="false" outlineLevel="0" collapsed="false">
      <c r="A970" s="7" t="s">
        <v>2475</v>
      </c>
      <c r="B970" s="7" t="s">
        <v>137</v>
      </c>
      <c r="C970" s="20" t="n">
        <v>46152</v>
      </c>
      <c r="D970" s="20" t="n">
        <v>46152</v>
      </c>
      <c r="E970" s="20"/>
      <c r="F970" s="7" t="s">
        <v>759</v>
      </c>
      <c r="G970" s="7" t="s">
        <v>153</v>
      </c>
      <c r="H970" s="7" t="s">
        <v>237</v>
      </c>
      <c r="I970" s="7" t="s">
        <v>238</v>
      </c>
      <c r="J970" s="7" t="s">
        <v>236</v>
      </c>
      <c r="K970" s="7" t="s">
        <v>189</v>
      </c>
      <c r="L970" s="7" t="s">
        <v>2476</v>
      </c>
      <c r="M970" s="7" t="s">
        <v>768</v>
      </c>
      <c r="N970" s="16"/>
      <c r="O970" s="7"/>
      <c r="P970" s="22"/>
      <c r="Q970" s="8" t="n">
        <v>5.47</v>
      </c>
      <c r="R970" s="8" t="n">
        <v>-5.47</v>
      </c>
      <c r="S970" s="7" t="s">
        <v>744</v>
      </c>
      <c r="T970" s="7"/>
      <c r="U970" s="7"/>
      <c r="V970" s="20"/>
      <c r="W970" s="7"/>
      <c r="X970" s="7" t="s">
        <v>769</v>
      </c>
      <c r="Y970" s="7"/>
      <c r="Z970" s="7"/>
      <c r="AA970" s="23" t="n">
        <f aca="false">YEAR(C970)</f>
        <v>2026</v>
      </c>
    </row>
    <row r="971" customFormat="false" ht="15" hidden="false" customHeight="false" outlineLevel="0" collapsed="false">
      <c r="A971" s="7" t="s">
        <v>2477</v>
      </c>
      <c r="B971" s="7" t="s">
        <v>137</v>
      </c>
      <c r="C971" s="20" t="n">
        <v>46152</v>
      </c>
      <c r="D971" s="20" t="n">
        <v>46152</v>
      </c>
      <c r="E971" s="20"/>
      <c r="F971" s="7" t="s">
        <v>759</v>
      </c>
      <c r="G971" s="7" t="s">
        <v>153</v>
      </c>
      <c r="H971" s="7" t="s">
        <v>559</v>
      </c>
      <c r="I971" s="7" t="s">
        <v>771</v>
      </c>
      <c r="J971" s="7" t="s">
        <v>761</v>
      </c>
      <c r="K971" s="7" t="s">
        <v>772</v>
      </c>
      <c r="L971" s="7" t="s">
        <v>2478</v>
      </c>
      <c r="M971" s="7" t="s">
        <v>768</v>
      </c>
      <c r="N971" s="16"/>
      <c r="O971" s="7"/>
      <c r="P971" s="22"/>
      <c r="Q971" s="8" t="n">
        <v>839.62</v>
      </c>
      <c r="R971" s="8" t="n">
        <v>-839.62</v>
      </c>
      <c r="S971" s="7" t="s">
        <v>744</v>
      </c>
      <c r="T971" s="7"/>
      <c r="U971" s="7"/>
      <c r="V971" s="20"/>
      <c r="W971" s="7"/>
      <c r="X971" s="7" t="s">
        <v>769</v>
      </c>
      <c r="Y971" s="7"/>
      <c r="Z971" s="7"/>
      <c r="AA971" s="23" t="n">
        <f aca="false">YEAR(C971)</f>
        <v>2026</v>
      </c>
    </row>
    <row r="972" customFormat="false" ht="15" hidden="false" customHeight="false" outlineLevel="0" collapsed="false">
      <c r="A972" s="7" t="s">
        <v>2479</v>
      </c>
      <c r="B972" s="7" t="s">
        <v>137</v>
      </c>
      <c r="C972" s="20" t="n">
        <v>46154</v>
      </c>
      <c r="D972" s="20" t="n">
        <v>46154</v>
      </c>
      <c r="E972" s="20"/>
      <c r="F972" s="7" t="s">
        <v>759</v>
      </c>
      <c r="G972" s="7" t="s">
        <v>153</v>
      </c>
      <c r="H972" s="7" t="s">
        <v>240</v>
      </c>
      <c r="I972" s="7" t="s">
        <v>239</v>
      </c>
      <c r="J972" s="7" t="s">
        <v>229</v>
      </c>
      <c r="K972" s="7" t="s">
        <v>239</v>
      </c>
      <c r="L972" s="7" t="s">
        <v>548</v>
      </c>
      <c r="M972" s="7" t="s">
        <v>547</v>
      </c>
      <c r="N972" s="16"/>
      <c r="O972" s="7"/>
      <c r="P972" s="22"/>
      <c r="Q972" s="8" t="n">
        <v>235.2</v>
      </c>
      <c r="R972" s="8" t="n">
        <v>-235.2</v>
      </c>
      <c r="S972" s="7" t="s">
        <v>775</v>
      </c>
      <c r="T972" s="7"/>
      <c r="U972" s="7"/>
      <c r="V972" s="20"/>
      <c r="W972" s="7"/>
      <c r="X972" s="7"/>
      <c r="Y972" s="7"/>
      <c r="Z972" s="7"/>
      <c r="AA972" s="23" t="n">
        <f aca="false">YEAR(C972)</f>
        <v>2026</v>
      </c>
    </row>
    <row r="973" customFormat="false" ht="15" hidden="false" customHeight="false" outlineLevel="0" collapsed="false">
      <c r="A973" s="7" t="s">
        <v>2480</v>
      </c>
      <c r="B973" s="7" t="s">
        <v>137</v>
      </c>
      <c r="C973" s="20" t="n">
        <v>46154</v>
      </c>
      <c r="D973" s="20" t="n">
        <v>46184</v>
      </c>
      <c r="E973" s="20"/>
      <c r="F973" s="7" t="s">
        <v>759</v>
      </c>
      <c r="G973" s="7" t="s">
        <v>144</v>
      </c>
      <c r="H973" s="7" t="s">
        <v>268</v>
      </c>
      <c r="I973" s="7" t="s">
        <v>269</v>
      </c>
      <c r="J973" s="7" t="s">
        <v>221</v>
      </c>
      <c r="K973" s="7" t="s">
        <v>267</v>
      </c>
      <c r="L973" s="7" t="s">
        <v>1397</v>
      </c>
      <c r="M973" s="7" t="s">
        <v>563</v>
      </c>
      <c r="N973" s="16"/>
      <c r="O973" s="7"/>
      <c r="P973" s="22"/>
      <c r="Q973" s="8" t="n">
        <v>897.75</v>
      </c>
      <c r="R973" s="8" t="n">
        <v>-897.75</v>
      </c>
      <c r="S973" s="7" t="s">
        <v>751</v>
      </c>
      <c r="T973" s="7"/>
      <c r="U973" s="7" t="s">
        <v>2481</v>
      </c>
      <c r="V973" s="20" t="n">
        <v>46184</v>
      </c>
      <c r="W973" s="7"/>
      <c r="X973" s="7"/>
      <c r="Y973" s="7" t="s">
        <v>715</v>
      </c>
      <c r="Z973" s="7"/>
      <c r="AA973" s="23" t="n">
        <f aca="false">YEAR(C973)</f>
        <v>2026</v>
      </c>
    </row>
    <row r="974" customFormat="false" ht="15" hidden="false" customHeight="false" outlineLevel="0" collapsed="false">
      <c r="A974" s="7" t="s">
        <v>2482</v>
      </c>
      <c r="B974" s="7" t="s">
        <v>137</v>
      </c>
      <c r="C974" s="20" t="n">
        <v>46156</v>
      </c>
      <c r="D974" s="20" t="n">
        <v>46188</v>
      </c>
      <c r="E974" s="20"/>
      <c r="F974" s="7" t="s">
        <v>759</v>
      </c>
      <c r="G974" s="7" t="s">
        <v>144</v>
      </c>
      <c r="H974" s="7" t="s">
        <v>264</v>
      </c>
      <c r="I974" s="7" t="s">
        <v>263</v>
      </c>
      <c r="J974" s="7" t="s">
        <v>221</v>
      </c>
      <c r="K974" s="7" t="s">
        <v>263</v>
      </c>
      <c r="L974" s="7" t="s">
        <v>885</v>
      </c>
      <c r="M974" s="7" t="s">
        <v>563</v>
      </c>
      <c r="N974" s="16"/>
      <c r="O974" s="7"/>
      <c r="P974" s="22"/>
      <c r="Q974" s="8" t="n">
        <v>3547.5</v>
      </c>
      <c r="R974" s="8" t="n">
        <v>-3547.5</v>
      </c>
      <c r="S974" s="7" t="s">
        <v>751</v>
      </c>
      <c r="T974" s="7"/>
      <c r="U974" s="7" t="s">
        <v>2483</v>
      </c>
      <c r="V974" s="20" t="n">
        <v>46186</v>
      </c>
      <c r="W974" s="7"/>
      <c r="X974" s="7"/>
      <c r="Y974" s="7" t="s">
        <v>715</v>
      </c>
      <c r="Z974" s="7"/>
      <c r="AA974" s="23" t="n">
        <f aca="false">YEAR(C974)</f>
        <v>2026</v>
      </c>
    </row>
    <row r="975" customFormat="false" ht="15" hidden="false" customHeight="false" outlineLevel="0" collapsed="false">
      <c r="A975" s="7" t="s">
        <v>2484</v>
      </c>
      <c r="B975" s="7" t="s">
        <v>137</v>
      </c>
      <c r="C975" s="20" t="n">
        <v>46157</v>
      </c>
      <c r="D975" s="20" t="n">
        <v>46157</v>
      </c>
      <c r="E975" s="20"/>
      <c r="F975" s="7" t="s">
        <v>759</v>
      </c>
      <c r="G975" s="7" t="s">
        <v>149</v>
      </c>
      <c r="H975" s="7" t="s">
        <v>271</v>
      </c>
      <c r="I975" s="7" t="s">
        <v>272</v>
      </c>
      <c r="J975" s="7" t="s">
        <v>221</v>
      </c>
      <c r="K975" s="7" t="s">
        <v>270</v>
      </c>
      <c r="L975" s="7" t="s">
        <v>2109</v>
      </c>
      <c r="M975" s="7" t="s">
        <v>541</v>
      </c>
      <c r="N975" s="16"/>
      <c r="O975" s="7"/>
      <c r="P975" s="22"/>
      <c r="Q975" s="8" t="n">
        <v>843.12</v>
      </c>
      <c r="R975" s="8" t="n">
        <v>-843.12</v>
      </c>
      <c r="S975" s="7" t="s">
        <v>744</v>
      </c>
      <c r="T975" s="7"/>
      <c r="U975" s="7"/>
      <c r="V975" s="20"/>
      <c r="W975" s="7"/>
      <c r="X975" s="7"/>
      <c r="Y975" s="7"/>
      <c r="Z975" s="7"/>
      <c r="AA975" s="23" t="n">
        <f aca="false">YEAR(C975)</f>
        <v>2026</v>
      </c>
    </row>
    <row r="976" customFormat="false" ht="15" hidden="false" customHeight="false" outlineLevel="0" collapsed="false">
      <c r="A976" s="7" t="s">
        <v>2485</v>
      </c>
      <c r="B976" s="7" t="s">
        <v>137</v>
      </c>
      <c r="C976" s="20" t="n">
        <v>46157</v>
      </c>
      <c r="D976" s="20" t="n">
        <v>46157</v>
      </c>
      <c r="E976" s="20"/>
      <c r="F976" s="7" t="s">
        <v>759</v>
      </c>
      <c r="G976" s="7" t="s">
        <v>153</v>
      </c>
      <c r="H976" s="7" t="s">
        <v>271</v>
      </c>
      <c r="I976" s="7" t="s">
        <v>272</v>
      </c>
      <c r="J976" s="7" t="s">
        <v>221</v>
      </c>
      <c r="K976" s="7" t="s">
        <v>270</v>
      </c>
      <c r="L976" s="7" t="s">
        <v>544</v>
      </c>
      <c r="M976" s="7" t="s">
        <v>541</v>
      </c>
      <c r="N976" s="16"/>
      <c r="O976" s="7"/>
      <c r="P976" s="22"/>
      <c r="Q976" s="8" t="n">
        <v>562.08</v>
      </c>
      <c r="R976" s="8" t="n">
        <v>-562.08</v>
      </c>
      <c r="S976" s="7" t="s">
        <v>744</v>
      </c>
      <c r="T976" s="7"/>
      <c r="U976" s="7"/>
      <c r="V976" s="20"/>
      <c r="W976" s="7"/>
      <c r="X976" s="7"/>
      <c r="Y976" s="7"/>
      <c r="Z976" s="7"/>
      <c r="AA976" s="23" t="n">
        <f aca="false">YEAR(C976)</f>
        <v>2026</v>
      </c>
    </row>
    <row r="977" customFormat="false" ht="15" hidden="false" customHeight="false" outlineLevel="0" collapsed="false">
      <c r="A977" s="7" t="s">
        <v>2486</v>
      </c>
      <c r="B977" s="7" t="s">
        <v>137</v>
      </c>
      <c r="C977" s="20" t="n">
        <v>46157</v>
      </c>
      <c r="D977" s="20" t="n">
        <v>46188</v>
      </c>
      <c r="E977" s="20"/>
      <c r="F977" s="7" t="s">
        <v>759</v>
      </c>
      <c r="G977" s="7" t="s">
        <v>149</v>
      </c>
      <c r="H977" s="7" t="s">
        <v>273</v>
      </c>
      <c r="I977" s="7" t="s">
        <v>274</v>
      </c>
      <c r="J977" s="7" t="s">
        <v>221</v>
      </c>
      <c r="K977" s="7" t="s">
        <v>270</v>
      </c>
      <c r="L977" s="7" t="s">
        <v>554</v>
      </c>
      <c r="M977" s="7" t="s">
        <v>541</v>
      </c>
      <c r="N977" s="16"/>
      <c r="O977" s="7"/>
      <c r="P977" s="22"/>
      <c r="Q977" s="8" t="n">
        <v>123.66</v>
      </c>
      <c r="R977" s="8" t="n">
        <v>-123.66</v>
      </c>
      <c r="S977" s="7" t="s">
        <v>789</v>
      </c>
      <c r="T977" s="7"/>
      <c r="U977" s="7"/>
      <c r="V977" s="20"/>
      <c r="W977" s="7"/>
      <c r="X977" s="7"/>
      <c r="Y977" s="7"/>
      <c r="Z977" s="7"/>
      <c r="AA977" s="23" t="n">
        <f aca="false">YEAR(C977)</f>
        <v>2026</v>
      </c>
    </row>
    <row r="978" customFormat="false" ht="15" hidden="false" customHeight="false" outlineLevel="0" collapsed="false">
      <c r="A978" s="7" t="s">
        <v>2487</v>
      </c>
      <c r="B978" s="7" t="s">
        <v>137</v>
      </c>
      <c r="C978" s="20" t="n">
        <v>46158</v>
      </c>
      <c r="D978" s="20" t="n">
        <v>46158</v>
      </c>
      <c r="E978" s="20"/>
      <c r="F978" s="7" t="s">
        <v>759</v>
      </c>
      <c r="G978" s="7" t="s">
        <v>149</v>
      </c>
      <c r="H978" s="7" t="s">
        <v>237</v>
      </c>
      <c r="I978" s="7" t="s">
        <v>238</v>
      </c>
      <c r="J978" s="7" t="s">
        <v>236</v>
      </c>
      <c r="K978" s="7" t="s">
        <v>189</v>
      </c>
      <c r="L978" s="7" t="s">
        <v>2488</v>
      </c>
      <c r="M978" s="7" t="s">
        <v>556</v>
      </c>
      <c r="N978" s="16"/>
      <c r="O978" s="7"/>
      <c r="P978" s="22"/>
      <c r="Q978" s="8" t="n">
        <v>268.89</v>
      </c>
      <c r="R978" s="8" t="n">
        <v>-268.89</v>
      </c>
      <c r="S978" s="7" t="s">
        <v>744</v>
      </c>
      <c r="T978" s="7"/>
      <c r="U978" s="7"/>
      <c r="V978" s="20"/>
      <c r="W978" s="7"/>
      <c r="X978" s="7" t="s">
        <v>1552</v>
      </c>
      <c r="Y978" s="7"/>
      <c r="Z978" s="7"/>
      <c r="AA978" s="23" t="n">
        <f aca="false">YEAR(C978)</f>
        <v>2026</v>
      </c>
    </row>
    <row r="979" customFormat="false" ht="15" hidden="false" customHeight="false" outlineLevel="0" collapsed="false">
      <c r="A979" s="7" t="s">
        <v>2489</v>
      </c>
      <c r="B979" s="7" t="s">
        <v>137</v>
      </c>
      <c r="C979" s="20" t="n">
        <v>46158</v>
      </c>
      <c r="D979" s="20" t="n">
        <v>46158</v>
      </c>
      <c r="E979" s="20"/>
      <c r="F979" s="7" t="s">
        <v>759</v>
      </c>
      <c r="G979" s="7" t="s">
        <v>149</v>
      </c>
      <c r="H979" s="7" t="s">
        <v>559</v>
      </c>
      <c r="I979" s="7" t="s">
        <v>771</v>
      </c>
      <c r="J979" s="7" t="s">
        <v>761</v>
      </c>
      <c r="K979" s="7" t="s">
        <v>772</v>
      </c>
      <c r="L979" s="7" t="s">
        <v>2490</v>
      </c>
      <c r="M979" s="7" t="s">
        <v>556</v>
      </c>
      <c r="N979" s="16"/>
      <c r="O979" s="7"/>
      <c r="P979" s="22"/>
      <c r="Q979" s="8" t="n">
        <v>1463.6</v>
      </c>
      <c r="R979" s="8" t="n">
        <v>-1463.6</v>
      </c>
      <c r="S979" s="7" t="s">
        <v>744</v>
      </c>
      <c r="T979" s="7"/>
      <c r="U979" s="7"/>
      <c r="V979" s="20"/>
      <c r="W979" s="7"/>
      <c r="X979" s="7" t="s">
        <v>1552</v>
      </c>
      <c r="Y979" s="7"/>
      <c r="Z979" s="7"/>
      <c r="AA979" s="23" t="n">
        <f aca="false">YEAR(C979)</f>
        <v>2026</v>
      </c>
    </row>
    <row r="980" customFormat="false" ht="15" hidden="false" customHeight="false" outlineLevel="0" collapsed="false">
      <c r="A980" s="7" t="s">
        <v>2491</v>
      </c>
      <c r="B980" s="7" t="s">
        <v>137</v>
      </c>
      <c r="C980" s="20" t="n">
        <v>46160</v>
      </c>
      <c r="D980" s="20" t="n">
        <v>46195</v>
      </c>
      <c r="E980" s="20"/>
      <c r="F980" s="7" t="s">
        <v>759</v>
      </c>
      <c r="G980" s="7" t="s">
        <v>136</v>
      </c>
      <c r="H980" s="7" t="s">
        <v>266</v>
      </c>
      <c r="I980" s="7" t="s">
        <v>265</v>
      </c>
      <c r="J980" s="7" t="s">
        <v>221</v>
      </c>
      <c r="K980" s="7" t="s">
        <v>265</v>
      </c>
      <c r="L980" s="7" t="s">
        <v>912</v>
      </c>
      <c r="M980" s="7" t="s">
        <v>591</v>
      </c>
      <c r="N980" s="16" t="n">
        <v>96</v>
      </c>
      <c r="O980" s="7" t="s">
        <v>801</v>
      </c>
      <c r="P980" s="22" t="n">
        <v>89.38</v>
      </c>
      <c r="Q980" s="8" t="n">
        <v>8580.48</v>
      </c>
      <c r="R980" s="8" t="n">
        <v>-8580.48</v>
      </c>
      <c r="S980" s="7" t="s">
        <v>751</v>
      </c>
      <c r="T980" s="7"/>
      <c r="U980" s="7" t="s">
        <v>2492</v>
      </c>
      <c r="V980" s="20" t="n">
        <v>46190</v>
      </c>
      <c r="W980" s="7"/>
      <c r="X980" s="7"/>
      <c r="Y980" s="7" t="s">
        <v>723</v>
      </c>
      <c r="Z980" s="7"/>
      <c r="AA980" s="23" t="n">
        <f aca="false">YEAR(C980)</f>
        <v>2026</v>
      </c>
    </row>
    <row r="981" customFormat="false" ht="15" hidden="false" customHeight="false" outlineLevel="0" collapsed="false">
      <c r="A981" s="7" t="s">
        <v>2493</v>
      </c>
      <c r="B981" s="7" t="s">
        <v>137</v>
      </c>
      <c r="C981" s="20" t="n">
        <v>46160</v>
      </c>
      <c r="D981" s="20" t="n">
        <v>46195</v>
      </c>
      <c r="E981" s="20"/>
      <c r="F981" s="7" t="s">
        <v>759</v>
      </c>
      <c r="G981" s="7" t="s">
        <v>136</v>
      </c>
      <c r="H981" s="7" t="s">
        <v>223</v>
      </c>
      <c r="I981" s="7" t="s">
        <v>224</v>
      </c>
      <c r="J981" s="7" t="s">
        <v>221</v>
      </c>
      <c r="K981" s="7" t="s">
        <v>222</v>
      </c>
      <c r="L981" s="7" t="s">
        <v>915</v>
      </c>
      <c r="M981" s="7" t="s">
        <v>589</v>
      </c>
      <c r="N981" s="16" t="n">
        <v>96</v>
      </c>
      <c r="O981" s="7" t="s">
        <v>801</v>
      </c>
      <c r="P981" s="22" t="n">
        <v>26.16</v>
      </c>
      <c r="Q981" s="8" t="n">
        <v>2511.36</v>
      </c>
      <c r="R981" s="8" t="n">
        <v>-2511.36</v>
      </c>
      <c r="S981" s="7" t="s">
        <v>751</v>
      </c>
      <c r="T981" s="7"/>
      <c r="U981" s="7" t="s">
        <v>2494</v>
      </c>
      <c r="V981" s="20" t="n">
        <v>46190</v>
      </c>
      <c r="W981" s="7"/>
      <c r="X981" s="7"/>
      <c r="Y981" s="7" t="s">
        <v>723</v>
      </c>
      <c r="Z981" s="7"/>
      <c r="AA981" s="23" t="n">
        <f aca="false">YEAR(C981)</f>
        <v>2026</v>
      </c>
    </row>
    <row r="982" customFormat="false" ht="15" hidden="false" customHeight="false" outlineLevel="0" collapsed="false">
      <c r="A982" s="7" t="s">
        <v>2495</v>
      </c>
      <c r="B982" s="7" t="s">
        <v>137</v>
      </c>
      <c r="C982" s="20" t="n">
        <v>46162</v>
      </c>
      <c r="D982" s="20" t="n">
        <v>46196</v>
      </c>
      <c r="E982" s="20"/>
      <c r="F982" s="7" t="s">
        <v>759</v>
      </c>
      <c r="G982" s="7" t="s">
        <v>136</v>
      </c>
      <c r="H982" s="7" t="s">
        <v>264</v>
      </c>
      <c r="I982" s="7" t="s">
        <v>263</v>
      </c>
      <c r="J982" s="7" t="s">
        <v>221</v>
      </c>
      <c r="K982" s="7" t="s">
        <v>263</v>
      </c>
      <c r="L982" s="7" t="s">
        <v>918</v>
      </c>
      <c r="M982" s="7" t="s">
        <v>591</v>
      </c>
      <c r="N982" s="16" t="n">
        <v>96</v>
      </c>
      <c r="O982" s="7" t="s">
        <v>801</v>
      </c>
      <c r="P982" s="22" t="n">
        <v>19.62</v>
      </c>
      <c r="Q982" s="8" t="n">
        <v>1883.52</v>
      </c>
      <c r="R982" s="8" t="n">
        <v>-1883.52</v>
      </c>
      <c r="S982" s="7" t="s">
        <v>751</v>
      </c>
      <c r="T982" s="7"/>
      <c r="U982" s="7" t="s">
        <v>2496</v>
      </c>
      <c r="V982" s="20" t="n">
        <v>46192</v>
      </c>
      <c r="W982" s="7"/>
      <c r="X982" s="7"/>
      <c r="Y982" s="7" t="s">
        <v>723</v>
      </c>
      <c r="Z982" s="7"/>
      <c r="AA982" s="23" t="n">
        <f aca="false">YEAR(C982)</f>
        <v>2026</v>
      </c>
    </row>
    <row r="983" customFormat="false" ht="15" hidden="false" customHeight="false" outlineLevel="0" collapsed="false">
      <c r="A983" s="7" t="s">
        <v>2497</v>
      </c>
      <c r="B983" s="7" t="s">
        <v>137</v>
      </c>
      <c r="C983" s="20" t="n">
        <v>46168</v>
      </c>
      <c r="D983" s="20" t="n">
        <v>46195</v>
      </c>
      <c r="E983" s="20"/>
      <c r="F983" s="7" t="s">
        <v>759</v>
      </c>
      <c r="G983" s="7" t="s">
        <v>153</v>
      </c>
      <c r="H983" s="7" t="s">
        <v>242</v>
      </c>
      <c r="I983" s="7" t="s">
        <v>243</v>
      </c>
      <c r="J983" s="7" t="s">
        <v>229</v>
      </c>
      <c r="K983" s="7" t="s">
        <v>241</v>
      </c>
      <c r="L983" s="7" t="s">
        <v>571</v>
      </c>
      <c r="M983" s="7"/>
      <c r="N983" s="16"/>
      <c r="O983" s="7"/>
      <c r="P983" s="22"/>
      <c r="Q983" s="8" t="n">
        <v>274.1</v>
      </c>
      <c r="R983" s="8" t="n">
        <v>-274.1</v>
      </c>
      <c r="S983" s="7" t="s">
        <v>765</v>
      </c>
      <c r="T983" s="7"/>
      <c r="U983" s="7"/>
      <c r="V983" s="20"/>
      <c r="W983" s="7"/>
      <c r="X983" s="7"/>
      <c r="Y983" s="7"/>
      <c r="Z983" s="7"/>
      <c r="AA983" s="23" t="n">
        <f aca="false">YEAR(C983)</f>
        <v>2026</v>
      </c>
    </row>
    <row r="984" customFormat="false" ht="15" hidden="false" customHeight="false" outlineLevel="0" collapsed="false">
      <c r="A984" s="7" t="s">
        <v>2498</v>
      </c>
      <c r="B984" s="7" t="s">
        <v>137</v>
      </c>
      <c r="C984" s="20" t="n">
        <v>46169</v>
      </c>
      <c r="D984" s="20" t="n">
        <v>46204</v>
      </c>
      <c r="E984" s="20"/>
      <c r="F984" s="7" t="s">
        <v>759</v>
      </c>
      <c r="G984" s="7" t="s">
        <v>149</v>
      </c>
      <c r="H984" s="7" t="s">
        <v>261</v>
      </c>
      <c r="I984" s="7" t="s">
        <v>262</v>
      </c>
      <c r="J984" s="7" t="s">
        <v>221</v>
      </c>
      <c r="K984" s="7" t="s">
        <v>260</v>
      </c>
      <c r="L984" s="7" t="s">
        <v>2499</v>
      </c>
      <c r="M984" s="7" t="s">
        <v>538</v>
      </c>
      <c r="N984" s="16"/>
      <c r="O984" s="7"/>
      <c r="P984" s="22"/>
      <c r="Q984" s="8" t="n">
        <v>6723.2</v>
      </c>
      <c r="R984" s="8" t="n">
        <v>-6723.2</v>
      </c>
      <c r="S984" s="7" t="s">
        <v>751</v>
      </c>
      <c r="T984" s="7"/>
      <c r="U984" s="7" t="s">
        <v>2500</v>
      </c>
      <c r="V984" s="20" t="n">
        <v>46199</v>
      </c>
      <c r="W984" s="7" t="s">
        <v>938</v>
      </c>
      <c r="X984" s="7"/>
      <c r="Y984" s="7"/>
      <c r="Z984" s="7"/>
      <c r="AA984" s="23" t="n">
        <f aca="false">YEAR(C984)</f>
        <v>2026</v>
      </c>
    </row>
    <row r="985" customFormat="false" ht="15" hidden="false" customHeight="false" outlineLevel="0" collapsed="false">
      <c r="A985" s="7" t="s">
        <v>2501</v>
      </c>
      <c r="B985" s="7" t="s">
        <v>137</v>
      </c>
      <c r="C985" s="20" t="n">
        <v>46169</v>
      </c>
      <c r="D985" s="20" t="n">
        <v>46204</v>
      </c>
      <c r="E985" s="20"/>
      <c r="F985" s="7" t="s">
        <v>759</v>
      </c>
      <c r="G985" s="7" t="s">
        <v>141</v>
      </c>
      <c r="H985" s="7" t="s">
        <v>261</v>
      </c>
      <c r="I985" s="7" t="s">
        <v>262</v>
      </c>
      <c r="J985" s="7" t="s">
        <v>221</v>
      </c>
      <c r="K985" s="7" t="s">
        <v>260</v>
      </c>
      <c r="L985" s="7" t="s">
        <v>2502</v>
      </c>
      <c r="M985" s="7" t="s">
        <v>538</v>
      </c>
      <c r="N985" s="16"/>
      <c r="O985" s="7"/>
      <c r="P985" s="22"/>
      <c r="Q985" s="8" t="n">
        <v>916.8</v>
      </c>
      <c r="R985" s="8" t="n">
        <v>-916.8</v>
      </c>
      <c r="S985" s="7" t="s">
        <v>751</v>
      </c>
      <c r="T985" s="7"/>
      <c r="U985" s="7" t="s">
        <v>2503</v>
      </c>
      <c r="V985" s="20" t="n">
        <v>46199</v>
      </c>
      <c r="W985" s="7" t="s">
        <v>938</v>
      </c>
      <c r="X985" s="7"/>
      <c r="Y985" s="7"/>
      <c r="Z985" s="7"/>
      <c r="AA985" s="23" t="n">
        <f aca="false">YEAR(C985)</f>
        <v>2026</v>
      </c>
    </row>
    <row r="986" customFormat="false" ht="15" hidden="false" customHeight="false" outlineLevel="0" collapsed="false">
      <c r="A986" s="7" t="s">
        <v>2504</v>
      </c>
      <c r="B986" s="7" t="s">
        <v>137</v>
      </c>
      <c r="C986" s="20" t="n">
        <v>46171</v>
      </c>
      <c r="D986" s="20" t="n">
        <v>46171</v>
      </c>
      <c r="E986" s="20"/>
      <c r="F986" s="7" t="s">
        <v>759</v>
      </c>
      <c r="G986" s="7" t="s">
        <v>149</v>
      </c>
      <c r="H986" s="7" t="s">
        <v>271</v>
      </c>
      <c r="I986" s="7" t="s">
        <v>272</v>
      </c>
      <c r="J986" s="7" t="s">
        <v>221</v>
      </c>
      <c r="K986" s="7" t="s">
        <v>270</v>
      </c>
      <c r="L986" s="7" t="s">
        <v>1565</v>
      </c>
      <c r="M986" s="7" t="s">
        <v>541</v>
      </c>
      <c r="N986" s="16"/>
      <c r="O986" s="7"/>
      <c r="P986" s="22"/>
      <c r="Q986" s="8" t="n">
        <v>805.81</v>
      </c>
      <c r="R986" s="8" t="n">
        <v>-805.81</v>
      </c>
      <c r="S986" s="7" t="s">
        <v>744</v>
      </c>
      <c r="T986" s="7"/>
      <c r="U986" s="7"/>
      <c r="V986" s="20"/>
      <c r="W986" s="7"/>
      <c r="X986" s="7"/>
      <c r="Y986" s="7"/>
      <c r="Z986" s="7"/>
      <c r="AA986" s="23" t="n">
        <f aca="false">YEAR(C986)</f>
        <v>2026</v>
      </c>
    </row>
    <row r="987" customFormat="false" ht="15" hidden="false" customHeight="false" outlineLevel="0" collapsed="false">
      <c r="A987" s="7" t="s">
        <v>2505</v>
      </c>
      <c r="B987" s="7" t="s">
        <v>137</v>
      </c>
      <c r="C987" s="20" t="n">
        <v>46171</v>
      </c>
      <c r="D987" s="20" t="n">
        <v>46171</v>
      </c>
      <c r="E987" s="20"/>
      <c r="F987" s="7" t="s">
        <v>759</v>
      </c>
      <c r="G987" s="7" t="s">
        <v>153</v>
      </c>
      <c r="H987" s="7" t="s">
        <v>271</v>
      </c>
      <c r="I987" s="7" t="s">
        <v>272</v>
      </c>
      <c r="J987" s="7" t="s">
        <v>221</v>
      </c>
      <c r="K987" s="7" t="s">
        <v>270</v>
      </c>
      <c r="L987" s="7" t="s">
        <v>544</v>
      </c>
      <c r="M987" s="7" t="s">
        <v>541</v>
      </c>
      <c r="N987" s="16"/>
      <c r="O987" s="7"/>
      <c r="P987" s="22"/>
      <c r="Q987" s="8" t="n">
        <v>537.21</v>
      </c>
      <c r="R987" s="8" t="n">
        <v>-537.21</v>
      </c>
      <c r="S987" s="7" t="s">
        <v>744</v>
      </c>
      <c r="T987" s="7"/>
      <c r="U987" s="7"/>
      <c r="V987" s="20"/>
      <c r="W987" s="7"/>
      <c r="X987" s="7"/>
      <c r="Y987" s="7"/>
      <c r="Z987" s="7"/>
      <c r="AA987" s="23" t="n">
        <f aca="false">YEAR(C987)</f>
        <v>2026</v>
      </c>
    </row>
    <row r="988" customFormat="false" ht="15" hidden="false" customHeight="false" outlineLevel="0" collapsed="false">
      <c r="A988" s="7" t="s">
        <v>2506</v>
      </c>
      <c r="B988" s="7" t="s">
        <v>137</v>
      </c>
      <c r="C988" s="20" t="n">
        <v>46171</v>
      </c>
      <c r="D988" s="20" t="n">
        <v>46171</v>
      </c>
      <c r="E988" s="20"/>
      <c r="F988" s="7" t="s">
        <v>759</v>
      </c>
      <c r="G988" s="7" t="s">
        <v>153</v>
      </c>
      <c r="H988" s="7" t="s">
        <v>561</v>
      </c>
      <c r="I988" s="7" t="s">
        <v>363</v>
      </c>
      <c r="J988" s="7" t="s">
        <v>761</v>
      </c>
      <c r="K988" s="7" t="s">
        <v>772</v>
      </c>
      <c r="L988" s="7" t="s">
        <v>562</v>
      </c>
      <c r="M988" s="7" t="s">
        <v>556</v>
      </c>
      <c r="N988" s="16"/>
      <c r="O988" s="7"/>
      <c r="P988" s="22"/>
      <c r="Q988" s="8" t="n">
        <v>15000</v>
      </c>
      <c r="R988" s="8" t="n">
        <v>15000</v>
      </c>
      <c r="S988" s="7" t="s">
        <v>783</v>
      </c>
      <c r="T988" s="7"/>
      <c r="U988" s="7"/>
      <c r="V988" s="20"/>
      <c r="W988" s="7"/>
      <c r="X988" s="7" t="s">
        <v>784</v>
      </c>
      <c r="Y988" s="7"/>
      <c r="Z988" s="7"/>
      <c r="AA988" s="23" t="n">
        <f aca="false">YEAR(C988)</f>
        <v>2026</v>
      </c>
    </row>
    <row r="989" customFormat="false" ht="15" hidden="false" customHeight="false" outlineLevel="0" collapsed="false">
      <c r="A989" s="7" t="s">
        <v>2507</v>
      </c>
      <c r="B989" s="7" t="s">
        <v>137</v>
      </c>
      <c r="C989" s="20" t="n">
        <v>46171</v>
      </c>
      <c r="D989" s="20" t="n">
        <v>46188</v>
      </c>
      <c r="E989" s="20"/>
      <c r="F989" s="7" t="s">
        <v>759</v>
      </c>
      <c r="G989" s="7" t="s">
        <v>149</v>
      </c>
      <c r="H989" s="7" t="s">
        <v>273</v>
      </c>
      <c r="I989" s="7" t="s">
        <v>274</v>
      </c>
      <c r="J989" s="7" t="s">
        <v>221</v>
      </c>
      <c r="K989" s="7" t="s">
        <v>270</v>
      </c>
      <c r="L989" s="7" t="s">
        <v>554</v>
      </c>
      <c r="M989" s="7" t="s">
        <v>541</v>
      </c>
      <c r="N989" s="16"/>
      <c r="O989" s="7"/>
      <c r="P989" s="22"/>
      <c r="Q989" s="8" t="n">
        <v>118.19</v>
      </c>
      <c r="R989" s="8" t="n">
        <v>-118.19</v>
      </c>
      <c r="S989" s="7" t="s">
        <v>789</v>
      </c>
      <c r="T989" s="7"/>
      <c r="U989" s="7"/>
      <c r="V989" s="20"/>
      <c r="W989" s="7"/>
      <c r="X989" s="7"/>
      <c r="Y989" s="7"/>
      <c r="Z989" s="7"/>
      <c r="AA989" s="23" t="n">
        <f aca="false">YEAR(C989)</f>
        <v>2026</v>
      </c>
    </row>
    <row r="990" customFormat="false" ht="15" hidden="false" customHeight="false" outlineLevel="0" collapsed="false">
      <c r="A990" s="7" t="s">
        <v>2508</v>
      </c>
      <c r="B990" s="7" t="s">
        <v>137</v>
      </c>
      <c r="C990" s="20" t="n">
        <v>46173</v>
      </c>
      <c r="D990" s="20" t="n">
        <v>46173</v>
      </c>
      <c r="E990" s="20"/>
      <c r="F990" s="7" t="s">
        <v>759</v>
      </c>
      <c r="G990" s="7" t="s">
        <v>153</v>
      </c>
      <c r="H990" s="7" t="s">
        <v>246</v>
      </c>
      <c r="I990" s="7" t="s">
        <v>247</v>
      </c>
      <c r="J990" s="7" t="s">
        <v>236</v>
      </c>
      <c r="K990" s="7" t="s">
        <v>189</v>
      </c>
      <c r="L990" s="7" t="s">
        <v>2341</v>
      </c>
      <c r="M990" s="7" t="s">
        <v>556</v>
      </c>
      <c r="N990" s="16"/>
      <c r="O990" s="7"/>
      <c r="P990" s="22"/>
      <c r="Q990" s="8" t="n">
        <v>1174.6</v>
      </c>
      <c r="R990" s="8" t="n">
        <v>-1174.6</v>
      </c>
      <c r="S990" s="7" t="s">
        <v>775</v>
      </c>
      <c r="T990" s="7"/>
      <c r="U990" s="7"/>
      <c r="V990" s="20"/>
      <c r="W990" s="7"/>
      <c r="X990" s="7" t="s">
        <v>784</v>
      </c>
      <c r="Y990" s="7"/>
      <c r="Z990" s="7"/>
      <c r="AA990" s="23" t="n">
        <f aca="false">YEAR(C990)</f>
        <v>2026</v>
      </c>
    </row>
    <row r="991" customFormat="false" ht="15" hidden="false" customHeight="false" outlineLevel="0" collapsed="false">
      <c r="A991" s="7" t="s">
        <v>2509</v>
      </c>
      <c r="B991" s="7" t="s">
        <v>137</v>
      </c>
      <c r="C991" s="20" t="n">
        <v>46174</v>
      </c>
      <c r="D991" s="20" t="n">
        <v>46174</v>
      </c>
      <c r="E991" s="20"/>
      <c r="F991" s="7" t="s">
        <v>759</v>
      </c>
      <c r="G991" s="7" t="s">
        <v>153</v>
      </c>
      <c r="H991" s="7" t="s">
        <v>545</v>
      </c>
      <c r="I991" s="7" t="s">
        <v>760</v>
      </c>
      <c r="J991" s="7" t="s">
        <v>761</v>
      </c>
      <c r="K991" s="7" t="s">
        <v>762</v>
      </c>
      <c r="L991" s="7" t="s">
        <v>546</v>
      </c>
      <c r="M991" s="7"/>
      <c r="N991" s="16"/>
      <c r="O991" s="7"/>
      <c r="P991" s="22"/>
      <c r="Q991" s="8" t="n">
        <v>4200</v>
      </c>
      <c r="R991" s="8" t="n">
        <v>-4200</v>
      </c>
      <c r="S991" s="7" t="s">
        <v>763</v>
      </c>
      <c r="T991" s="7"/>
      <c r="U991" s="7"/>
      <c r="V991" s="20"/>
      <c r="W991" s="7"/>
      <c r="X991" s="7"/>
      <c r="Y991" s="7"/>
      <c r="Z991" s="7"/>
      <c r="AA991" s="23" t="n">
        <f aca="false">YEAR(C991)</f>
        <v>2026</v>
      </c>
    </row>
    <row r="992" customFormat="false" ht="15" hidden="false" customHeight="false" outlineLevel="0" collapsed="false">
      <c r="A992" s="7" t="s">
        <v>2510</v>
      </c>
      <c r="B992" s="7" t="s">
        <v>137</v>
      </c>
      <c r="C992" s="20" t="n">
        <v>46179</v>
      </c>
      <c r="D992" s="20" t="n">
        <v>46209</v>
      </c>
      <c r="E992" s="20"/>
      <c r="F992" s="7" t="s">
        <v>759</v>
      </c>
      <c r="G992" s="7" t="s">
        <v>141</v>
      </c>
      <c r="H992" s="7" t="s">
        <v>264</v>
      </c>
      <c r="I992" s="7" t="s">
        <v>263</v>
      </c>
      <c r="J992" s="7" t="s">
        <v>221</v>
      </c>
      <c r="K992" s="7" t="s">
        <v>263</v>
      </c>
      <c r="L992" s="7" t="s">
        <v>927</v>
      </c>
      <c r="M992" s="7" t="s">
        <v>563</v>
      </c>
      <c r="N992" s="16"/>
      <c r="O992" s="7"/>
      <c r="P992" s="22"/>
      <c r="Q992" s="8" t="n">
        <v>1935</v>
      </c>
      <c r="R992" s="8" t="n">
        <v>-1935</v>
      </c>
      <c r="S992" s="7" t="s">
        <v>751</v>
      </c>
      <c r="T992" s="7"/>
      <c r="U992" s="7" t="s">
        <v>2511</v>
      </c>
      <c r="V992" s="20" t="n">
        <v>46209</v>
      </c>
      <c r="W992" s="7"/>
      <c r="X992" s="7"/>
      <c r="Y992" s="7" t="s">
        <v>714</v>
      </c>
      <c r="Z992" s="7"/>
      <c r="AA992" s="23" t="n">
        <f aca="false">YEAR(C992)</f>
        <v>2026</v>
      </c>
    </row>
    <row r="993" customFormat="false" ht="15" hidden="false" customHeight="false" outlineLevel="0" collapsed="false">
      <c r="A993" s="7" t="s">
        <v>2512</v>
      </c>
      <c r="B993" s="7" t="s">
        <v>137</v>
      </c>
      <c r="C993" s="20" t="n">
        <v>46179</v>
      </c>
      <c r="D993" s="20" t="n">
        <v>46209</v>
      </c>
      <c r="E993" s="20"/>
      <c r="F993" s="7" t="s">
        <v>759</v>
      </c>
      <c r="G993" s="7" t="s">
        <v>149</v>
      </c>
      <c r="H993" s="7" t="s">
        <v>261</v>
      </c>
      <c r="I993" s="7" t="s">
        <v>262</v>
      </c>
      <c r="J993" s="7" t="s">
        <v>221</v>
      </c>
      <c r="K993" s="7" t="s">
        <v>260</v>
      </c>
      <c r="L993" s="7" t="s">
        <v>936</v>
      </c>
      <c r="M993" s="7" t="s">
        <v>538</v>
      </c>
      <c r="N993" s="16"/>
      <c r="O993" s="7"/>
      <c r="P993" s="22"/>
      <c r="Q993" s="8" t="n">
        <v>4798.08</v>
      </c>
      <c r="R993" s="8" t="n">
        <v>-4798.08</v>
      </c>
      <c r="S993" s="7" t="s">
        <v>751</v>
      </c>
      <c r="T993" s="7"/>
      <c r="U993" s="7" t="s">
        <v>2513</v>
      </c>
      <c r="V993" s="20" t="n">
        <v>46209</v>
      </c>
      <c r="W993" s="7" t="s">
        <v>938</v>
      </c>
      <c r="X993" s="7"/>
      <c r="Y993" s="7"/>
      <c r="Z993" s="7"/>
      <c r="AA993" s="23" t="n">
        <f aca="false">YEAR(C993)</f>
        <v>2026</v>
      </c>
    </row>
    <row r="994" customFormat="false" ht="15" hidden="false" customHeight="false" outlineLevel="0" collapsed="false">
      <c r="A994" s="7" t="s">
        <v>2514</v>
      </c>
      <c r="B994" s="7" t="s">
        <v>137</v>
      </c>
      <c r="C994" s="20" t="n">
        <v>46181</v>
      </c>
      <c r="D994" s="20" t="n">
        <v>46225</v>
      </c>
      <c r="E994" s="20"/>
      <c r="F994" s="7" t="s">
        <v>759</v>
      </c>
      <c r="G994" s="7" t="s">
        <v>153</v>
      </c>
      <c r="H994" s="7" t="s">
        <v>244</v>
      </c>
      <c r="I994" s="7" t="s">
        <v>245</v>
      </c>
      <c r="J994" s="7" t="s">
        <v>229</v>
      </c>
      <c r="K994" s="7" t="s">
        <v>233</v>
      </c>
      <c r="L994" s="7" t="s">
        <v>570</v>
      </c>
      <c r="M994" s="7"/>
      <c r="N994" s="16"/>
      <c r="O994" s="7"/>
      <c r="P994" s="22"/>
      <c r="Q994" s="8" t="n">
        <v>165</v>
      </c>
      <c r="R994" s="8" t="n">
        <v>-165</v>
      </c>
      <c r="S994" s="7" t="s">
        <v>765</v>
      </c>
      <c r="T994" s="7"/>
      <c r="U994" s="7"/>
      <c r="V994" s="20"/>
      <c r="W994" s="7"/>
      <c r="X994" s="7"/>
      <c r="Y994" s="7"/>
      <c r="Z994" s="7"/>
      <c r="AA994" s="23" t="n">
        <f aca="false">YEAR(C994)</f>
        <v>2026</v>
      </c>
    </row>
    <row r="995" customFormat="false" ht="15" hidden="false" customHeight="false" outlineLevel="0" collapsed="false">
      <c r="A995" s="7" t="s">
        <v>2515</v>
      </c>
      <c r="B995" s="7" t="s">
        <v>137</v>
      </c>
      <c r="C995" s="20" t="n">
        <v>46183</v>
      </c>
      <c r="D995" s="20" t="n">
        <v>46183</v>
      </c>
      <c r="E995" s="20"/>
      <c r="F995" s="7" t="s">
        <v>759</v>
      </c>
      <c r="G995" s="7" t="s">
        <v>153</v>
      </c>
      <c r="H995" s="7" t="s">
        <v>237</v>
      </c>
      <c r="I995" s="7" t="s">
        <v>238</v>
      </c>
      <c r="J995" s="7" t="s">
        <v>236</v>
      </c>
      <c r="K995" s="7" t="s">
        <v>189</v>
      </c>
      <c r="L995" s="7" t="s">
        <v>2516</v>
      </c>
      <c r="M995" s="7" t="s">
        <v>768</v>
      </c>
      <c r="N995" s="16"/>
      <c r="O995" s="7"/>
      <c r="P995" s="22"/>
      <c r="Q995" s="8" t="n">
        <v>2.74</v>
      </c>
      <c r="R995" s="8" t="n">
        <v>-2.74</v>
      </c>
      <c r="S995" s="7" t="s">
        <v>744</v>
      </c>
      <c r="T995" s="7"/>
      <c r="U995" s="7"/>
      <c r="V995" s="20"/>
      <c r="W995" s="7"/>
      <c r="X995" s="7" t="s">
        <v>769</v>
      </c>
      <c r="Y995" s="7"/>
      <c r="Z995" s="7"/>
      <c r="AA995" s="23" t="n">
        <f aca="false">YEAR(C995)</f>
        <v>2026</v>
      </c>
    </row>
    <row r="996" customFormat="false" ht="15" hidden="false" customHeight="false" outlineLevel="0" collapsed="false">
      <c r="A996" s="7" t="s">
        <v>2517</v>
      </c>
      <c r="B996" s="7" t="s">
        <v>137</v>
      </c>
      <c r="C996" s="20" t="n">
        <v>46183</v>
      </c>
      <c r="D996" s="20" t="n">
        <v>46183</v>
      </c>
      <c r="E996" s="20"/>
      <c r="F996" s="7" t="s">
        <v>759</v>
      </c>
      <c r="G996" s="7" t="s">
        <v>153</v>
      </c>
      <c r="H996" s="7" t="s">
        <v>559</v>
      </c>
      <c r="I996" s="7" t="s">
        <v>771</v>
      </c>
      <c r="J996" s="7" t="s">
        <v>761</v>
      </c>
      <c r="K996" s="7" t="s">
        <v>772</v>
      </c>
      <c r="L996" s="7" t="s">
        <v>2518</v>
      </c>
      <c r="M996" s="7" t="s">
        <v>768</v>
      </c>
      <c r="N996" s="16"/>
      <c r="O996" s="7"/>
      <c r="P996" s="22"/>
      <c r="Q996" s="8" t="n">
        <v>842.03</v>
      </c>
      <c r="R996" s="8" t="n">
        <v>-842.03</v>
      </c>
      <c r="S996" s="7" t="s">
        <v>744</v>
      </c>
      <c r="T996" s="7"/>
      <c r="U996" s="7"/>
      <c r="V996" s="20"/>
      <c r="W996" s="7"/>
      <c r="X996" s="7" t="s">
        <v>769</v>
      </c>
      <c r="Y996" s="7"/>
      <c r="Z996" s="7"/>
      <c r="AA996" s="23" t="n">
        <f aca="false">YEAR(C996)</f>
        <v>2026</v>
      </c>
    </row>
    <row r="997" customFormat="false" ht="15" hidden="false" customHeight="false" outlineLevel="0" collapsed="false">
      <c r="A997" s="7" t="s">
        <v>2519</v>
      </c>
      <c r="B997" s="7" t="s">
        <v>137</v>
      </c>
      <c r="C997" s="20" t="n">
        <v>46183</v>
      </c>
      <c r="D997" s="20" t="n">
        <v>46183</v>
      </c>
      <c r="E997" s="20"/>
      <c r="F997" s="7" t="s">
        <v>759</v>
      </c>
      <c r="G997" s="7" t="s">
        <v>153</v>
      </c>
      <c r="H997" s="7" t="s">
        <v>561</v>
      </c>
      <c r="I997" s="7" t="s">
        <v>363</v>
      </c>
      <c r="J997" s="7" t="s">
        <v>761</v>
      </c>
      <c r="K997" s="7" t="s">
        <v>772</v>
      </c>
      <c r="L997" s="7" t="s">
        <v>562</v>
      </c>
      <c r="M997" s="7" t="s">
        <v>556</v>
      </c>
      <c r="N997" s="16"/>
      <c r="O997" s="7"/>
      <c r="P997" s="22"/>
      <c r="Q997" s="8" t="n">
        <v>13000</v>
      </c>
      <c r="R997" s="8" t="n">
        <v>13000</v>
      </c>
      <c r="S997" s="7" t="s">
        <v>783</v>
      </c>
      <c r="T997" s="7"/>
      <c r="U997" s="7"/>
      <c r="V997" s="20"/>
      <c r="W997" s="7"/>
      <c r="X997" s="7" t="s">
        <v>784</v>
      </c>
      <c r="Y997" s="7"/>
      <c r="Z997" s="7"/>
      <c r="AA997" s="23" t="n">
        <f aca="false">YEAR(C997)</f>
        <v>2026</v>
      </c>
    </row>
    <row r="998" customFormat="false" ht="15" hidden="false" customHeight="false" outlineLevel="0" collapsed="false">
      <c r="A998" s="7" t="s">
        <v>2520</v>
      </c>
      <c r="B998" s="7" t="s">
        <v>137</v>
      </c>
      <c r="C998" s="20" t="n">
        <v>46184</v>
      </c>
      <c r="D998" s="20" t="n">
        <v>46225</v>
      </c>
      <c r="E998" s="20"/>
      <c r="F998" s="7" t="s">
        <v>759</v>
      </c>
      <c r="G998" s="7" t="s">
        <v>149</v>
      </c>
      <c r="H998" s="7" t="s">
        <v>284</v>
      </c>
      <c r="I998" s="7" t="s">
        <v>285</v>
      </c>
      <c r="J998" s="7" t="s">
        <v>221</v>
      </c>
      <c r="K998" s="7" t="s">
        <v>283</v>
      </c>
      <c r="L998" s="7" t="s">
        <v>949</v>
      </c>
      <c r="M998" s="7"/>
      <c r="N998" s="16"/>
      <c r="O998" s="7"/>
      <c r="P998" s="22"/>
      <c r="Q998" s="8" t="n">
        <v>2300</v>
      </c>
      <c r="R998" s="8" t="n">
        <v>-2300</v>
      </c>
      <c r="S998" s="7" t="s">
        <v>765</v>
      </c>
      <c r="T998" s="7"/>
      <c r="U998" s="7"/>
      <c r="V998" s="20"/>
      <c r="W998" s="7"/>
      <c r="X998" s="7"/>
      <c r="Y998" s="7"/>
      <c r="Z998" s="7"/>
      <c r="AA998" s="23" t="n">
        <f aca="false">YEAR(C998)</f>
        <v>2026</v>
      </c>
    </row>
    <row r="999" customFormat="false" ht="15" hidden="false" customHeight="false" outlineLevel="0" collapsed="false">
      <c r="A999" s="7" t="s">
        <v>2521</v>
      </c>
      <c r="B999" s="7" t="s">
        <v>137</v>
      </c>
      <c r="C999" s="20" t="n">
        <v>46185</v>
      </c>
      <c r="D999" s="20" t="n">
        <v>46185</v>
      </c>
      <c r="E999" s="20"/>
      <c r="F999" s="7" t="s">
        <v>759</v>
      </c>
      <c r="G999" s="7" t="s">
        <v>149</v>
      </c>
      <c r="H999" s="7" t="s">
        <v>271</v>
      </c>
      <c r="I999" s="7" t="s">
        <v>272</v>
      </c>
      <c r="J999" s="7" t="s">
        <v>221</v>
      </c>
      <c r="K999" s="7" t="s">
        <v>270</v>
      </c>
      <c r="L999" s="7" t="s">
        <v>2522</v>
      </c>
      <c r="M999" s="7" t="s">
        <v>541</v>
      </c>
      <c r="N999" s="16"/>
      <c r="O999" s="7"/>
      <c r="P999" s="22"/>
      <c r="Q999" s="8" t="n">
        <v>1320.38</v>
      </c>
      <c r="R999" s="8" t="n">
        <v>-1320.38</v>
      </c>
      <c r="S999" s="7" t="s">
        <v>744</v>
      </c>
      <c r="T999" s="7"/>
      <c r="U999" s="7"/>
      <c r="V999" s="20"/>
      <c r="W999" s="7"/>
      <c r="X999" s="7"/>
      <c r="Y999" s="7"/>
      <c r="Z999" s="7"/>
      <c r="AA999" s="23" t="n">
        <f aca="false">YEAR(C999)</f>
        <v>2026</v>
      </c>
    </row>
    <row r="1000" customFormat="false" ht="15" hidden="false" customHeight="false" outlineLevel="0" collapsed="false">
      <c r="A1000" s="7" t="s">
        <v>2523</v>
      </c>
      <c r="B1000" s="7" t="s">
        <v>137</v>
      </c>
      <c r="C1000" s="20" t="n">
        <v>46185</v>
      </c>
      <c r="D1000" s="20" t="n">
        <v>46185</v>
      </c>
      <c r="E1000" s="20"/>
      <c r="F1000" s="7" t="s">
        <v>759</v>
      </c>
      <c r="G1000" s="7" t="s">
        <v>153</v>
      </c>
      <c r="H1000" s="7" t="s">
        <v>271</v>
      </c>
      <c r="I1000" s="7" t="s">
        <v>272</v>
      </c>
      <c r="J1000" s="7" t="s">
        <v>221</v>
      </c>
      <c r="K1000" s="7" t="s">
        <v>270</v>
      </c>
      <c r="L1000" s="7" t="s">
        <v>544</v>
      </c>
      <c r="M1000" s="7" t="s">
        <v>541</v>
      </c>
      <c r="N1000" s="16"/>
      <c r="O1000" s="7"/>
      <c r="P1000" s="22"/>
      <c r="Q1000" s="8" t="n">
        <v>880.25</v>
      </c>
      <c r="R1000" s="8" t="n">
        <v>-880.25</v>
      </c>
      <c r="S1000" s="7" t="s">
        <v>744</v>
      </c>
      <c r="T1000" s="7"/>
      <c r="U1000" s="7"/>
      <c r="V1000" s="20"/>
      <c r="W1000" s="7"/>
      <c r="X1000" s="7"/>
      <c r="Y1000" s="7"/>
      <c r="Z1000" s="7"/>
      <c r="AA1000" s="23" t="n">
        <f aca="false">YEAR(C1000)</f>
        <v>2026</v>
      </c>
    </row>
    <row r="1001" customFormat="false" ht="15" hidden="false" customHeight="false" outlineLevel="0" collapsed="false">
      <c r="A1001" s="7" t="s">
        <v>2524</v>
      </c>
      <c r="B1001" s="7" t="s">
        <v>137</v>
      </c>
      <c r="C1001" s="20" t="n">
        <v>46185</v>
      </c>
      <c r="D1001" s="20" t="n">
        <v>46185</v>
      </c>
      <c r="E1001" s="20"/>
      <c r="F1001" s="7" t="s">
        <v>759</v>
      </c>
      <c r="G1001" s="7" t="s">
        <v>153</v>
      </c>
      <c r="H1001" s="7" t="s">
        <v>240</v>
      </c>
      <c r="I1001" s="7" t="s">
        <v>239</v>
      </c>
      <c r="J1001" s="7" t="s">
        <v>229</v>
      </c>
      <c r="K1001" s="7" t="s">
        <v>239</v>
      </c>
      <c r="L1001" s="7" t="s">
        <v>548</v>
      </c>
      <c r="M1001" s="7" t="s">
        <v>547</v>
      </c>
      <c r="N1001" s="16"/>
      <c r="O1001" s="7"/>
      <c r="P1001" s="22"/>
      <c r="Q1001" s="8" t="n">
        <v>252.11</v>
      </c>
      <c r="R1001" s="8" t="n">
        <v>-252.11</v>
      </c>
      <c r="S1001" s="7" t="s">
        <v>775</v>
      </c>
      <c r="T1001" s="7"/>
      <c r="U1001" s="7"/>
      <c r="V1001" s="20"/>
      <c r="W1001" s="7"/>
      <c r="X1001" s="7"/>
      <c r="Y1001" s="7"/>
      <c r="Z1001" s="7"/>
      <c r="AA1001" s="23" t="n">
        <f aca="false">YEAR(C1001)</f>
        <v>2026</v>
      </c>
    </row>
    <row r="1002" customFormat="false" ht="15" hidden="false" customHeight="false" outlineLevel="0" collapsed="false">
      <c r="A1002" s="7" t="s">
        <v>2525</v>
      </c>
      <c r="B1002" s="7" t="s">
        <v>137</v>
      </c>
      <c r="C1002" s="20" t="n">
        <v>46185</v>
      </c>
      <c r="D1002" s="20" t="n">
        <v>46218</v>
      </c>
      <c r="E1002" s="20"/>
      <c r="F1002" s="7" t="s">
        <v>759</v>
      </c>
      <c r="G1002" s="7" t="s">
        <v>149</v>
      </c>
      <c r="H1002" s="7" t="s">
        <v>273</v>
      </c>
      <c r="I1002" s="7" t="s">
        <v>274</v>
      </c>
      <c r="J1002" s="7" t="s">
        <v>221</v>
      </c>
      <c r="K1002" s="7" t="s">
        <v>270</v>
      </c>
      <c r="L1002" s="7" t="s">
        <v>554</v>
      </c>
      <c r="M1002" s="7" t="s">
        <v>541</v>
      </c>
      <c r="N1002" s="16"/>
      <c r="O1002" s="7"/>
      <c r="P1002" s="22"/>
      <c r="Q1002" s="8" t="n">
        <v>193.66</v>
      </c>
      <c r="R1002" s="8" t="n">
        <v>-193.66</v>
      </c>
      <c r="S1002" s="7" t="s">
        <v>789</v>
      </c>
      <c r="T1002" s="7"/>
      <c r="U1002" s="7"/>
      <c r="V1002" s="20"/>
      <c r="W1002" s="7"/>
      <c r="X1002" s="7"/>
      <c r="Y1002" s="7"/>
      <c r="Z1002" s="7"/>
      <c r="AA1002" s="23" t="n">
        <f aca="false">YEAR(C1002)</f>
        <v>2026</v>
      </c>
    </row>
    <row r="1003" customFormat="false" ht="15" hidden="false" customHeight="false" outlineLevel="0" collapsed="false">
      <c r="A1003" s="7" t="s">
        <v>2526</v>
      </c>
      <c r="B1003" s="7" t="s">
        <v>137</v>
      </c>
      <c r="C1003" s="20" t="n">
        <v>46188</v>
      </c>
      <c r="D1003" s="20" t="n">
        <v>46188</v>
      </c>
      <c r="E1003" s="20"/>
      <c r="F1003" s="7" t="s">
        <v>759</v>
      </c>
      <c r="G1003" s="7" t="s">
        <v>153</v>
      </c>
      <c r="H1003" s="7" t="s">
        <v>786</v>
      </c>
      <c r="I1003" s="7" t="s">
        <v>787</v>
      </c>
      <c r="J1003" s="7" t="s">
        <v>761</v>
      </c>
      <c r="K1003" s="7" t="s">
        <v>762</v>
      </c>
      <c r="L1003" s="7" t="s">
        <v>788</v>
      </c>
      <c r="M1003" s="7"/>
      <c r="N1003" s="16"/>
      <c r="O1003" s="7"/>
      <c r="P1003" s="22"/>
      <c r="Q1003" s="8" t="n">
        <v>2500</v>
      </c>
      <c r="R1003" s="8" t="n">
        <v>-2500</v>
      </c>
      <c r="S1003" s="7" t="s">
        <v>789</v>
      </c>
      <c r="T1003" s="7"/>
      <c r="U1003" s="7"/>
      <c r="V1003" s="20"/>
      <c r="W1003" s="7"/>
      <c r="X1003" s="7"/>
      <c r="Y1003" s="7"/>
      <c r="Z1003" s="7"/>
      <c r="AA1003" s="23" t="n">
        <f aca="false">YEAR(C1003)</f>
        <v>2026</v>
      </c>
    </row>
    <row r="1004" customFormat="false" ht="15" hidden="false" customHeight="false" outlineLevel="0" collapsed="false">
      <c r="A1004" s="7" t="s">
        <v>2527</v>
      </c>
      <c r="B1004" s="7" t="s">
        <v>137</v>
      </c>
      <c r="C1004" s="20" t="n">
        <v>46189</v>
      </c>
      <c r="D1004" s="20" t="n">
        <v>46189</v>
      </c>
      <c r="E1004" s="20"/>
      <c r="F1004" s="7" t="s">
        <v>759</v>
      </c>
      <c r="G1004" s="7" t="s">
        <v>149</v>
      </c>
      <c r="H1004" s="7" t="s">
        <v>237</v>
      </c>
      <c r="I1004" s="7" t="s">
        <v>238</v>
      </c>
      <c r="J1004" s="7" t="s">
        <v>236</v>
      </c>
      <c r="K1004" s="7" t="s">
        <v>189</v>
      </c>
      <c r="L1004" s="7" t="s">
        <v>2528</v>
      </c>
      <c r="M1004" s="7" t="s">
        <v>556</v>
      </c>
      <c r="N1004" s="16"/>
      <c r="O1004" s="7"/>
      <c r="P1004" s="22"/>
      <c r="Q1004" s="8" t="n">
        <v>260.04</v>
      </c>
      <c r="R1004" s="8" t="n">
        <v>-260.04</v>
      </c>
      <c r="S1004" s="7" t="s">
        <v>744</v>
      </c>
      <c r="T1004" s="7"/>
      <c r="U1004" s="7"/>
      <c r="V1004" s="20"/>
      <c r="W1004" s="7"/>
      <c r="X1004" s="7" t="s">
        <v>1552</v>
      </c>
      <c r="Y1004" s="7"/>
      <c r="Z1004" s="7"/>
      <c r="AA1004" s="23" t="n">
        <f aca="false">YEAR(C1004)</f>
        <v>2026</v>
      </c>
    </row>
    <row r="1005" customFormat="false" ht="15" hidden="false" customHeight="false" outlineLevel="0" collapsed="false">
      <c r="A1005" s="7" t="s">
        <v>2529</v>
      </c>
      <c r="B1005" s="7" t="s">
        <v>137</v>
      </c>
      <c r="C1005" s="20" t="n">
        <v>46189</v>
      </c>
      <c r="D1005" s="20" t="n">
        <v>46189</v>
      </c>
      <c r="E1005" s="20"/>
      <c r="F1005" s="7" t="s">
        <v>759</v>
      </c>
      <c r="G1005" s="7" t="s">
        <v>149</v>
      </c>
      <c r="H1005" s="7" t="s">
        <v>559</v>
      </c>
      <c r="I1005" s="7" t="s">
        <v>771</v>
      </c>
      <c r="J1005" s="7" t="s">
        <v>761</v>
      </c>
      <c r="K1005" s="7" t="s">
        <v>772</v>
      </c>
      <c r="L1005" s="7" t="s">
        <v>2530</v>
      </c>
      <c r="M1005" s="7" t="s">
        <v>556</v>
      </c>
      <c r="N1005" s="16"/>
      <c r="O1005" s="7"/>
      <c r="P1005" s="22"/>
      <c r="Q1005" s="8" t="n">
        <v>1472.45</v>
      </c>
      <c r="R1005" s="8" t="n">
        <v>-1472.45</v>
      </c>
      <c r="S1005" s="7" t="s">
        <v>744</v>
      </c>
      <c r="T1005" s="7"/>
      <c r="U1005" s="7"/>
      <c r="V1005" s="20"/>
      <c r="W1005" s="7"/>
      <c r="X1005" s="7" t="s">
        <v>1552</v>
      </c>
      <c r="Y1005" s="7"/>
      <c r="Z1005" s="7"/>
      <c r="AA1005" s="23" t="n">
        <f aca="false">YEAR(C1005)</f>
        <v>2026</v>
      </c>
    </row>
    <row r="1006" customFormat="false" ht="15" hidden="false" customHeight="false" outlineLevel="0" collapsed="false">
      <c r="A1006" s="7" t="s">
        <v>2531</v>
      </c>
      <c r="B1006" s="7" t="s">
        <v>137</v>
      </c>
      <c r="C1006" s="20" t="n">
        <v>46194</v>
      </c>
      <c r="D1006" s="20" t="n">
        <v>46224</v>
      </c>
      <c r="E1006" s="20"/>
      <c r="F1006" s="7" t="s">
        <v>759</v>
      </c>
      <c r="G1006" s="7" t="s">
        <v>144</v>
      </c>
      <c r="H1006" s="7" t="s">
        <v>264</v>
      </c>
      <c r="I1006" s="7" t="s">
        <v>263</v>
      </c>
      <c r="J1006" s="7" t="s">
        <v>221</v>
      </c>
      <c r="K1006" s="7" t="s">
        <v>263</v>
      </c>
      <c r="L1006" s="7" t="s">
        <v>927</v>
      </c>
      <c r="M1006" s="7" t="s">
        <v>563</v>
      </c>
      <c r="N1006" s="16"/>
      <c r="O1006" s="7"/>
      <c r="P1006" s="22"/>
      <c r="Q1006" s="8" t="n">
        <v>2902.5</v>
      </c>
      <c r="R1006" s="8" t="n">
        <v>-2902.5</v>
      </c>
      <c r="S1006" s="7" t="s">
        <v>751</v>
      </c>
      <c r="T1006" s="7"/>
      <c r="U1006" s="7" t="s">
        <v>2532</v>
      </c>
      <c r="V1006" s="20" t="n">
        <v>46224</v>
      </c>
      <c r="W1006" s="7"/>
      <c r="X1006" s="7"/>
      <c r="Y1006" s="7" t="s">
        <v>715</v>
      </c>
      <c r="Z1006" s="7"/>
      <c r="AA1006" s="23" t="n">
        <f aca="false">YEAR(C1006)</f>
        <v>2026</v>
      </c>
    </row>
    <row r="1007" customFormat="false" ht="15" hidden="false" customHeight="false" outlineLevel="0" collapsed="false">
      <c r="A1007" s="7" t="s">
        <v>2533</v>
      </c>
      <c r="B1007" s="7" t="s">
        <v>137</v>
      </c>
      <c r="C1007" s="20" t="n">
        <v>46195</v>
      </c>
      <c r="D1007" s="20" t="n">
        <v>46195</v>
      </c>
      <c r="E1007" s="20"/>
      <c r="F1007" s="7" t="s">
        <v>759</v>
      </c>
      <c r="G1007" s="7" t="s">
        <v>153</v>
      </c>
      <c r="H1007" s="7" t="s">
        <v>561</v>
      </c>
      <c r="I1007" s="7" t="s">
        <v>363</v>
      </c>
      <c r="J1007" s="7" t="s">
        <v>761</v>
      </c>
      <c r="K1007" s="7" t="s">
        <v>772</v>
      </c>
      <c r="L1007" s="7" t="s">
        <v>562</v>
      </c>
      <c r="M1007" s="7" t="s">
        <v>556</v>
      </c>
      <c r="N1007" s="16"/>
      <c r="O1007" s="7"/>
      <c r="P1007" s="22"/>
      <c r="Q1007" s="8" t="n">
        <v>23000</v>
      </c>
      <c r="R1007" s="8" t="n">
        <v>23000</v>
      </c>
      <c r="S1007" s="7" t="s">
        <v>783</v>
      </c>
      <c r="T1007" s="7"/>
      <c r="U1007" s="7"/>
      <c r="V1007" s="20"/>
      <c r="W1007" s="7"/>
      <c r="X1007" s="7" t="s">
        <v>784</v>
      </c>
      <c r="Y1007" s="7"/>
      <c r="Z1007" s="7"/>
      <c r="AA1007" s="23" t="n">
        <f aca="false">YEAR(C1007)</f>
        <v>2026</v>
      </c>
    </row>
    <row r="1008" customFormat="false" ht="15" hidden="false" customHeight="false" outlineLevel="0" collapsed="false">
      <c r="A1008" s="7" t="s">
        <v>2534</v>
      </c>
      <c r="B1008" s="7" t="s">
        <v>137</v>
      </c>
      <c r="C1008" s="20" t="n">
        <v>46195</v>
      </c>
      <c r="D1008" s="20" t="n">
        <v>46225</v>
      </c>
      <c r="E1008" s="20"/>
      <c r="F1008" s="7" t="s">
        <v>759</v>
      </c>
      <c r="G1008" s="7" t="s">
        <v>146</v>
      </c>
      <c r="H1008" s="7" t="s">
        <v>268</v>
      </c>
      <c r="I1008" s="7" t="s">
        <v>269</v>
      </c>
      <c r="J1008" s="7" t="s">
        <v>221</v>
      </c>
      <c r="K1008" s="7" t="s">
        <v>267</v>
      </c>
      <c r="L1008" s="7" t="s">
        <v>978</v>
      </c>
      <c r="M1008" s="7" t="s">
        <v>563</v>
      </c>
      <c r="N1008" s="16"/>
      <c r="O1008" s="7"/>
      <c r="P1008" s="22"/>
      <c r="Q1008" s="8" t="n">
        <v>635.36</v>
      </c>
      <c r="R1008" s="8" t="n">
        <v>-635.36</v>
      </c>
      <c r="S1008" s="7" t="s">
        <v>751</v>
      </c>
      <c r="T1008" s="7"/>
      <c r="U1008" s="7" t="s">
        <v>2535</v>
      </c>
      <c r="V1008" s="20" t="n">
        <v>46225</v>
      </c>
      <c r="W1008" s="7"/>
      <c r="X1008" s="7"/>
      <c r="Y1008" s="7" t="s">
        <v>712</v>
      </c>
      <c r="Z1008" s="7"/>
      <c r="AA1008" s="23" t="n">
        <f aca="false">YEAR(C1008)</f>
        <v>2026</v>
      </c>
    </row>
    <row r="1009" customFormat="false" ht="15" hidden="false" customHeight="false" outlineLevel="0" collapsed="false">
      <c r="A1009" s="7" t="s">
        <v>2536</v>
      </c>
      <c r="B1009" s="7" t="s">
        <v>137</v>
      </c>
      <c r="C1009" s="20" t="n">
        <v>46197</v>
      </c>
      <c r="D1009" s="20" t="n">
        <v>46231</v>
      </c>
      <c r="E1009" s="20"/>
      <c r="F1009" s="7" t="s">
        <v>759</v>
      </c>
      <c r="G1009" s="7" t="s">
        <v>136</v>
      </c>
      <c r="H1009" s="7" t="s">
        <v>264</v>
      </c>
      <c r="I1009" s="7" t="s">
        <v>263</v>
      </c>
      <c r="J1009" s="7" t="s">
        <v>221</v>
      </c>
      <c r="K1009" s="7" t="s">
        <v>263</v>
      </c>
      <c r="L1009" s="7" t="s">
        <v>961</v>
      </c>
      <c r="M1009" s="7" t="s">
        <v>591</v>
      </c>
      <c r="N1009" s="16" t="n">
        <v>96</v>
      </c>
      <c r="O1009" s="7" t="s">
        <v>801</v>
      </c>
      <c r="P1009" s="22" t="n">
        <v>15.26</v>
      </c>
      <c r="Q1009" s="8" t="n">
        <v>1464.96</v>
      </c>
      <c r="R1009" s="8" t="n">
        <v>-1464.96</v>
      </c>
      <c r="S1009" s="7" t="s">
        <v>751</v>
      </c>
      <c r="T1009" s="7"/>
      <c r="U1009" s="7" t="s">
        <v>2537</v>
      </c>
      <c r="V1009" s="20" t="n">
        <v>46227</v>
      </c>
      <c r="W1009" s="7"/>
      <c r="X1009" s="7"/>
      <c r="Y1009" s="7" t="s">
        <v>723</v>
      </c>
      <c r="Z1009" s="7"/>
      <c r="AA1009" s="23" t="n">
        <f aca="false">YEAR(C1009)</f>
        <v>2026</v>
      </c>
    </row>
    <row r="1010" customFormat="false" ht="15" hidden="false" customHeight="false" outlineLevel="0" collapsed="false">
      <c r="A1010" s="7" t="s">
        <v>2538</v>
      </c>
      <c r="B1010" s="7" t="s">
        <v>137</v>
      </c>
      <c r="C1010" s="20" t="n">
        <v>46197</v>
      </c>
      <c r="D1010" s="20" t="n">
        <v>46231</v>
      </c>
      <c r="E1010" s="20"/>
      <c r="F1010" s="7" t="s">
        <v>759</v>
      </c>
      <c r="G1010" s="7" t="s">
        <v>136</v>
      </c>
      <c r="H1010" s="7" t="s">
        <v>223</v>
      </c>
      <c r="I1010" s="7" t="s">
        <v>224</v>
      </c>
      <c r="J1010" s="7" t="s">
        <v>221</v>
      </c>
      <c r="K1010" s="7" t="s">
        <v>222</v>
      </c>
      <c r="L1010" s="7" t="s">
        <v>964</v>
      </c>
      <c r="M1010" s="7" t="s">
        <v>589</v>
      </c>
      <c r="N1010" s="16" t="n">
        <v>96</v>
      </c>
      <c r="O1010" s="7" t="s">
        <v>801</v>
      </c>
      <c r="P1010" s="22" t="n">
        <v>9.81</v>
      </c>
      <c r="Q1010" s="8" t="n">
        <v>941.76</v>
      </c>
      <c r="R1010" s="8" t="n">
        <v>-941.76</v>
      </c>
      <c r="S1010" s="7" t="s">
        <v>751</v>
      </c>
      <c r="T1010" s="7"/>
      <c r="U1010" s="7" t="s">
        <v>2539</v>
      </c>
      <c r="V1010" s="20" t="n">
        <v>46227</v>
      </c>
      <c r="W1010" s="7"/>
      <c r="X1010" s="7"/>
      <c r="Y1010" s="7" t="s">
        <v>723</v>
      </c>
      <c r="Z1010" s="7"/>
      <c r="AA1010" s="23" t="n">
        <f aca="false">YEAR(C1010)</f>
        <v>2026</v>
      </c>
    </row>
    <row r="1011" customFormat="false" ht="15" hidden="false" customHeight="false" outlineLevel="0" collapsed="false">
      <c r="A1011" s="7" t="s">
        <v>2540</v>
      </c>
      <c r="B1011" s="7" t="s">
        <v>137</v>
      </c>
      <c r="C1011" s="20" t="n">
        <v>46198</v>
      </c>
      <c r="D1011" s="20" t="n">
        <v>46209</v>
      </c>
      <c r="E1011" s="20"/>
      <c r="F1011" s="7" t="s">
        <v>759</v>
      </c>
      <c r="G1011" s="7" t="s">
        <v>146</v>
      </c>
      <c r="H1011" s="7" t="s">
        <v>250</v>
      </c>
      <c r="I1011" s="7" t="s">
        <v>251</v>
      </c>
      <c r="J1011" s="7" t="s">
        <v>248</v>
      </c>
      <c r="K1011" s="7" t="s">
        <v>249</v>
      </c>
      <c r="L1011" s="7" t="s">
        <v>2541</v>
      </c>
      <c r="M1011" s="7" t="s">
        <v>626</v>
      </c>
      <c r="N1011" s="16" t="n">
        <v>2016</v>
      </c>
      <c r="O1011" s="7" t="s">
        <v>798</v>
      </c>
      <c r="P1011" s="22" t="n">
        <v>5.73</v>
      </c>
      <c r="Q1011" s="8" t="n">
        <v>11551.68</v>
      </c>
      <c r="R1011" s="8" t="n">
        <v>11551.68</v>
      </c>
      <c r="S1011" s="7" t="s">
        <v>33</v>
      </c>
      <c r="T1011" s="7" t="s">
        <v>2542</v>
      </c>
      <c r="U1011" s="7"/>
      <c r="V1011" s="20" t="n">
        <v>46198</v>
      </c>
      <c r="W1011" s="7"/>
      <c r="X1011" s="7"/>
      <c r="Y1011" s="7" t="s">
        <v>712</v>
      </c>
      <c r="Z1011" s="7"/>
      <c r="AA1011" s="23" t="n">
        <f aca="false">YEAR(C1011)</f>
        <v>2026</v>
      </c>
    </row>
    <row r="1012" customFormat="false" ht="15" hidden="false" customHeight="false" outlineLevel="0" collapsed="false">
      <c r="A1012" s="7" t="s">
        <v>2543</v>
      </c>
      <c r="B1012" s="7" t="s">
        <v>137</v>
      </c>
      <c r="C1012" s="20" t="n">
        <v>46198</v>
      </c>
      <c r="D1012" s="20" t="n">
        <v>46248</v>
      </c>
      <c r="E1012" s="20"/>
      <c r="F1012" s="7" t="s">
        <v>759</v>
      </c>
      <c r="G1012" s="7" t="s">
        <v>149</v>
      </c>
      <c r="H1012" s="7" t="s">
        <v>279</v>
      </c>
      <c r="I1012" s="7" t="s">
        <v>280</v>
      </c>
      <c r="J1012" s="7" t="s">
        <v>248</v>
      </c>
      <c r="K1012" s="7" t="s">
        <v>278</v>
      </c>
      <c r="L1012" s="7" t="s">
        <v>2544</v>
      </c>
      <c r="M1012" s="7" t="s">
        <v>614</v>
      </c>
      <c r="N1012" s="16" t="n">
        <v>91</v>
      </c>
      <c r="O1012" s="7" t="s">
        <v>801</v>
      </c>
      <c r="P1012" s="22" t="n">
        <v>43</v>
      </c>
      <c r="Q1012" s="8" t="n">
        <v>3913</v>
      </c>
      <c r="R1012" s="8" t="n">
        <v>3913</v>
      </c>
      <c r="S1012" s="7" t="s">
        <v>33</v>
      </c>
      <c r="T1012" s="7" t="s">
        <v>2545</v>
      </c>
      <c r="U1012" s="7"/>
      <c r="V1012" s="20" t="n">
        <v>46228</v>
      </c>
      <c r="W1012" s="7"/>
      <c r="X1012" s="7"/>
      <c r="Y1012" s="7"/>
      <c r="Z1012" s="7"/>
      <c r="AA1012" s="23" t="n">
        <f aca="false">YEAR(C1012)</f>
        <v>2026</v>
      </c>
    </row>
    <row r="1013" customFormat="false" ht="15" hidden="false" customHeight="false" outlineLevel="0" collapsed="false">
      <c r="A1013" s="7" t="s">
        <v>2546</v>
      </c>
      <c r="B1013" s="7" t="s">
        <v>137</v>
      </c>
      <c r="C1013" s="20" t="n">
        <v>46198</v>
      </c>
      <c r="D1013" s="20" t="n">
        <v>46248</v>
      </c>
      <c r="E1013" s="20"/>
      <c r="F1013" s="7" t="s">
        <v>759</v>
      </c>
      <c r="G1013" s="7" t="s">
        <v>149</v>
      </c>
      <c r="H1013" s="7" t="s">
        <v>281</v>
      </c>
      <c r="I1013" s="7" t="s">
        <v>282</v>
      </c>
      <c r="J1013" s="7" t="s">
        <v>248</v>
      </c>
      <c r="K1013" s="7" t="s">
        <v>278</v>
      </c>
      <c r="L1013" s="7" t="s">
        <v>2547</v>
      </c>
      <c r="M1013" s="7" t="s">
        <v>614</v>
      </c>
      <c r="N1013" s="16" t="n">
        <v>2389</v>
      </c>
      <c r="O1013" s="7" t="s">
        <v>798</v>
      </c>
      <c r="P1013" s="22" t="n">
        <v>0.21</v>
      </c>
      <c r="Q1013" s="8" t="n">
        <v>501.64</v>
      </c>
      <c r="R1013" s="8" t="n">
        <v>501.64</v>
      </c>
      <c r="S1013" s="7" t="s">
        <v>33</v>
      </c>
      <c r="T1013" s="7" t="s">
        <v>2545</v>
      </c>
      <c r="U1013" s="7"/>
      <c r="V1013" s="20" t="n">
        <v>46228</v>
      </c>
      <c r="W1013" s="7"/>
      <c r="X1013" s="7"/>
      <c r="Y1013" s="7"/>
      <c r="Z1013" s="7"/>
      <c r="AA1013" s="23" t="n">
        <f aca="false">YEAR(C1013)</f>
        <v>2026</v>
      </c>
    </row>
    <row r="1014" customFormat="false" ht="15" hidden="false" customHeight="false" outlineLevel="0" collapsed="false">
      <c r="A1014" s="7" t="s">
        <v>2548</v>
      </c>
      <c r="B1014" s="7" t="s">
        <v>137</v>
      </c>
      <c r="C1014" s="20" t="n">
        <v>46199</v>
      </c>
      <c r="D1014" s="20" t="n">
        <v>46199</v>
      </c>
      <c r="E1014" s="20"/>
      <c r="F1014" s="7" t="s">
        <v>759</v>
      </c>
      <c r="G1014" s="7" t="s">
        <v>149</v>
      </c>
      <c r="H1014" s="7" t="s">
        <v>271</v>
      </c>
      <c r="I1014" s="7" t="s">
        <v>272</v>
      </c>
      <c r="J1014" s="7" t="s">
        <v>221</v>
      </c>
      <c r="K1014" s="7" t="s">
        <v>270</v>
      </c>
      <c r="L1014" s="7" t="s">
        <v>2549</v>
      </c>
      <c r="M1014" s="7" t="s">
        <v>541</v>
      </c>
      <c r="N1014" s="16"/>
      <c r="O1014" s="7"/>
      <c r="P1014" s="22"/>
      <c r="Q1014" s="8" t="n">
        <v>1480.77</v>
      </c>
      <c r="R1014" s="8" t="n">
        <v>-1480.77</v>
      </c>
      <c r="S1014" s="7" t="s">
        <v>744</v>
      </c>
      <c r="T1014" s="7"/>
      <c r="U1014" s="7"/>
      <c r="V1014" s="20"/>
      <c r="W1014" s="7"/>
      <c r="X1014" s="7"/>
      <c r="Y1014" s="7"/>
      <c r="Z1014" s="7"/>
      <c r="AA1014" s="23" t="n">
        <f aca="false">YEAR(C1014)</f>
        <v>2026</v>
      </c>
    </row>
    <row r="1015" customFormat="false" ht="15" hidden="false" customHeight="false" outlineLevel="0" collapsed="false">
      <c r="A1015" s="7" t="s">
        <v>2550</v>
      </c>
      <c r="B1015" s="7" t="s">
        <v>137</v>
      </c>
      <c r="C1015" s="20" t="n">
        <v>46199</v>
      </c>
      <c r="D1015" s="20" t="n">
        <v>46199</v>
      </c>
      <c r="E1015" s="20"/>
      <c r="F1015" s="7" t="s">
        <v>759</v>
      </c>
      <c r="G1015" s="7" t="s">
        <v>153</v>
      </c>
      <c r="H1015" s="7" t="s">
        <v>271</v>
      </c>
      <c r="I1015" s="7" t="s">
        <v>272</v>
      </c>
      <c r="J1015" s="7" t="s">
        <v>221</v>
      </c>
      <c r="K1015" s="7" t="s">
        <v>270</v>
      </c>
      <c r="L1015" s="7" t="s">
        <v>544</v>
      </c>
      <c r="M1015" s="7" t="s">
        <v>541</v>
      </c>
      <c r="N1015" s="16"/>
      <c r="O1015" s="7"/>
      <c r="P1015" s="22"/>
      <c r="Q1015" s="8" t="n">
        <v>987.18</v>
      </c>
      <c r="R1015" s="8" t="n">
        <v>-987.18</v>
      </c>
      <c r="S1015" s="7" t="s">
        <v>744</v>
      </c>
      <c r="T1015" s="7"/>
      <c r="U1015" s="7"/>
      <c r="V1015" s="20"/>
      <c r="W1015" s="7"/>
      <c r="X1015" s="7"/>
      <c r="Y1015" s="7"/>
      <c r="Z1015" s="7"/>
      <c r="AA1015" s="23" t="n">
        <f aca="false">YEAR(C1015)</f>
        <v>2026</v>
      </c>
    </row>
    <row r="1016" customFormat="false" ht="15" hidden="false" customHeight="false" outlineLevel="0" collapsed="false">
      <c r="A1016" s="7" t="s">
        <v>2551</v>
      </c>
      <c r="B1016" s="7" t="s">
        <v>137</v>
      </c>
      <c r="C1016" s="20" t="n">
        <v>46199</v>
      </c>
      <c r="D1016" s="20" t="n">
        <v>46218</v>
      </c>
      <c r="E1016" s="20"/>
      <c r="F1016" s="7" t="s">
        <v>759</v>
      </c>
      <c r="G1016" s="7" t="s">
        <v>149</v>
      </c>
      <c r="H1016" s="7" t="s">
        <v>273</v>
      </c>
      <c r="I1016" s="7" t="s">
        <v>274</v>
      </c>
      <c r="J1016" s="7" t="s">
        <v>221</v>
      </c>
      <c r="K1016" s="7" t="s">
        <v>270</v>
      </c>
      <c r="L1016" s="7" t="s">
        <v>554</v>
      </c>
      <c r="M1016" s="7" t="s">
        <v>541</v>
      </c>
      <c r="N1016" s="16"/>
      <c r="O1016" s="7"/>
      <c r="P1016" s="22"/>
      <c r="Q1016" s="8" t="n">
        <v>217.18</v>
      </c>
      <c r="R1016" s="8" t="n">
        <v>-217.18</v>
      </c>
      <c r="S1016" s="7" t="s">
        <v>789</v>
      </c>
      <c r="T1016" s="7"/>
      <c r="U1016" s="7"/>
      <c r="V1016" s="20"/>
      <c r="W1016" s="7"/>
      <c r="X1016" s="7"/>
      <c r="Y1016" s="7"/>
      <c r="Z1016" s="7"/>
      <c r="AA1016" s="23" t="n">
        <f aca="false">YEAR(C1016)</f>
        <v>2026</v>
      </c>
    </row>
    <row r="1017" customFormat="false" ht="15" hidden="false" customHeight="false" outlineLevel="0" collapsed="false">
      <c r="A1017" s="7" t="s">
        <v>2552</v>
      </c>
      <c r="B1017" s="7" t="s">
        <v>137</v>
      </c>
      <c r="C1017" s="20" t="n">
        <v>46199</v>
      </c>
      <c r="D1017" s="20" t="n">
        <v>46225</v>
      </c>
      <c r="E1017" s="20"/>
      <c r="F1017" s="7" t="s">
        <v>759</v>
      </c>
      <c r="G1017" s="7" t="s">
        <v>153</v>
      </c>
      <c r="H1017" s="7" t="s">
        <v>242</v>
      </c>
      <c r="I1017" s="7" t="s">
        <v>243</v>
      </c>
      <c r="J1017" s="7" t="s">
        <v>229</v>
      </c>
      <c r="K1017" s="7" t="s">
        <v>241</v>
      </c>
      <c r="L1017" s="7" t="s">
        <v>571</v>
      </c>
      <c r="M1017" s="7"/>
      <c r="N1017" s="16"/>
      <c r="O1017" s="7"/>
      <c r="P1017" s="22"/>
      <c r="Q1017" s="8" t="n">
        <v>325.93</v>
      </c>
      <c r="R1017" s="8" t="n">
        <v>-325.93</v>
      </c>
      <c r="S1017" s="7" t="s">
        <v>765</v>
      </c>
      <c r="T1017" s="7"/>
      <c r="U1017" s="7"/>
      <c r="V1017" s="20"/>
      <c r="W1017" s="7"/>
      <c r="X1017" s="7"/>
      <c r="Y1017" s="7"/>
      <c r="Z1017" s="7"/>
      <c r="AA1017" s="23" t="n">
        <f aca="false">YEAR(C1017)</f>
        <v>2026</v>
      </c>
    </row>
    <row r="1018" customFormat="false" ht="15" hidden="false" customHeight="false" outlineLevel="0" collapsed="false">
      <c r="A1018" s="7" t="s">
        <v>2553</v>
      </c>
      <c r="B1018" s="7" t="s">
        <v>137</v>
      </c>
      <c r="C1018" s="20" t="n">
        <v>46200</v>
      </c>
      <c r="D1018" s="20" t="n">
        <v>46230</v>
      </c>
      <c r="E1018" s="20"/>
      <c r="F1018" s="7" t="s">
        <v>759</v>
      </c>
      <c r="G1018" s="7" t="s">
        <v>146</v>
      </c>
      <c r="H1018" s="7" t="s">
        <v>261</v>
      </c>
      <c r="I1018" s="7" t="s">
        <v>262</v>
      </c>
      <c r="J1018" s="7" t="s">
        <v>221</v>
      </c>
      <c r="K1018" s="7" t="s">
        <v>260</v>
      </c>
      <c r="L1018" s="7" t="s">
        <v>1006</v>
      </c>
      <c r="M1018" s="7" t="s">
        <v>538</v>
      </c>
      <c r="N1018" s="16"/>
      <c r="O1018" s="7"/>
      <c r="P1018" s="22"/>
      <c r="Q1018" s="8" t="n">
        <v>1395.2</v>
      </c>
      <c r="R1018" s="8" t="n">
        <v>-1395.2</v>
      </c>
      <c r="S1018" s="7" t="s">
        <v>751</v>
      </c>
      <c r="T1018" s="7"/>
      <c r="U1018" s="7" t="s">
        <v>2554</v>
      </c>
      <c r="V1018" s="20" t="n">
        <v>46230</v>
      </c>
      <c r="W1018" s="7"/>
      <c r="X1018" s="7"/>
      <c r="Y1018" s="7" t="s">
        <v>712</v>
      </c>
      <c r="Z1018" s="7"/>
      <c r="AA1018" s="23" t="n">
        <f aca="false">YEAR(C1018)</f>
        <v>2026</v>
      </c>
    </row>
    <row r="1019" customFormat="false" ht="15" hidden="false" customHeight="false" outlineLevel="0" collapsed="false">
      <c r="A1019" s="7" t="s">
        <v>2555</v>
      </c>
      <c r="B1019" s="7" t="s">
        <v>137</v>
      </c>
      <c r="C1019" s="20" t="n">
        <v>46201</v>
      </c>
      <c r="D1019" s="20" t="n">
        <v>46237</v>
      </c>
      <c r="E1019" s="20"/>
      <c r="F1019" s="7" t="s">
        <v>759</v>
      </c>
      <c r="G1019" s="7" t="s">
        <v>149</v>
      </c>
      <c r="H1019" s="7" t="s">
        <v>279</v>
      </c>
      <c r="I1019" s="7" t="s">
        <v>280</v>
      </c>
      <c r="J1019" s="7" t="s">
        <v>248</v>
      </c>
      <c r="K1019" s="7" t="s">
        <v>278</v>
      </c>
      <c r="L1019" s="7" t="s">
        <v>2556</v>
      </c>
      <c r="M1019" s="7" t="s">
        <v>593</v>
      </c>
      <c r="N1019" s="16" t="n">
        <v>158</v>
      </c>
      <c r="O1019" s="7" t="s">
        <v>801</v>
      </c>
      <c r="P1019" s="22" t="n">
        <v>43</v>
      </c>
      <c r="Q1019" s="8" t="n">
        <v>6794</v>
      </c>
      <c r="R1019" s="8" t="n">
        <v>6794</v>
      </c>
      <c r="S1019" s="7" t="s">
        <v>33</v>
      </c>
      <c r="T1019" s="7" t="s">
        <v>2557</v>
      </c>
      <c r="U1019" s="7"/>
      <c r="V1019" s="20" t="n">
        <v>46231</v>
      </c>
      <c r="W1019" s="7"/>
      <c r="X1019" s="7"/>
      <c r="Y1019" s="7"/>
      <c r="Z1019" s="7"/>
      <c r="AA1019" s="23" t="n">
        <f aca="false">YEAR(C1019)</f>
        <v>2026</v>
      </c>
    </row>
    <row r="1020" customFormat="false" ht="15" hidden="false" customHeight="false" outlineLevel="0" collapsed="false">
      <c r="A1020" s="7" t="s">
        <v>2558</v>
      </c>
      <c r="B1020" s="7" t="s">
        <v>137</v>
      </c>
      <c r="C1020" s="20" t="n">
        <v>46201</v>
      </c>
      <c r="D1020" s="20" t="n">
        <v>46237</v>
      </c>
      <c r="E1020" s="20"/>
      <c r="F1020" s="7" t="s">
        <v>759</v>
      </c>
      <c r="G1020" s="7" t="s">
        <v>149</v>
      </c>
      <c r="H1020" s="7" t="s">
        <v>281</v>
      </c>
      <c r="I1020" s="7" t="s">
        <v>282</v>
      </c>
      <c r="J1020" s="7" t="s">
        <v>248</v>
      </c>
      <c r="K1020" s="7" t="s">
        <v>278</v>
      </c>
      <c r="L1020" s="7" t="s">
        <v>2559</v>
      </c>
      <c r="M1020" s="7" t="s">
        <v>593</v>
      </c>
      <c r="N1020" s="16" t="n">
        <v>4148</v>
      </c>
      <c r="O1020" s="7" t="s">
        <v>798</v>
      </c>
      <c r="P1020" s="22" t="n">
        <v>0.21</v>
      </c>
      <c r="Q1020" s="8" t="n">
        <v>870.98</v>
      </c>
      <c r="R1020" s="8" t="n">
        <v>870.98</v>
      </c>
      <c r="S1020" s="7" t="s">
        <v>33</v>
      </c>
      <c r="T1020" s="7" t="s">
        <v>2557</v>
      </c>
      <c r="U1020" s="7"/>
      <c r="V1020" s="20" t="n">
        <v>46231</v>
      </c>
      <c r="W1020" s="7"/>
      <c r="X1020" s="7"/>
      <c r="Y1020" s="7"/>
      <c r="Z1020" s="7"/>
      <c r="AA1020" s="23" t="n">
        <f aca="false">YEAR(C1020)</f>
        <v>2026</v>
      </c>
    </row>
    <row r="1021" customFormat="false" ht="15" hidden="false" customHeight="false" outlineLevel="0" collapsed="false">
      <c r="A1021" s="7" t="s">
        <v>2560</v>
      </c>
      <c r="B1021" s="7" t="s">
        <v>137</v>
      </c>
      <c r="C1021" s="20" t="n">
        <v>46202</v>
      </c>
      <c r="D1021" s="20" t="n">
        <v>46252</v>
      </c>
      <c r="E1021" s="20"/>
      <c r="F1021" s="7" t="s">
        <v>759</v>
      </c>
      <c r="G1021" s="7" t="s">
        <v>149</v>
      </c>
      <c r="H1021" s="7" t="s">
        <v>279</v>
      </c>
      <c r="I1021" s="7" t="s">
        <v>280</v>
      </c>
      <c r="J1021" s="7" t="s">
        <v>248</v>
      </c>
      <c r="K1021" s="7" t="s">
        <v>278</v>
      </c>
      <c r="L1021" s="7" t="s">
        <v>2561</v>
      </c>
      <c r="M1021" s="7" t="s">
        <v>583</v>
      </c>
      <c r="N1021" s="16" t="n">
        <v>297</v>
      </c>
      <c r="O1021" s="7" t="s">
        <v>801</v>
      </c>
      <c r="P1021" s="22" t="n">
        <v>43</v>
      </c>
      <c r="Q1021" s="8" t="n">
        <v>12771</v>
      </c>
      <c r="R1021" s="8" t="n">
        <v>12771</v>
      </c>
      <c r="S1021" s="7" t="s">
        <v>33</v>
      </c>
      <c r="T1021" s="7" t="s">
        <v>2562</v>
      </c>
      <c r="U1021" s="7"/>
      <c r="V1021" s="20" t="n">
        <v>46232</v>
      </c>
      <c r="W1021" s="7"/>
      <c r="X1021" s="7"/>
      <c r="Y1021" s="7"/>
      <c r="Z1021" s="7"/>
      <c r="AA1021" s="23" t="n">
        <f aca="false">YEAR(C1021)</f>
        <v>2026</v>
      </c>
    </row>
    <row r="1022" customFormat="false" ht="15" hidden="false" customHeight="false" outlineLevel="0" collapsed="false">
      <c r="A1022" s="7" t="s">
        <v>2563</v>
      </c>
      <c r="B1022" s="7" t="s">
        <v>137</v>
      </c>
      <c r="C1022" s="20" t="n">
        <v>46202</v>
      </c>
      <c r="D1022" s="20" t="n">
        <v>46252</v>
      </c>
      <c r="E1022" s="20"/>
      <c r="F1022" s="7" t="s">
        <v>759</v>
      </c>
      <c r="G1022" s="7" t="s">
        <v>149</v>
      </c>
      <c r="H1022" s="7" t="s">
        <v>281</v>
      </c>
      <c r="I1022" s="7" t="s">
        <v>282</v>
      </c>
      <c r="J1022" s="7" t="s">
        <v>248</v>
      </c>
      <c r="K1022" s="7" t="s">
        <v>278</v>
      </c>
      <c r="L1022" s="7" t="s">
        <v>2564</v>
      </c>
      <c r="M1022" s="7" t="s">
        <v>583</v>
      </c>
      <c r="N1022" s="16" t="n">
        <v>7796</v>
      </c>
      <c r="O1022" s="7" t="s">
        <v>798</v>
      </c>
      <c r="P1022" s="22" t="n">
        <v>0.21</v>
      </c>
      <c r="Q1022" s="8" t="n">
        <v>1637.21</v>
      </c>
      <c r="R1022" s="8" t="n">
        <v>1637.21</v>
      </c>
      <c r="S1022" s="7" t="s">
        <v>33</v>
      </c>
      <c r="T1022" s="7" t="s">
        <v>2562</v>
      </c>
      <c r="U1022" s="7"/>
      <c r="V1022" s="20" t="n">
        <v>46232</v>
      </c>
      <c r="W1022" s="7"/>
      <c r="X1022" s="7"/>
      <c r="Y1022" s="7"/>
      <c r="Z1022" s="7"/>
      <c r="AA1022" s="23" t="n">
        <f aca="false">YEAR(C1022)</f>
        <v>2026</v>
      </c>
    </row>
    <row r="1023" customFormat="false" ht="15" hidden="false" customHeight="false" outlineLevel="0" collapsed="false">
      <c r="A1023" s="7" t="s">
        <v>2565</v>
      </c>
      <c r="B1023" s="7" t="s">
        <v>137</v>
      </c>
      <c r="C1023" s="20" t="n">
        <v>46203</v>
      </c>
      <c r="D1023" s="20" t="n">
        <v>46203</v>
      </c>
      <c r="E1023" s="20"/>
      <c r="F1023" s="7" t="s">
        <v>759</v>
      </c>
      <c r="G1023" s="7" t="s">
        <v>153</v>
      </c>
      <c r="H1023" s="7" t="s">
        <v>246</v>
      </c>
      <c r="I1023" s="7" t="s">
        <v>247</v>
      </c>
      <c r="J1023" s="7" t="s">
        <v>236</v>
      </c>
      <c r="K1023" s="7" t="s">
        <v>189</v>
      </c>
      <c r="L1023" s="7" t="s">
        <v>2341</v>
      </c>
      <c r="M1023" s="7" t="s">
        <v>556</v>
      </c>
      <c r="N1023" s="16"/>
      <c r="O1023" s="7"/>
      <c r="P1023" s="22"/>
      <c r="Q1023" s="8" t="n">
        <v>1324.93</v>
      </c>
      <c r="R1023" s="8" t="n">
        <v>-1324.93</v>
      </c>
      <c r="S1023" s="7" t="s">
        <v>775</v>
      </c>
      <c r="T1023" s="7"/>
      <c r="U1023" s="7"/>
      <c r="V1023" s="20"/>
      <c r="W1023" s="7"/>
      <c r="X1023" s="7" t="s">
        <v>784</v>
      </c>
      <c r="Y1023" s="7"/>
      <c r="Z1023" s="7"/>
      <c r="AA1023" s="23" t="n">
        <f aca="false">YEAR(C1023)</f>
        <v>2026</v>
      </c>
    </row>
    <row r="1024" customFormat="false" ht="15" hidden="false" customHeight="false" outlineLevel="0" collapsed="false">
      <c r="A1024" s="7" t="s">
        <v>2566</v>
      </c>
      <c r="B1024" s="7" t="s">
        <v>137</v>
      </c>
      <c r="C1024" s="20" t="n">
        <v>46204</v>
      </c>
      <c r="D1024" s="20" t="n">
        <v>46204</v>
      </c>
      <c r="E1024" s="20"/>
      <c r="F1024" s="7" t="s">
        <v>759</v>
      </c>
      <c r="G1024" s="7" t="s">
        <v>153</v>
      </c>
      <c r="H1024" s="7" t="s">
        <v>561</v>
      </c>
      <c r="I1024" s="7" t="s">
        <v>363</v>
      </c>
      <c r="J1024" s="7" t="s">
        <v>761</v>
      </c>
      <c r="K1024" s="7" t="s">
        <v>772</v>
      </c>
      <c r="L1024" s="7" t="s">
        <v>562</v>
      </c>
      <c r="M1024" s="7" t="s">
        <v>556</v>
      </c>
      <c r="N1024" s="16"/>
      <c r="O1024" s="7"/>
      <c r="P1024" s="22"/>
      <c r="Q1024" s="8" t="n">
        <v>17000</v>
      </c>
      <c r="R1024" s="8" t="n">
        <v>17000</v>
      </c>
      <c r="S1024" s="7" t="s">
        <v>783</v>
      </c>
      <c r="T1024" s="7"/>
      <c r="U1024" s="7"/>
      <c r="V1024" s="20"/>
      <c r="W1024" s="7"/>
      <c r="X1024" s="7" t="s">
        <v>784</v>
      </c>
      <c r="Y1024" s="7"/>
      <c r="Z1024" s="7"/>
      <c r="AA1024" s="23" t="n">
        <f aca="false">YEAR(C1024)</f>
        <v>2026</v>
      </c>
    </row>
    <row r="1025" customFormat="false" ht="15" hidden="false" customHeight="false" outlineLevel="0" collapsed="false">
      <c r="A1025" s="7" t="s">
        <v>2567</v>
      </c>
      <c r="B1025" s="7" t="s">
        <v>137</v>
      </c>
      <c r="C1025" s="20" t="n">
        <v>46204</v>
      </c>
      <c r="D1025" s="20" t="n">
        <v>46204</v>
      </c>
      <c r="E1025" s="20"/>
      <c r="F1025" s="7" t="s">
        <v>759</v>
      </c>
      <c r="G1025" s="7" t="s">
        <v>153</v>
      </c>
      <c r="H1025" s="7" t="s">
        <v>545</v>
      </c>
      <c r="I1025" s="7" t="s">
        <v>760</v>
      </c>
      <c r="J1025" s="7" t="s">
        <v>761</v>
      </c>
      <c r="K1025" s="7" t="s">
        <v>762</v>
      </c>
      <c r="L1025" s="7" t="s">
        <v>546</v>
      </c>
      <c r="M1025" s="7"/>
      <c r="N1025" s="16"/>
      <c r="O1025" s="7"/>
      <c r="P1025" s="22"/>
      <c r="Q1025" s="8" t="n">
        <v>4200</v>
      </c>
      <c r="R1025" s="8" t="n">
        <v>-4200</v>
      </c>
      <c r="S1025" s="7" t="s">
        <v>763</v>
      </c>
      <c r="T1025" s="7"/>
      <c r="U1025" s="7"/>
      <c r="V1025" s="20"/>
      <c r="W1025" s="7"/>
      <c r="X1025" s="7"/>
      <c r="Y1025" s="7"/>
      <c r="Z1025" s="7"/>
      <c r="AA1025" s="23" t="n">
        <f aca="false">YEAR(C1025)</f>
        <v>2026</v>
      </c>
    </row>
    <row r="1026" customFormat="false" ht="15" hidden="false" customHeight="false" outlineLevel="0" collapsed="false">
      <c r="A1026" s="7" t="s">
        <v>2568</v>
      </c>
      <c r="B1026" s="7" t="s">
        <v>137</v>
      </c>
      <c r="C1026" s="20" t="n">
        <v>46204</v>
      </c>
      <c r="D1026" s="20" t="n">
        <v>46252</v>
      </c>
      <c r="E1026" s="20"/>
      <c r="F1026" s="7" t="s">
        <v>759</v>
      </c>
      <c r="G1026" s="7" t="s">
        <v>149</v>
      </c>
      <c r="H1026" s="7" t="s">
        <v>279</v>
      </c>
      <c r="I1026" s="7" t="s">
        <v>280</v>
      </c>
      <c r="J1026" s="7" t="s">
        <v>248</v>
      </c>
      <c r="K1026" s="7" t="s">
        <v>278</v>
      </c>
      <c r="L1026" s="7" t="s">
        <v>2569</v>
      </c>
      <c r="M1026" s="7" t="s">
        <v>1016</v>
      </c>
      <c r="N1026" s="16" t="n">
        <v>110</v>
      </c>
      <c r="O1026" s="7" t="s">
        <v>801</v>
      </c>
      <c r="P1026" s="22" t="n">
        <v>43</v>
      </c>
      <c r="Q1026" s="8" t="n">
        <v>4730</v>
      </c>
      <c r="R1026" s="8" t="n">
        <v>4730</v>
      </c>
      <c r="S1026" s="7" t="s">
        <v>33</v>
      </c>
      <c r="T1026" s="7" t="s">
        <v>2570</v>
      </c>
      <c r="U1026" s="7"/>
      <c r="V1026" s="20" t="n">
        <v>46234</v>
      </c>
      <c r="W1026" s="7"/>
      <c r="X1026" s="7"/>
      <c r="Y1026" s="7"/>
      <c r="Z1026" s="7"/>
      <c r="AA1026" s="23" t="n">
        <f aca="false">YEAR(C1026)</f>
        <v>2026</v>
      </c>
    </row>
    <row r="1027" customFormat="false" ht="15" hidden="false" customHeight="false" outlineLevel="0" collapsed="false">
      <c r="A1027" s="7" t="s">
        <v>2571</v>
      </c>
      <c r="B1027" s="7" t="s">
        <v>137</v>
      </c>
      <c r="C1027" s="20" t="n">
        <v>46204</v>
      </c>
      <c r="D1027" s="20" t="n">
        <v>46252</v>
      </c>
      <c r="E1027" s="20"/>
      <c r="F1027" s="7" t="s">
        <v>759</v>
      </c>
      <c r="G1027" s="7" t="s">
        <v>149</v>
      </c>
      <c r="H1027" s="7" t="s">
        <v>281</v>
      </c>
      <c r="I1027" s="7" t="s">
        <v>282</v>
      </c>
      <c r="J1027" s="7" t="s">
        <v>248</v>
      </c>
      <c r="K1027" s="7" t="s">
        <v>278</v>
      </c>
      <c r="L1027" s="7" t="s">
        <v>2572</v>
      </c>
      <c r="M1027" s="7" t="s">
        <v>1016</v>
      </c>
      <c r="N1027" s="16" t="n">
        <v>2888</v>
      </c>
      <c r="O1027" s="7" t="s">
        <v>798</v>
      </c>
      <c r="P1027" s="22" t="n">
        <v>0.21</v>
      </c>
      <c r="Q1027" s="8" t="n">
        <v>606.38</v>
      </c>
      <c r="R1027" s="8" t="n">
        <v>606.38</v>
      </c>
      <c r="S1027" s="7" t="s">
        <v>33</v>
      </c>
      <c r="T1027" s="7" t="s">
        <v>2570</v>
      </c>
      <c r="U1027" s="7"/>
      <c r="V1027" s="20" t="n">
        <v>46234</v>
      </c>
      <c r="W1027" s="7"/>
      <c r="X1027" s="7"/>
      <c r="Y1027" s="7"/>
      <c r="Z1027" s="7"/>
      <c r="AA1027" s="23" t="n">
        <f aca="false">YEAR(C1027)</f>
        <v>2026</v>
      </c>
    </row>
    <row r="1028" customFormat="false" ht="15" hidden="false" customHeight="false" outlineLevel="0" collapsed="false">
      <c r="A1028" s="7" t="s">
        <v>2573</v>
      </c>
      <c r="B1028" s="7" t="s">
        <v>137</v>
      </c>
      <c r="C1028" s="20" t="n">
        <v>46205</v>
      </c>
      <c r="D1028" s="20" t="n">
        <v>46286</v>
      </c>
      <c r="E1028" s="20"/>
      <c r="F1028" s="7" t="s">
        <v>759</v>
      </c>
      <c r="G1028" s="7" t="s">
        <v>149</v>
      </c>
      <c r="H1028" s="7" t="s">
        <v>279</v>
      </c>
      <c r="I1028" s="7" t="s">
        <v>280</v>
      </c>
      <c r="J1028" s="7" t="s">
        <v>248</v>
      </c>
      <c r="K1028" s="7" t="s">
        <v>278</v>
      </c>
      <c r="L1028" s="7" t="s">
        <v>2574</v>
      </c>
      <c r="M1028" s="7" t="s">
        <v>1010</v>
      </c>
      <c r="N1028" s="16" t="n">
        <v>214</v>
      </c>
      <c r="O1028" s="7" t="s">
        <v>801</v>
      </c>
      <c r="P1028" s="22" t="n">
        <v>43</v>
      </c>
      <c r="Q1028" s="8" t="n">
        <v>9202</v>
      </c>
      <c r="R1028" s="8" t="n">
        <v>9202</v>
      </c>
      <c r="S1028" s="7" t="s">
        <v>33</v>
      </c>
      <c r="T1028" s="7" t="s">
        <v>2575</v>
      </c>
      <c r="U1028" s="7"/>
      <c r="V1028" s="20" t="n">
        <v>46235</v>
      </c>
      <c r="W1028" s="7"/>
      <c r="X1028" s="7"/>
      <c r="Y1028" s="7"/>
      <c r="Z1028" s="7"/>
      <c r="AA1028" s="23" t="n">
        <f aca="false">YEAR(C1028)</f>
        <v>2026</v>
      </c>
    </row>
    <row r="1029" customFormat="false" ht="15" hidden="false" customHeight="false" outlineLevel="0" collapsed="false">
      <c r="A1029" s="7" t="s">
        <v>2576</v>
      </c>
      <c r="B1029" s="7" t="s">
        <v>137</v>
      </c>
      <c r="C1029" s="20" t="n">
        <v>46205</v>
      </c>
      <c r="D1029" s="20" t="n">
        <v>46286</v>
      </c>
      <c r="E1029" s="20"/>
      <c r="F1029" s="7" t="s">
        <v>759</v>
      </c>
      <c r="G1029" s="7" t="s">
        <v>149</v>
      </c>
      <c r="H1029" s="7" t="s">
        <v>281</v>
      </c>
      <c r="I1029" s="7" t="s">
        <v>282</v>
      </c>
      <c r="J1029" s="7" t="s">
        <v>248</v>
      </c>
      <c r="K1029" s="7" t="s">
        <v>278</v>
      </c>
      <c r="L1029" s="7" t="s">
        <v>2577</v>
      </c>
      <c r="M1029" s="7" t="s">
        <v>1010</v>
      </c>
      <c r="N1029" s="16" t="n">
        <v>5618</v>
      </c>
      <c r="O1029" s="7" t="s">
        <v>798</v>
      </c>
      <c r="P1029" s="22" t="n">
        <v>0.21</v>
      </c>
      <c r="Q1029" s="8" t="n">
        <v>1179.67</v>
      </c>
      <c r="R1029" s="8" t="n">
        <v>1179.67</v>
      </c>
      <c r="S1029" s="7" t="s">
        <v>33</v>
      </c>
      <c r="T1029" s="7" t="s">
        <v>2575</v>
      </c>
      <c r="U1029" s="7"/>
      <c r="V1029" s="20" t="n">
        <v>46235</v>
      </c>
      <c r="W1029" s="7"/>
      <c r="X1029" s="7"/>
      <c r="Y1029" s="7"/>
      <c r="Z1029" s="7"/>
      <c r="AA1029" s="23" t="n">
        <f aca="false">YEAR(C1029)</f>
        <v>2026</v>
      </c>
    </row>
    <row r="1030" customFormat="false" ht="15" hidden="false" customHeight="false" outlineLevel="0" collapsed="false">
      <c r="A1030" s="7" t="s">
        <v>2578</v>
      </c>
      <c r="B1030" s="7" t="s">
        <v>137</v>
      </c>
      <c r="C1030" s="20" t="n">
        <v>46209</v>
      </c>
      <c r="D1030" s="20" t="n">
        <v>46239</v>
      </c>
      <c r="E1030" s="20"/>
      <c r="F1030" s="7" t="s">
        <v>759</v>
      </c>
      <c r="G1030" s="7" t="s">
        <v>149</v>
      </c>
      <c r="H1030" s="7" t="s">
        <v>268</v>
      </c>
      <c r="I1030" s="7" t="s">
        <v>269</v>
      </c>
      <c r="J1030" s="7" t="s">
        <v>221</v>
      </c>
      <c r="K1030" s="7" t="s">
        <v>267</v>
      </c>
      <c r="L1030" s="7" t="s">
        <v>2579</v>
      </c>
      <c r="M1030" s="7" t="s">
        <v>563</v>
      </c>
      <c r="N1030" s="16"/>
      <c r="O1030" s="7"/>
      <c r="P1030" s="22"/>
      <c r="Q1030" s="8" t="n">
        <v>6463.8</v>
      </c>
      <c r="R1030" s="8" t="n">
        <v>-6463.8</v>
      </c>
      <c r="S1030" s="7" t="s">
        <v>751</v>
      </c>
      <c r="T1030" s="7"/>
      <c r="U1030" s="7" t="s">
        <v>2580</v>
      </c>
      <c r="V1030" s="20" t="n">
        <v>46239</v>
      </c>
      <c r="W1030" s="7"/>
      <c r="X1030" s="7"/>
      <c r="Y1030" s="7"/>
      <c r="Z1030" s="7"/>
      <c r="AA1030" s="23" t="n">
        <f aca="false">YEAR(C1030)</f>
        <v>2026</v>
      </c>
    </row>
    <row r="1031" customFormat="false" ht="15" hidden="false" customHeight="false" outlineLevel="0" collapsed="false">
      <c r="A1031" s="7" t="s">
        <v>2581</v>
      </c>
      <c r="B1031" s="7" t="s">
        <v>137</v>
      </c>
      <c r="C1031" s="20" t="n">
        <v>46209</v>
      </c>
      <c r="D1031" s="20" t="n">
        <v>46239</v>
      </c>
      <c r="E1031" s="20"/>
      <c r="F1031" s="7" t="s">
        <v>759</v>
      </c>
      <c r="G1031" s="7" t="s">
        <v>149</v>
      </c>
      <c r="H1031" s="7" t="s">
        <v>268</v>
      </c>
      <c r="I1031" s="7" t="s">
        <v>269</v>
      </c>
      <c r="J1031" s="7" t="s">
        <v>221</v>
      </c>
      <c r="K1031" s="7" t="s">
        <v>267</v>
      </c>
      <c r="L1031" s="7" t="s">
        <v>1025</v>
      </c>
      <c r="M1031" s="7" t="s">
        <v>563</v>
      </c>
      <c r="N1031" s="16"/>
      <c r="O1031" s="7"/>
      <c r="P1031" s="22"/>
      <c r="Q1031" s="8" t="n">
        <v>605.15</v>
      </c>
      <c r="R1031" s="8" t="n">
        <v>-605.15</v>
      </c>
      <c r="S1031" s="7" t="s">
        <v>751</v>
      </c>
      <c r="T1031" s="7"/>
      <c r="U1031" s="7" t="s">
        <v>2582</v>
      </c>
      <c r="V1031" s="20" t="n">
        <v>46239</v>
      </c>
      <c r="W1031" s="7"/>
      <c r="X1031" s="7"/>
      <c r="Y1031" s="7"/>
      <c r="Z1031" s="7"/>
      <c r="AA1031" s="23" t="n">
        <f aca="false">YEAR(C1031)</f>
        <v>2026</v>
      </c>
    </row>
    <row r="1032" customFormat="false" ht="15" hidden="false" customHeight="false" outlineLevel="0" collapsed="false">
      <c r="A1032" s="7" t="s">
        <v>2583</v>
      </c>
      <c r="B1032" s="7" t="s">
        <v>137</v>
      </c>
      <c r="C1032" s="20" t="n">
        <v>46209</v>
      </c>
      <c r="D1032" s="20" t="n">
        <v>46269</v>
      </c>
      <c r="E1032" s="20"/>
      <c r="F1032" s="7" t="s">
        <v>759</v>
      </c>
      <c r="G1032" s="7" t="s">
        <v>149</v>
      </c>
      <c r="H1032" s="7" t="s">
        <v>279</v>
      </c>
      <c r="I1032" s="7" t="s">
        <v>280</v>
      </c>
      <c r="J1032" s="7" t="s">
        <v>248</v>
      </c>
      <c r="K1032" s="7" t="s">
        <v>278</v>
      </c>
      <c r="L1032" s="7" t="s">
        <v>2584</v>
      </c>
      <c r="M1032" s="7" t="s">
        <v>600</v>
      </c>
      <c r="N1032" s="16" t="n">
        <v>155</v>
      </c>
      <c r="O1032" s="7" t="s">
        <v>801</v>
      </c>
      <c r="P1032" s="22" t="n">
        <v>43</v>
      </c>
      <c r="Q1032" s="8" t="n">
        <v>6665</v>
      </c>
      <c r="R1032" s="8" t="n">
        <v>6665</v>
      </c>
      <c r="S1032" s="7" t="s">
        <v>33</v>
      </c>
      <c r="T1032" s="7" t="s">
        <v>2585</v>
      </c>
      <c r="U1032" s="7"/>
      <c r="V1032" s="20" t="n">
        <v>46239</v>
      </c>
      <c r="W1032" s="7"/>
      <c r="X1032" s="7"/>
      <c r="Y1032" s="7"/>
      <c r="Z1032" s="7"/>
      <c r="AA1032" s="23" t="n">
        <f aca="false">YEAR(C1032)</f>
        <v>2026</v>
      </c>
    </row>
    <row r="1033" customFormat="false" ht="15" hidden="false" customHeight="false" outlineLevel="0" collapsed="false">
      <c r="A1033" s="7" t="s">
        <v>2586</v>
      </c>
      <c r="B1033" s="7" t="s">
        <v>137</v>
      </c>
      <c r="C1033" s="20" t="n">
        <v>46209</v>
      </c>
      <c r="D1033" s="20" t="n">
        <v>46269</v>
      </c>
      <c r="E1033" s="20"/>
      <c r="F1033" s="7" t="s">
        <v>759</v>
      </c>
      <c r="G1033" s="7" t="s">
        <v>149</v>
      </c>
      <c r="H1033" s="7" t="s">
        <v>281</v>
      </c>
      <c r="I1033" s="7" t="s">
        <v>282</v>
      </c>
      <c r="J1033" s="7" t="s">
        <v>248</v>
      </c>
      <c r="K1033" s="7" t="s">
        <v>278</v>
      </c>
      <c r="L1033" s="7" t="s">
        <v>2587</v>
      </c>
      <c r="M1033" s="7" t="s">
        <v>600</v>
      </c>
      <c r="N1033" s="16" t="n">
        <v>4069</v>
      </c>
      <c r="O1033" s="7" t="s">
        <v>798</v>
      </c>
      <c r="P1033" s="22" t="n">
        <v>0.21</v>
      </c>
      <c r="Q1033" s="8" t="n">
        <v>854.44</v>
      </c>
      <c r="R1033" s="8" t="n">
        <v>854.44</v>
      </c>
      <c r="S1033" s="7" t="s">
        <v>33</v>
      </c>
      <c r="T1033" s="7" t="s">
        <v>2585</v>
      </c>
      <c r="U1033" s="7"/>
      <c r="V1033" s="20" t="n">
        <v>46239</v>
      </c>
      <c r="W1033" s="7"/>
      <c r="X1033" s="7"/>
      <c r="Y1033" s="7"/>
      <c r="Z1033" s="7"/>
      <c r="AA1033" s="23" t="n">
        <f aca="false">YEAR(C1033)</f>
        <v>2026</v>
      </c>
    </row>
    <row r="1034" customFormat="false" ht="15" hidden="false" customHeight="false" outlineLevel="0" collapsed="false">
      <c r="A1034" s="7" t="s">
        <v>2588</v>
      </c>
      <c r="B1034" s="7" t="s">
        <v>137</v>
      </c>
      <c r="C1034" s="20" t="n">
        <v>46210</v>
      </c>
      <c r="D1034" s="20" t="n">
        <v>46244</v>
      </c>
      <c r="E1034" s="20"/>
      <c r="F1034" s="7" t="s">
        <v>759</v>
      </c>
      <c r="G1034" s="7" t="s">
        <v>149</v>
      </c>
      <c r="H1034" s="7" t="s">
        <v>279</v>
      </c>
      <c r="I1034" s="7" t="s">
        <v>280</v>
      </c>
      <c r="J1034" s="7" t="s">
        <v>248</v>
      </c>
      <c r="K1034" s="7" t="s">
        <v>278</v>
      </c>
      <c r="L1034" s="7" t="s">
        <v>2589</v>
      </c>
      <c r="M1034" s="7" t="s">
        <v>603</v>
      </c>
      <c r="N1034" s="16" t="n">
        <v>114</v>
      </c>
      <c r="O1034" s="7" t="s">
        <v>801</v>
      </c>
      <c r="P1034" s="22" t="n">
        <v>43</v>
      </c>
      <c r="Q1034" s="8" t="n">
        <v>4902</v>
      </c>
      <c r="R1034" s="8" t="n">
        <v>4902</v>
      </c>
      <c r="S1034" s="7" t="s">
        <v>33</v>
      </c>
      <c r="T1034" s="7" t="s">
        <v>2590</v>
      </c>
      <c r="U1034" s="7"/>
      <c r="V1034" s="20" t="n">
        <v>46240</v>
      </c>
      <c r="W1034" s="7"/>
      <c r="X1034" s="7"/>
      <c r="Y1034" s="7"/>
      <c r="Z1034" s="7"/>
      <c r="AA1034" s="23" t="n">
        <f aca="false">YEAR(C1034)</f>
        <v>2026</v>
      </c>
    </row>
    <row r="1035" customFormat="false" ht="15" hidden="false" customHeight="false" outlineLevel="0" collapsed="false">
      <c r="A1035" s="7" t="s">
        <v>2591</v>
      </c>
      <c r="B1035" s="7" t="s">
        <v>137</v>
      </c>
      <c r="C1035" s="20" t="n">
        <v>46210</v>
      </c>
      <c r="D1035" s="20" t="n">
        <v>46244</v>
      </c>
      <c r="E1035" s="20"/>
      <c r="F1035" s="7" t="s">
        <v>759</v>
      </c>
      <c r="G1035" s="7" t="s">
        <v>149</v>
      </c>
      <c r="H1035" s="7" t="s">
        <v>281</v>
      </c>
      <c r="I1035" s="7" t="s">
        <v>282</v>
      </c>
      <c r="J1035" s="7" t="s">
        <v>248</v>
      </c>
      <c r="K1035" s="7" t="s">
        <v>278</v>
      </c>
      <c r="L1035" s="7" t="s">
        <v>2592</v>
      </c>
      <c r="M1035" s="7" t="s">
        <v>603</v>
      </c>
      <c r="N1035" s="16" t="n">
        <v>2992</v>
      </c>
      <c r="O1035" s="7" t="s">
        <v>798</v>
      </c>
      <c r="P1035" s="22" t="n">
        <v>0.21</v>
      </c>
      <c r="Q1035" s="8" t="n">
        <v>628.42</v>
      </c>
      <c r="R1035" s="8" t="n">
        <v>628.42</v>
      </c>
      <c r="S1035" s="7" t="s">
        <v>33</v>
      </c>
      <c r="T1035" s="7" t="s">
        <v>2590</v>
      </c>
      <c r="U1035" s="7"/>
      <c r="V1035" s="20" t="n">
        <v>46240</v>
      </c>
      <c r="W1035" s="7"/>
      <c r="X1035" s="7"/>
      <c r="Y1035" s="7"/>
      <c r="Z1035" s="7"/>
      <c r="AA1035" s="23" t="n">
        <f aca="false">YEAR(C1035)</f>
        <v>2026</v>
      </c>
    </row>
    <row r="1036" customFormat="false" ht="15" hidden="false" customHeight="false" outlineLevel="0" collapsed="false">
      <c r="A1036" s="7" t="s">
        <v>2593</v>
      </c>
      <c r="B1036" s="7" t="s">
        <v>137</v>
      </c>
      <c r="C1036" s="20" t="n">
        <v>46210</v>
      </c>
      <c r="D1036" s="20" t="n">
        <v>46246</v>
      </c>
      <c r="E1036" s="20"/>
      <c r="F1036" s="7" t="s">
        <v>759</v>
      </c>
      <c r="G1036" s="7" t="s">
        <v>149</v>
      </c>
      <c r="H1036" s="7" t="s">
        <v>279</v>
      </c>
      <c r="I1036" s="7" t="s">
        <v>280</v>
      </c>
      <c r="J1036" s="7" t="s">
        <v>248</v>
      </c>
      <c r="K1036" s="7" t="s">
        <v>278</v>
      </c>
      <c r="L1036" s="7" t="s">
        <v>2594</v>
      </c>
      <c r="M1036" s="7" t="s">
        <v>606</v>
      </c>
      <c r="N1036" s="16" t="n">
        <v>100</v>
      </c>
      <c r="O1036" s="7" t="s">
        <v>801</v>
      </c>
      <c r="P1036" s="22" t="n">
        <v>43</v>
      </c>
      <c r="Q1036" s="8" t="n">
        <v>4300</v>
      </c>
      <c r="R1036" s="8" t="n">
        <v>4300</v>
      </c>
      <c r="S1036" s="7" t="s">
        <v>33</v>
      </c>
      <c r="T1036" s="7" t="s">
        <v>2595</v>
      </c>
      <c r="U1036" s="7"/>
      <c r="V1036" s="20" t="n">
        <v>46240</v>
      </c>
      <c r="W1036" s="7"/>
      <c r="X1036" s="7"/>
      <c r="Y1036" s="7"/>
      <c r="Z1036" s="7"/>
      <c r="AA1036" s="23" t="n">
        <f aca="false">YEAR(C1036)</f>
        <v>2026</v>
      </c>
    </row>
    <row r="1037" customFormat="false" ht="15" hidden="false" customHeight="false" outlineLevel="0" collapsed="false">
      <c r="A1037" s="7" t="s">
        <v>2596</v>
      </c>
      <c r="B1037" s="7" t="s">
        <v>137</v>
      </c>
      <c r="C1037" s="20" t="n">
        <v>46210</v>
      </c>
      <c r="D1037" s="20" t="n">
        <v>46246</v>
      </c>
      <c r="E1037" s="20"/>
      <c r="F1037" s="7" t="s">
        <v>759</v>
      </c>
      <c r="G1037" s="7" t="s">
        <v>149</v>
      </c>
      <c r="H1037" s="7" t="s">
        <v>281</v>
      </c>
      <c r="I1037" s="7" t="s">
        <v>282</v>
      </c>
      <c r="J1037" s="7" t="s">
        <v>248</v>
      </c>
      <c r="K1037" s="7" t="s">
        <v>278</v>
      </c>
      <c r="L1037" s="7" t="s">
        <v>2597</v>
      </c>
      <c r="M1037" s="7" t="s">
        <v>606</v>
      </c>
      <c r="N1037" s="16" t="n">
        <v>2625</v>
      </c>
      <c r="O1037" s="7" t="s">
        <v>798</v>
      </c>
      <c r="P1037" s="22" t="n">
        <v>0.21</v>
      </c>
      <c r="Q1037" s="8" t="n">
        <v>551.25</v>
      </c>
      <c r="R1037" s="8" t="n">
        <v>551.25</v>
      </c>
      <c r="S1037" s="7" t="s">
        <v>33</v>
      </c>
      <c r="T1037" s="7" t="s">
        <v>2595</v>
      </c>
      <c r="U1037" s="7"/>
      <c r="V1037" s="20" t="n">
        <v>46240</v>
      </c>
      <c r="W1037" s="7"/>
      <c r="X1037" s="7"/>
      <c r="Y1037" s="7"/>
      <c r="Z1037" s="7"/>
      <c r="AA1037" s="23" t="n">
        <f aca="false">YEAR(C1037)</f>
        <v>2026</v>
      </c>
    </row>
    <row r="1038" customFormat="false" ht="15" hidden="false" customHeight="false" outlineLevel="0" collapsed="false">
      <c r="A1038" s="7" t="s">
        <v>2598</v>
      </c>
      <c r="B1038" s="7" t="s">
        <v>137</v>
      </c>
      <c r="C1038" s="20" t="n">
        <v>46211</v>
      </c>
      <c r="D1038" s="20" t="n">
        <v>46256</v>
      </c>
      <c r="E1038" s="20"/>
      <c r="F1038" s="7" t="s">
        <v>759</v>
      </c>
      <c r="G1038" s="7" t="s">
        <v>153</v>
      </c>
      <c r="H1038" s="7" t="s">
        <v>244</v>
      </c>
      <c r="I1038" s="7" t="s">
        <v>245</v>
      </c>
      <c r="J1038" s="7" t="s">
        <v>229</v>
      </c>
      <c r="K1038" s="7" t="s">
        <v>233</v>
      </c>
      <c r="L1038" s="7" t="s">
        <v>570</v>
      </c>
      <c r="M1038" s="7"/>
      <c r="N1038" s="16"/>
      <c r="O1038" s="7"/>
      <c r="P1038" s="22"/>
      <c r="Q1038" s="8" t="n">
        <v>165</v>
      </c>
      <c r="R1038" s="8" t="n">
        <v>-165</v>
      </c>
      <c r="S1038" s="7" t="s">
        <v>765</v>
      </c>
      <c r="T1038" s="7"/>
      <c r="U1038" s="7"/>
      <c r="V1038" s="20"/>
      <c r="W1038" s="7"/>
      <c r="X1038" s="7"/>
      <c r="Y1038" s="7"/>
      <c r="Z1038" s="7"/>
      <c r="AA1038" s="23" t="n">
        <f aca="false">YEAR(C1038)</f>
        <v>2026</v>
      </c>
    </row>
    <row r="1039" customFormat="false" ht="15" hidden="false" customHeight="false" outlineLevel="0" collapsed="false">
      <c r="A1039" s="7" t="s">
        <v>2599</v>
      </c>
      <c r="B1039" s="7" t="s">
        <v>137</v>
      </c>
      <c r="C1039" s="20" t="n">
        <v>46213</v>
      </c>
      <c r="D1039" s="20" t="n">
        <v>46213</v>
      </c>
      <c r="E1039" s="20"/>
      <c r="F1039" s="7" t="s">
        <v>759</v>
      </c>
      <c r="G1039" s="7" t="s">
        <v>149</v>
      </c>
      <c r="H1039" s="7" t="s">
        <v>271</v>
      </c>
      <c r="I1039" s="7" t="s">
        <v>272</v>
      </c>
      <c r="J1039" s="7" t="s">
        <v>221</v>
      </c>
      <c r="K1039" s="7" t="s">
        <v>270</v>
      </c>
      <c r="L1039" s="7" t="s">
        <v>2600</v>
      </c>
      <c r="M1039" s="7" t="s">
        <v>541</v>
      </c>
      <c r="N1039" s="16"/>
      <c r="O1039" s="7"/>
      <c r="P1039" s="22"/>
      <c r="Q1039" s="8" t="n">
        <v>1524.51</v>
      </c>
      <c r="R1039" s="8" t="n">
        <v>-1524.51</v>
      </c>
      <c r="S1039" s="7" t="s">
        <v>744</v>
      </c>
      <c r="T1039" s="7"/>
      <c r="U1039" s="7"/>
      <c r="V1039" s="20"/>
      <c r="W1039" s="7"/>
      <c r="X1039" s="7"/>
      <c r="Y1039" s="7"/>
      <c r="Z1039" s="7"/>
      <c r="AA1039" s="23" t="n">
        <f aca="false">YEAR(C1039)</f>
        <v>2026</v>
      </c>
    </row>
    <row r="1040" customFormat="false" ht="15" hidden="false" customHeight="false" outlineLevel="0" collapsed="false">
      <c r="A1040" s="7" t="s">
        <v>2601</v>
      </c>
      <c r="B1040" s="7" t="s">
        <v>137</v>
      </c>
      <c r="C1040" s="20" t="n">
        <v>46213</v>
      </c>
      <c r="D1040" s="20" t="n">
        <v>46213</v>
      </c>
      <c r="E1040" s="20"/>
      <c r="F1040" s="7" t="s">
        <v>759</v>
      </c>
      <c r="G1040" s="7" t="s">
        <v>153</v>
      </c>
      <c r="H1040" s="7" t="s">
        <v>271</v>
      </c>
      <c r="I1040" s="7" t="s">
        <v>272</v>
      </c>
      <c r="J1040" s="7" t="s">
        <v>221</v>
      </c>
      <c r="K1040" s="7" t="s">
        <v>270</v>
      </c>
      <c r="L1040" s="7" t="s">
        <v>544</v>
      </c>
      <c r="M1040" s="7" t="s">
        <v>541</v>
      </c>
      <c r="N1040" s="16"/>
      <c r="O1040" s="7"/>
      <c r="P1040" s="22"/>
      <c r="Q1040" s="8" t="n">
        <v>1016.34</v>
      </c>
      <c r="R1040" s="8" t="n">
        <v>-1016.34</v>
      </c>
      <c r="S1040" s="7" t="s">
        <v>744</v>
      </c>
      <c r="T1040" s="7"/>
      <c r="U1040" s="7"/>
      <c r="V1040" s="20"/>
      <c r="W1040" s="7"/>
      <c r="X1040" s="7"/>
      <c r="Y1040" s="7"/>
      <c r="Z1040" s="7"/>
      <c r="AA1040" s="23" t="n">
        <f aca="false">YEAR(C1040)</f>
        <v>2026</v>
      </c>
    </row>
    <row r="1041" customFormat="false" ht="15" hidden="false" customHeight="false" outlineLevel="0" collapsed="false">
      <c r="A1041" s="7" t="s">
        <v>2602</v>
      </c>
      <c r="B1041" s="7" t="s">
        <v>137</v>
      </c>
      <c r="C1041" s="20" t="n">
        <v>46213</v>
      </c>
      <c r="D1041" s="20" t="n">
        <v>46249</v>
      </c>
      <c r="E1041" s="20"/>
      <c r="F1041" s="7" t="s">
        <v>759</v>
      </c>
      <c r="G1041" s="7" t="s">
        <v>149</v>
      </c>
      <c r="H1041" s="7" t="s">
        <v>273</v>
      </c>
      <c r="I1041" s="7" t="s">
        <v>274</v>
      </c>
      <c r="J1041" s="7" t="s">
        <v>221</v>
      </c>
      <c r="K1041" s="7" t="s">
        <v>270</v>
      </c>
      <c r="L1041" s="7" t="s">
        <v>554</v>
      </c>
      <c r="M1041" s="7" t="s">
        <v>541</v>
      </c>
      <c r="N1041" s="16"/>
      <c r="O1041" s="7"/>
      <c r="P1041" s="22"/>
      <c r="Q1041" s="8" t="n">
        <v>223.59</v>
      </c>
      <c r="R1041" s="8" t="n">
        <v>-223.59</v>
      </c>
      <c r="S1041" s="7" t="s">
        <v>789</v>
      </c>
      <c r="T1041" s="7"/>
      <c r="U1041" s="7"/>
      <c r="V1041" s="20"/>
      <c r="W1041" s="7"/>
      <c r="X1041" s="7"/>
      <c r="Y1041" s="7"/>
      <c r="Z1041" s="7"/>
      <c r="AA1041" s="23" t="n">
        <f aca="false">YEAR(C1041)</f>
        <v>2026</v>
      </c>
    </row>
    <row r="1042" customFormat="false" ht="15" hidden="false" customHeight="false" outlineLevel="0" collapsed="false">
      <c r="A1042" s="7" t="s">
        <v>2603</v>
      </c>
      <c r="B1042" s="7" t="s">
        <v>137</v>
      </c>
      <c r="C1042" s="20" t="n">
        <v>46215</v>
      </c>
      <c r="D1042" s="20" t="n">
        <v>46215</v>
      </c>
      <c r="E1042" s="20"/>
      <c r="F1042" s="7" t="s">
        <v>759</v>
      </c>
      <c r="G1042" s="7" t="s">
        <v>153</v>
      </c>
      <c r="H1042" s="7" t="s">
        <v>240</v>
      </c>
      <c r="I1042" s="7" t="s">
        <v>239</v>
      </c>
      <c r="J1042" s="7" t="s">
        <v>229</v>
      </c>
      <c r="K1042" s="7" t="s">
        <v>239</v>
      </c>
      <c r="L1042" s="7" t="s">
        <v>548</v>
      </c>
      <c r="M1042" s="7" t="s">
        <v>547</v>
      </c>
      <c r="N1042" s="16"/>
      <c r="O1042" s="7"/>
      <c r="P1042" s="22"/>
      <c r="Q1042" s="8" t="n">
        <v>265.84</v>
      </c>
      <c r="R1042" s="8" t="n">
        <v>-265.84</v>
      </c>
      <c r="S1042" s="7" t="s">
        <v>775</v>
      </c>
      <c r="T1042" s="7"/>
      <c r="U1042" s="7"/>
      <c r="V1042" s="20"/>
      <c r="W1042" s="7"/>
      <c r="X1042" s="7"/>
      <c r="Y1042" s="7"/>
      <c r="Z1042" s="7"/>
      <c r="AA1042" s="23" t="n">
        <f aca="false">YEAR(C1042)</f>
        <v>2026</v>
      </c>
    </row>
    <row r="1043" customFormat="false" ht="15" hidden="false" customHeight="false" outlineLevel="0" collapsed="false">
      <c r="A1043" s="7" t="s">
        <v>2604</v>
      </c>
      <c r="B1043" s="7" t="s">
        <v>137</v>
      </c>
      <c r="C1043" s="20" t="n">
        <v>46219</v>
      </c>
      <c r="D1043" s="20" t="n">
        <v>46219</v>
      </c>
      <c r="E1043" s="20"/>
      <c r="F1043" s="7" t="s">
        <v>759</v>
      </c>
      <c r="G1043" s="7" t="s">
        <v>149</v>
      </c>
      <c r="H1043" s="7" t="s">
        <v>237</v>
      </c>
      <c r="I1043" s="7" t="s">
        <v>238</v>
      </c>
      <c r="J1043" s="7" t="s">
        <v>236</v>
      </c>
      <c r="K1043" s="7" t="s">
        <v>189</v>
      </c>
      <c r="L1043" s="7" t="s">
        <v>2605</v>
      </c>
      <c r="M1043" s="7" t="s">
        <v>556</v>
      </c>
      <c r="N1043" s="16"/>
      <c r="O1043" s="7"/>
      <c r="P1043" s="22"/>
      <c r="Q1043" s="8" t="n">
        <v>251.15</v>
      </c>
      <c r="R1043" s="8" t="n">
        <v>-251.15</v>
      </c>
      <c r="S1043" s="7" t="s">
        <v>744</v>
      </c>
      <c r="T1043" s="7"/>
      <c r="U1043" s="7"/>
      <c r="V1043" s="20"/>
      <c r="W1043" s="7"/>
      <c r="X1043" s="7" t="s">
        <v>1552</v>
      </c>
      <c r="Y1043" s="7"/>
      <c r="Z1043" s="7"/>
      <c r="AA1043" s="23" t="n">
        <f aca="false">YEAR(C1043)</f>
        <v>2026</v>
      </c>
    </row>
    <row r="1044" customFormat="false" ht="15" hidden="false" customHeight="false" outlineLevel="0" collapsed="false">
      <c r="A1044" s="7" t="s">
        <v>2606</v>
      </c>
      <c r="B1044" s="7" t="s">
        <v>137</v>
      </c>
      <c r="C1044" s="20" t="n">
        <v>46219</v>
      </c>
      <c r="D1044" s="20" t="n">
        <v>46219</v>
      </c>
      <c r="E1044" s="20"/>
      <c r="F1044" s="7" t="s">
        <v>759</v>
      </c>
      <c r="G1044" s="7" t="s">
        <v>149</v>
      </c>
      <c r="H1044" s="7" t="s">
        <v>559</v>
      </c>
      <c r="I1044" s="7" t="s">
        <v>771</v>
      </c>
      <c r="J1044" s="7" t="s">
        <v>761</v>
      </c>
      <c r="K1044" s="7" t="s">
        <v>772</v>
      </c>
      <c r="L1044" s="7" t="s">
        <v>2607</v>
      </c>
      <c r="M1044" s="7" t="s">
        <v>556</v>
      </c>
      <c r="N1044" s="16"/>
      <c r="O1044" s="7"/>
      <c r="P1044" s="22"/>
      <c r="Q1044" s="8" t="n">
        <v>1481.34</v>
      </c>
      <c r="R1044" s="8" t="n">
        <v>-1481.34</v>
      </c>
      <c r="S1044" s="7" t="s">
        <v>744</v>
      </c>
      <c r="T1044" s="7"/>
      <c r="U1044" s="7"/>
      <c r="V1044" s="20"/>
      <c r="W1044" s="7"/>
      <c r="X1044" s="7" t="s">
        <v>1552</v>
      </c>
      <c r="Y1044" s="7"/>
      <c r="Z1044" s="7"/>
      <c r="AA1044" s="23" t="n">
        <f aca="false">YEAR(C1044)</f>
        <v>2026</v>
      </c>
    </row>
    <row r="1045" customFormat="false" ht="15" hidden="false" customHeight="false" outlineLevel="0" collapsed="false">
      <c r="A1045" s="7" t="s">
        <v>2608</v>
      </c>
      <c r="B1045" s="7" t="s">
        <v>137</v>
      </c>
      <c r="C1045" s="20" t="n">
        <v>46221</v>
      </c>
      <c r="D1045" s="20" t="n">
        <v>46237</v>
      </c>
      <c r="E1045" s="20"/>
      <c r="F1045" s="7" t="s">
        <v>759</v>
      </c>
      <c r="G1045" s="7" t="s">
        <v>144</v>
      </c>
      <c r="H1045" s="7" t="s">
        <v>276</v>
      </c>
      <c r="I1045" s="7" t="s">
        <v>277</v>
      </c>
      <c r="J1045" s="7" t="s">
        <v>221</v>
      </c>
      <c r="K1045" s="7" t="s">
        <v>275</v>
      </c>
      <c r="L1045" s="7" t="s">
        <v>2609</v>
      </c>
      <c r="M1045" s="7" t="s">
        <v>547</v>
      </c>
      <c r="N1045" s="16"/>
      <c r="O1045" s="7"/>
      <c r="P1045" s="22"/>
      <c r="Q1045" s="8" t="n">
        <v>5170</v>
      </c>
      <c r="R1045" s="8" t="n">
        <v>-5170</v>
      </c>
      <c r="S1045" s="7" t="s">
        <v>751</v>
      </c>
      <c r="T1045" s="7"/>
      <c r="U1045" s="7" t="s">
        <v>2610</v>
      </c>
      <c r="V1045" s="20" t="n">
        <v>46236</v>
      </c>
      <c r="W1045" s="7"/>
      <c r="X1045" s="7"/>
      <c r="Y1045" s="7" t="s">
        <v>715</v>
      </c>
      <c r="Z1045" s="7"/>
      <c r="AA1045" s="23" t="n">
        <f aca="false">YEAR(C1045)</f>
        <v>2026</v>
      </c>
    </row>
    <row r="1046" customFormat="false" ht="15" hidden="false" customHeight="false" outlineLevel="0" collapsed="false">
      <c r="A1046" s="7" t="s">
        <v>2611</v>
      </c>
      <c r="B1046" s="7" t="s">
        <v>137</v>
      </c>
      <c r="C1046" s="20" t="n">
        <v>46225</v>
      </c>
      <c r="D1046" s="20" t="n">
        <v>46255</v>
      </c>
      <c r="E1046" s="20"/>
      <c r="F1046" s="7" t="s">
        <v>759</v>
      </c>
      <c r="G1046" s="7" t="s">
        <v>144</v>
      </c>
      <c r="H1046" s="7" t="s">
        <v>264</v>
      </c>
      <c r="I1046" s="7" t="s">
        <v>263</v>
      </c>
      <c r="J1046" s="7" t="s">
        <v>221</v>
      </c>
      <c r="K1046" s="7" t="s">
        <v>263</v>
      </c>
      <c r="L1046" s="7" t="s">
        <v>1044</v>
      </c>
      <c r="M1046" s="7" t="s">
        <v>563</v>
      </c>
      <c r="N1046" s="16"/>
      <c r="O1046" s="7"/>
      <c r="P1046" s="22"/>
      <c r="Q1046" s="8" t="n">
        <v>2956.25</v>
      </c>
      <c r="R1046" s="8" t="n">
        <v>-2956.25</v>
      </c>
      <c r="S1046" s="7" t="s">
        <v>751</v>
      </c>
      <c r="T1046" s="7"/>
      <c r="U1046" s="7" t="s">
        <v>2612</v>
      </c>
      <c r="V1046" s="20" t="n">
        <v>46255</v>
      </c>
      <c r="W1046" s="7"/>
      <c r="X1046" s="7"/>
      <c r="Y1046" s="7" t="s">
        <v>715</v>
      </c>
      <c r="Z1046" s="7"/>
      <c r="AA1046" s="23" t="n">
        <f aca="false">YEAR(C1046)</f>
        <v>2026</v>
      </c>
    </row>
    <row r="1047" customFormat="false" ht="15" hidden="false" customHeight="false" outlineLevel="0" collapsed="false">
      <c r="A1047" s="7" t="s">
        <v>2613</v>
      </c>
      <c r="B1047" s="7" t="s">
        <v>137</v>
      </c>
      <c r="C1047" s="20" t="n">
        <v>46225</v>
      </c>
      <c r="D1047" s="20" t="n">
        <v>46259</v>
      </c>
      <c r="E1047" s="20"/>
      <c r="F1047" s="7" t="s">
        <v>759</v>
      </c>
      <c r="G1047" s="7" t="s">
        <v>136</v>
      </c>
      <c r="H1047" s="7" t="s">
        <v>264</v>
      </c>
      <c r="I1047" s="7" t="s">
        <v>263</v>
      </c>
      <c r="J1047" s="7" t="s">
        <v>221</v>
      </c>
      <c r="K1047" s="7" t="s">
        <v>263</v>
      </c>
      <c r="L1047" s="7" t="s">
        <v>1525</v>
      </c>
      <c r="M1047" s="7" t="s">
        <v>591</v>
      </c>
      <c r="N1047" s="16" t="n">
        <v>96</v>
      </c>
      <c r="O1047" s="7" t="s">
        <v>801</v>
      </c>
      <c r="P1047" s="22" t="n">
        <v>15.26</v>
      </c>
      <c r="Q1047" s="8" t="n">
        <v>1464.96</v>
      </c>
      <c r="R1047" s="8" t="n">
        <v>-1464.96</v>
      </c>
      <c r="S1047" s="7" t="s">
        <v>751</v>
      </c>
      <c r="T1047" s="7"/>
      <c r="U1047" s="7" t="s">
        <v>2614</v>
      </c>
      <c r="V1047" s="20" t="n">
        <v>46255</v>
      </c>
      <c r="W1047" s="7"/>
      <c r="X1047" s="7"/>
      <c r="Y1047" s="7" t="s">
        <v>723</v>
      </c>
      <c r="Z1047" s="7"/>
      <c r="AA1047" s="23" t="n">
        <f aca="false">YEAR(C1047)</f>
        <v>2026</v>
      </c>
    </row>
    <row r="1048" customFormat="false" ht="15" hidden="false" customHeight="false" outlineLevel="0" collapsed="false">
      <c r="A1048" s="7" t="s">
        <v>2615</v>
      </c>
      <c r="B1048" s="7" t="s">
        <v>137</v>
      </c>
      <c r="C1048" s="20" t="n">
        <v>46225</v>
      </c>
      <c r="D1048" s="20" t="n">
        <v>46259</v>
      </c>
      <c r="E1048" s="20"/>
      <c r="F1048" s="7" t="s">
        <v>759</v>
      </c>
      <c r="G1048" s="7" t="s">
        <v>136</v>
      </c>
      <c r="H1048" s="7" t="s">
        <v>223</v>
      </c>
      <c r="I1048" s="7" t="s">
        <v>224</v>
      </c>
      <c r="J1048" s="7" t="s">
        <v>221</v>
      </c>
      <c r="K1048" s="7" t="s">
        <v>222</v>
      </c>
      <c r="L1048" s="7" t="s">
        <v>1528</v>
      </c>
      <c r="M1048" s="7" t="s">
        <v>589</v>
      </c>
      <c r="N1048" s="16" t="n">
        <v>96</v>
      </c>
      <c r="O1048" s="7" t="s">
        <v>801</v>
      </c>
      <c r="P1048" s="22" t="n">
        <v>9.81</v>
      </c>
      <c r="Q1048" s="8" t="n">
        <v>941.76</v>
      </c>
      <c r="R1048" s="8" t="n">
        <v>-941.76</v>
      </c>
      <c r="S1048" s="7" t="s">
        <v>751</v>
      </c>
      <c r="T1048" s="7"/>
      <c r="U1048" s="7" t="s">
        <v>2616</v>
      </c>
      <c r="V1048" s="20" t="n">
        <v>46255</v>
      </c>
      <c r="W1048" s="7"/>
      <c r="X1048" s="7"/>
      <c r="Y1048" s="7" t="s">
        <v>723</v>
      </c>
      <c r="Z1048" s="7"/>
      <c r="AA1048" s="23" t="n">
        <f aca="false">YEAR(C1048)</f>
        <v>2026</v>
      </c>
    </row>
    <row r="1049" customFormat="false" ht="15" hidden="false" customHeight="false" outlineLevel="0" collapsed="false">
      <c r="A1049" s="7" t="s">
        <v>2617</v>
      </c>
      <c r="B1049" s="7" t="s">
        <v>137</v>
      </c>
      <c r="C1049" s="20" t="n">
        <v>46227</v>
      </c>
      <c r="D1049" s="20" t="n">
        <v>46227</v>
      </c>
      <c r="E1049" s="20"/>
      <c r="F1049" s="7" t="s">
        <v>759</v>
      </c>
      <c r="G1049" s="7" t="s">
        <v>149</v>
      </c>
      <c r="H1049" s="7" t="s">
        <v>271</v>
      </c>
      <c r="I1049" s="7" t="s">
        <v>272</v>
      </c>
      <c r="J1049" s="7" t="s">
        <v>221</v>
      </c>
      <c r="K1049" s="7" t="s">
        <v>270</v>
      </c>
      <c r="L1049" s="7" t="s">
        <v>586</v>
      </c>
      <c r="M1049" s="7" t="s">
        <v>541</v>
      </c>
      <c r="N1049" s="16"/>
      <c r="O1049" s="7"/>
      <c r="P1049" s="22"/>
      <c r="Q1049" s="8" t="n">
        <v>832.32</v>
      </c>
      <c r="R1049" s="8" t="n">
        <v>-832.32</v>
      </c>
      <c r="S1049" s="7" t="s">
        <v>744</v>
      </c>
      <c r="T1049" s="7"/>
      <c r="U1049" s="7"/>
      <c r="V1049" s="20"/>
      <c r="W1049" s="7"/>
      <c r="X1049" s="7"/>
      <c r="Y1049" s="7"/>
      <c r="Z1049" s="7"/>
      <c r="AA1049" s="23" t="n">
        <f aca="false">YEAR(C1049)</f>
        <v>2026</v>
      </c>
    </row>
    <row r="1050" customFormat="false" ht="15" hidden="false" customHeight="false" outlineLevel="0" collapsed="false">
      <c r="A1050" s="7" t="s">
        <v>2618</v>
      </c>
      <c r="B1050" s="7" t="s">
        <v>137</v>
      </c>
      <c r="C1050" s="20" t="n">
        <v>46227</v>
      </c>
      <c r="D1050" s="20" t="n">
        <v>46227</v>
      </c>
      <c r="E1050" s="20"/>
      <c r="F1050" s="7" t="s">
        <v>759</v>
      </c>
      <c r="G1050" s="7" t="s">
        <v>153</v>
      </c>
      <c r="H1050" s="7" t="s">
        <v>271</v>
      </c>
      <c r="I1050" s="7" t="s">
        <v>272</v>
      </c>
      <c r="J1050" s="7" t="s">
        <v>221</v>
      </c>
      <c r="K1050" s="7" t="s">
        <v>270</v>
      </c>
      <c r="L1050" s="7" t="s">
        <v>544</v>
      </c>
      <c r="M1050" s="7" t="s">
        <v>541</v>
      </c>
      <c r="N1050" s="16"/>
      <c r="O1050" s="7"/>
      <c r="P1050" s="22"/>
      <c r="Q1050" s="8" t="n">
        <v>554.88</v>
      </c>
      <c r="R1050" s="8" t="n">
        <v>-554.88</v>
      </c>
      <c r="S1050" s="7" t="s">
        <v>744</v>
      </c>
      <c r="T1050" s="7"/>
      <c r="U1050" s="7"/>
      <c r="V1050" s="20"/>
      <c r="W1050" s="7"/>
      <c r="X1050" s="7"/>
      <c r="Y1050" s="7"/>
      <c r="Z1050" s="7"/>
      <c r="AA1050" s="23" t="n">
        <f aca="false">YEAR(C1050)</f>
        <v>2026</v>
      </c>
    </row>
    <row r="1051" customFormat="false" ht="15" hidden="false" customHeight="false" outlineLevel="0" collapsed="false">
      <c r="A1051" s="7" t="s">
        <v>2619</v>
      </c>
      <c r="B1051" s="7" t="s">
        <v>137</v>
      </c>
      <c r="C1051" s="20" t="n">
        <v>46227</v>
      </c>
      <c r="D1051" s="20" t="n">
        <v>46249</v>
      </c>
      <c r="E1051" s="20"/>
      <c r="F1051" s="7" t="s">
        <v>759</v>
      </c>
      <c r="G1051" s="7" t="s">
        <v>149</v>
      </c>
      <c r="H1051" s="7" t="s">
        <v>273</v>
      </c>
      <c r="I1051" s="7" t="s">
        <v>274</v>
      </c>
      <c r="J1051" s="7" t="s">
        <v>221</v>
      </c>
      <c r="K1051" s="7" t="s">
        <v>270</v>
      </c>
      <c r="L1051" s="7" t="s">
        <v>554</v>
      </c>
      <c r="M1051" s="7" t="s">
        <v>541</v>
      </c>
      <c r="N1051" s="16"/>
      <c r="O1051" s="7"/>
      <c r="P1051" s="22"/>
      <c r="Q1051" s="8" t="n">
        <v>122.07</v>
      </c>
      <c r="R1051" s="8" t="n">
        <v>-122.07</v>
      </c>
      <c r="S1051" s="7" t="s">
        <v>789</v>
      </c>
      <c r="T1051" s="7"/>
      <c r="U1051" s="7"/>
      <c r="V1051" s="20"/>
      <c r="W1051" s="7"/>
      <c r="X1051" s="7"/>
      <c r="Y1051" s="7"/>
      <c r="Z1051" s="7"/>
      <c r="AA1051" s="23" t="n">
        <f aca="false">YEAR(C1051)</f>
        <v>2026</v>
      </c>
    </row>
    <row r="1052" customFormat="false" ht="15" hidden="false" customHeight="false" outlineLevel="0" collapsed="false">
      <c r="A1052" s="7" t="s">
        <v>2620</v>
      </c>
      <c r="B1052" s="7" t="s">
        <v>137</v>
      </c>
      <c r="C1052" s="20" t="n">
        <v>46229</v>
      </c>
      <c r="D1052" s="20" t="n">
        <v>46256</v>
      </c>
      <c r="E1052" s="20"/>
      <c r="F1052" s="7" t="s">
        <v>759</v>
      </c>
      <c r="G1052" s="7" t="s">
        <v>153</v>
      </c>
      <c r="H1052" s="7" t="s">
        <v>242</v>
      </c>
      <c r="I1052" s="7" t="s">
        <v>243</v>
      </c>
      <c r="J1052" s="7" t="s">
        <v>229</v>
      </c>
      <c r="K1052" s="7" t="s">
        <v>241</v>
      </c>
      <c r="L1052" s="7" t="s">
        <v>571</v>
      </c>
      <c r="M1052" s="7"/>
      <c r="N1052" s="16"/>
      <c r="O1052" s="7"/>
      <c r="P1052" s="22"/>
      <c r="Q1052" s="8" t="n">
        <v>344.31</v>
      </c>
      <c r="R1052" s="8" t="n">
        <v>-344.31</v>
      </c>
      <c r="S1052" s="7" t="s">
        <v>765</v>
      </c>
      <c r="T1052" s="7"/>
      <c r="U1052" s="7"/>
      <c r="V1052" s="20"/>
      <c r="W1052" s="7"/>
      <c r="X1052" s="7"/>
      <c r="Y1052" s="7"/>
      <c r="Z1052" s="7"/>
      <c r="AA1052" s="23" t="n">
        <f aca="false">YEAR(C1052)</f>
        <v>2026</v>
      </c>
    </row>
    <row r="1053" customFormat="false" ht="15" hidden="false" customHeight="false" outlineLevel="0" collapsed="false">
      <c r="A1053" s="7" t="s">
        <v>2621</v>
      </c>
      <c r="B1053" s="7" t="s">
        <v>137</v>
      </c>
      <c r="C1053" s="20" t="n">
        <v>46234</v>
      </c>
      <c r="D1053" s="20" t="n">
        <v>46234</v>
      </c>
      <c r="E1053" s="20"/>
      <c r="F1053" s="7" t="s">
        <v>759</v>
      </c>
      <c r="G1053" s="7" t="s">
        <v>153</v>
      </c>
      <c r="H1053" s="7" t="s">
        <v>246</v>
      </c>
      <c r="I1053" s="7" t="s">
        <v>247</v>
      </c>
      <c r="J1053" s="7" t="s">
        <v>236</v>
      </c>
      <c r="K1053" s="7" t="s">
        <v>189</v>
      </c>
      <c r="L1053" s="7" t="s">
        <v>2341</v>
      </c>
      <c r="M1053" s="7" t="s">
        <v>556</v>
      </c>
      <c r="N1053" s="16"/>
      <c r="O1053" s="7"/>
      <c r="P1053" s="22"/>
      <c r="Q1053" s="8" t="n">
        <v>1612.64</v>
      </c>
      <c r="R1053" s="8" t="n">
        <v>-1612.64</v>
      </c>
      <c r="S1053" s="7" t="s">
        <v>775</v>
      </c>
      <c r="T1053" s="7"/>
      <c r="U1053" s="7"/>
      <c r="V1053" s="20"/>
      <c r="W1053" s="7"/>
      <c r="X1053" s="7" t="s">
        <v>784</v>
      </c>
      <c r="Y1053" s="7"/>
      <c r="Z1053" s="7"/>
      <c r="AA1053" s="23" t="n">
        <f aca="false">YEAR(C1053)</f>
        <v>2026</v>
      </c>
    </row>
    <row r="1054" customFormat="false" ht="15" hidden="false" customHeight="false" outlineLevel="0" collapsed="false">
      <c r="A1054" s="7" t="s">
        <v>2622</v>
      </c>
      <c r="B1054" s="7" t="s">
        <v>137</v>
      </c>
      <c r="C1054" s="20" t="n">
        <v>46235</v>
      </c>
      <c r="D1054" s="20" t="n">
        <v>46235</v>
      </c>
      <c r="E1054" s="20"/>
      <c r="F1054" s="7" t="s">
        <v>759</v>
      </c>
      <c r="G1054" s="7" t="s">
        <v>153</v>
      </c>
      <c r="H1054" s="7" t="s">
        <v>561</v>
      </c>
      <c r="I1054" s="7" t="s">
        <v>363</v>
      </c>
      <c r="J1054" s="7" t="s">
        <v>761</v>
      </c>
      <c r="K1054" s="7" t="s">
        <v>772</v>
      </c>
      <c r="L1054" s="7" t="s">
        <v>562</v>
      </c>
      <c r="M1054" s="7" t="s">
        <v>556</v>
      </c>
      <c r="N1054" s="16"/>
      <c r="O1054" s="7"/>
      <c r="P1054" s="22"/>
      <c r="Q1054" s="8" t="n">
        <v>5000</v>
      </c>
      <c r="R1054" s="8" t="n">
        <v>5000</v>
      </c>
      <c r="S1054" s="7" t="s">
        <v>783</v>
      </c>
      <c r="T1054" s="7"/>
      <c r="U1054" s="7"/>
      <c r="V1054" s="20"/>
      <c r="W1054" s="7"/>
      <c r="X1054" s="7" t="s">
        <v>784</v>
      </c>
      <c r="Y1054" s="7"/>
      <c r="Z1054" s="7"/>
      <c r="AA1054" s="23" t="n">
        <f aca="false">YEAR(C1054)</f>
        <v>2026</v>
      </c>
    </row>
    <row r="1055" customFormat="false" ht="15" hidden="false" customHeight="false" outlineLevel="0" collapsed="false">
      <c r="A1055" s="7" t="s">
        <v>2623</v>
      </c>
      <c r="B1055" s="7" t="s">
        <v>137</v>
      </c>
      <c r="C1055" s="20" t="n">
        <v>46235</v>
      </c>
      <c r="D1055" s="20" t="n">
        <v>46235</v>
      </c>
      <c r="E1055" s="20"/>
      <c r="F1055" s="7" t="s">
        <v>759</v>
      </c>
      <c r="G1055" s="7" t="s">
        <v>153</v>
      </c>
      <c r="H1055" s="7" t="s">
        <v>545</v>
      </c>
      <c r="I1055" s="7" t="s">
        <v>760</v>
      </c>
      <c r="J1055" s="7" t="s">
        <v>761</v>
      </c>
      <c r="K1055" s="7" t="s">
        <v>762</v>
      </c>
      <c r="L1055" s="7" t="s">
        <v>546</v>
      </c>
      <c r="M1055" s="7"/>
      <c r="N1055" s="16"/>
      <c r="O1055" s="7"/>
      <c r="P1055" s="22"/>
      <c r="Q1055" s="8" t="n">
        <v>4200</v>
      </c>
      <c r="R1055" s="8" t="n">
        <v>-4200</v>
      </c>
      <c r="S1055" s="7" t="s">
        <v>763</v>
      </c>
      <c r="T1055" s="7"/>
      <c r="U1055" s="7"/>
      <c r="V1055" s="20"/>
      <c r="W1055" s="7"/>
      <c r="X1055" s="7"/>
      <c r="Y1055" s="7"/>
      <c r="Z1055" s="7"/>
      <c r="AA1055" s="23" t="n">
        <f aca="false">YEAR(C1055)</f>
        <v>2026</v>
      </c>
    </row>
    <row r="1056" customFormat="false" ht="15" hidden="false" customHeight="false" outlineLevel="0" collapsed="false">
      <c r="A1056" s="7" t="s">
        <v>2624</v>
      </c>
      <c r="B1056" s="7" t="s">
        <v>137</v>
      </c>
      <c r="C1056" s="20" t="n">
        <v>46241</v>
      </c>
      <c r="D1056" s="20" t="n">
        <v>46241</v>
      </c>
      <c r="E1056" s="20"/>
      <c r="F1056" s="7" t="s">
        <v>759</v>
      </c>
      <c r="G1056" s="7" t="s">
        <v>149</v>
      </c>
      <c r="H1056" s="7" t="s">
        <v>271</v>
      </c>
      <c r="I1056" s="7" t="s">
        <v>272</v>
      </c>
      <c r="J1056" s="7" t="s">
        <v>221</v>
      </c>
      <c r="K1056" s="7" t="s">
        <v>270</v>
      </c>
      <c r="L1056" s="7" t="s">
        <v>2625</v>
      </c>
      <c r="M1056" s="7" t="s">
        <v>541</v>
      </c>
      <c r="N1056" s="16"/>
      <c r="O1056" s="7"/>
      <c r="P1056" s="22"/>
      <c r="Q1056" s="8" t="n">
        <v>762.76</v>
      </c>
      <c r="R1056" s="8" t="n">
        <v>-762.76</v>
      </c>
      <c r="S1056" s="7" t="s">
        <v>744</v>
      </c>
      <c r="T1056" s="7"/>
      <c r="U1056" s="7"/>
      <c r="V1056" s="20"/>
      <c r="W1056" s="7"/>
      <c r="X1056" s="7"/>
      <c r="Y1056" s="7"/>
      <c r="Z1056" s="7"/>
      <c r="AA1056" s="23" t="n">
        <f aca="false">YEAR(C1056)</f>
        <v>2026</v>
      </c>
    </row>
    <row r="1057" customFormat="false" ht="15" hidden="false" customHeight="false" outlineLevel="0" collapsed="false">
      <c r="A1057" s="7" t="s">
        <v>2626</v>
      </c>
      <c r="B1057" s="7" t="s">
        <v>137</v>
      </c>
      <c r="C1057" s="20" t="n">
        <v>46241</v>
      </c>
      <c r="D1057" s="20" t="n">
        <v>46241</v>
      </c>
      <c r="E1057" s="20"/>
      <c r="F1057" s="7" t="s">
        <v>759</v>
      </c>
      <c r="G1057" s="7" t="s">
        <v>153</v>
      </c>
      <c r="H1057" s="7" t="s">
        <v>271</v>
      </c>
      <c r="I1057" s="7" t="s">
        <v>272</v>
      </c>
      <c r="J1057" s="7" t="s">
        <v>221</v>
      </c>
      <c r="K1057" s="7" t="s">
        <v>270</v>
      </c>
      <c r="L1057" s="7" t="s">
        <v>544</v>
      </c>
      <c r="M1057" s="7" t="s">
        <v>541</v>
      </c>
      <c r="N1057" s="16"/>
      <c r="O1057" s="7"/>
      <c r="P1057" s="22"/>
      <c r="Q1057" s="8" t="n">
        <v>508.51</v>
      </c>
      <c r="R1057" s="8" t="n">
        <v>-508.51</v>
      </c>
      <c r="S1057" s="7" t="s">
        <v>744</v>
      </c>
      <c r="T1057" s="7"/>
      <c r="U1057" s="7"/>
      <c r="V1057" s="20"/>
      <c r="W1057" s="7"/>
      <c r="X1057" s="7"/>
      <c r="Y1057" s="7"/>
      <c r="Z1057" s="7"/>
      <c r="AA1057" s="23" t="n">
        <f aca="false">YEAR(C1057)</f>
        <v>2026</v>
      </c>
    </row>
    <row r="1058" customFormat="false" ht="15" hidden="false" customHeight="false" outlineLevel="0" collapsed="false">
      <c r="A1058" s="7" t="s">
        <v>2627</v>
      </c>
      <c r="B1058" s="7" t="s">
        <v>137</v>
      </c>
      <c r="C1058" s="20" t="n">
        <v>46241</v>
      </c>
      <c r="D1058" s="20" t="n">
        <v>46280</v>
      </c>
      <c r="E1058" s="20"/>
      <c r="F1058" s="7" t="s">
        <v>759</v>
      </c>
      <c r="G1058" s="7" t="s">
        <v>149</v>
      </c>
      <c r="H1058" s="7" t="s">
        <v>273</v>
      </c>
      <c r="I1058" s="7" t="s">
        <v>274</v>
      </c>
      <c r="J1058" s="7" t="s">
        <v>221</v>
      </c>
      <c r="K1058" s="7" t="s">
        <v>270</v>
      </c>
      <c r="L1058" s="7" t="s">
        <v>554</v>
      </c>
      <c r="M1058" s="7" t="s">
        <v>541</v>
      </c>
      <c r="N1058" s="16"/>
      <c r="O1058" s="7"/>
      <c r="P1058" s="22"/>
      <c r="Q1058" s="8" t="n">
        <v>111.87</v>
      </c>
      <c r="R1058" s="8" t="n">
        <v>-111.87</v>
      </c>
      <c r="S1058" s="7" t="s">
        <v>789</v>
      </c>
      <c r="T1058" s="7"/>
      <c r="U1058" s="7"/>
      <c r="V1058" s="20"/>
      <c r="W1058" s="7"/>
      <c r="X1058" s="7"/>
      <c r="Y1058" s="7"/>
      <c r="Z1058" s="7"/>
      <c r="AA1058" s="23" t="n">
        <f aca="false">YEAR(C1058)</f>
        <v>2026</v>
      </c>
    </row>
    <row r="1059" customFormat="false" ht="15" hidden="false" customHeight="false" outlineLevel="0" collapsed="false">
      <c r="A1059" s="7" t="s">
        <v>2628</v>
      </c>
      <c r="B1059" s="7" t="s">
        <v>137</v>
      </c>
      <c r="C1059" s="20" t="n">
        <v>46242</v>
      </c>
      <c r="D1059" s="20" t="n">
        <v>46287</v>
      </c>
      <c r="E1059" s="20"/>
      <c r="F1059" s="7" t="s">
        <v>759</v>
      </c>
      <c r="G1059" s="7" t="s">
        <v>153</v>
      </c>
      <c r="H1059" s="7" t="s">
        <v>244</v>
      </c>
      <c r="I1059" s="7" t="s">
        <v>245</v>
      </c>
      <c r="J1059" s="7" t="s">
        <v>229</v>
      </c>
      <c r="K1059" s="7" t="s">
        <v>233</v>
      </c>
      <c r="L1059" s="7" t="s">
        <v>570</v>
      </c>
      <c r="M1059" s="7"/>
      <c r="N1059" s="16"/>
      <c r="O1059" s="7"/>
      <c r="P1059" s="22"/>
      <c r="Q1059" s="8" t="n">
        <v>165</v>
      </c>
      <c r="R1059" s="8" t="n">
        <v>-165</v>
      </c>
      <c r="S1059" s="7" t="s">
        <v>765</v>
      </c>
      <c r="T1059" s="7"/>
      <c r="U1059" s="7"/>
      <c r="V1059" s="20"/>
      <c r="W1059" s="7"/>
      <c r="X1059" s="7"/>
      <c r="Y1059" s="7"/>
      <c r="Z1059" s="7"/>
      <c r="AA1059" s="23" t="n">
        <f aca="false">YEAR(C1059)</f>
        <v>2026</v>
      </c>
    </row>
    <row r="1060" customFormat="false" ht="15" hidden="false" customHeight="false" outlineLevel="0" collapsed="false">
      <c r="A1060" s="7" t="s">
        <v>2629</v>
      </c>
      <c r="B1060" s="7" t="s">
        <v>137</v>
      </c>
      <c r="C1060" s="20" t="n">
        <v>46246</v>
      </c>
      <c r="D1060" s="20" t="n">
        <v>46246</v>
      </c>
      <c r="E1060" s="20"/>
      <c r="F1060" s="7" t="s">
        <v>759</v>
      </c>
      <c r="G1060" s="7" t="s">
        <v>153</v>
      </c>
      <c r="H1060" s="7" t="s">
        <v>240</v>
      </c>
      <c r="I1060" s="7" t="s">
        <v>239</v>
      </c>
      <c r="J1060" s="7" t="s">
        <v>229</v>
      </c>
      <c r="K1060" s="7" t="s">
        <v>239</v>
      </c>
      <c r="L1060" s="7" t="s">
        <v>548</v>
      </c>
      <c r="M1060" s="7" t="s">
        <v>547</v>
      </c>
      <c r="N1060" s="16"/>
      <c r="O1060" s="7"/>
      <c r="P1060" s="22"/>
      <c r="Q1060" s="8" t="n">
        <v>263.47</v>
      </c>
      <c r="R1060" s="8" t="n">
        <v>-263.47</v>
      </c>
      <c r="S1060" s="7" t="s">
        <v>775</v>
      </c>
      <c r="T1060" s="7"/>
      <c r="U1060" s="7"/>
      <c r="V1060" s="20"/>
      <c r="W1060" s="7"/>
      <c r="X1060" s="7"/>
      <c r="Y1060" s="7"/>
      <c r="Z1060" s="7"/>
      <c r="AA1060" s="23" t="n">
        <f aca="false">YEAR(C1060)</f>
        <v>2026</v>
      </c>
    </row>
    <row r="1061" customFormat="false" ht="15" hidden="false" customHeight="false" outlineLevel="0" collapsed="false">
      <c r="A1061" s="7" t="s">
        <v>2630</v>
      </c>
      <c r="B1061" s="7" t="s">
        <v>137</v>
      </c>
      <c r="C1061" s="20" t="n">
        <v>46249</v>
      </c>
      <c r="D1061" s="20" t="n">
        <v>46249</v>
      </c>
      <c r="E1061" s="20"/>
      <c r="F1061" s="7" t="s">
        <v>759</v>
      </c>
      <c r="G1061" s="7" t="s">
        <v>136</v>
      </c>
      <c r="H1061" s="7" t="s">
        <v>258</v>
      </c>
      <c r="I1061" s="7" t="s">
        <v>259</v>
      </c>
      <c r="J1061" s="7" t="s">
        <v>221</v>
      </c>
      <c r="K1061" s="7" t="s">
        <v>257</v>
      </c>
      <c r="L1061" s="7" t="s">
        <v>1061</v>
      </c>
      <c r="M1061" s="7" t="s">
        <v>840</v>
      </c>
      <c r="N1061" s="16" t="n">
        <v>96</v>
      </c>
      <c r="O1061" s="7" t="s">
        <v>801</v>
      </c>
      <c r="P1061" s="22" t="n">
        <v>15.81</v>
      </c>
      <c r="Q1061" s="8" t="n">
        <v>1517.28</v>
      </c>
      <c r="R1061" s="8" t="n">
        <v>-1517.28</v>
      </c>
      <c r="S1061" s="7" t="s">
        <v>33</v>
      </c>
      <c r="T1061" s="7"/>
      <c r="U1061" s="7"/>
      <c r="V1061" s="20"/>
      <c r="W1061" s="7"/>
      <c r="X1061" s="7"/>
      <c r="Y1061" s="7" t="s">
        <v>723</v>
      </c>
      <c r="Z1061" s="7"/>
      <c r="AA1061" s="23" t="n">
        <f aca="false">YEAR(C1061)</f>
        <v>2026</v>
      </c>
    </row>
    <row r="1062" customFormat="false" ht="15" hidden="false" customHeight="false" outlineLevel="0" collapsed="false">
      <c r="A1062" s="7" t="s">
        <v>2631</v>
      </c>
      <c r="B1062" s="7" t="s">
        <v>137</v>
      </c>
      <c r="C1062" s="20" t="n">
        <v>46250</v>
      </c>
      <c r="D1062" s="20" t="n">
        <v>46250</v>
      </c>
      <c r="E1062" s="20"/>
      <c r="F1062" s="7" t="s">
        <v>759</v>
      </c>
      <c r="G1062" s="7" t="s">
        <v>149</v>
      </c>
      <c r="H1062" s="7" t="s">
        <v>237</v>
      </c>
      <c r="I1062" s="7" t="s">
        <v>238</v>
      </c>
      <c r="J1062" s="7" t="s">
        <v>236</v>
      </c>
      <c r="K1062" s="7" t="s">
        <v>189</v>
      </c>
      <c r="L1062" s="7" t="s">
        <v>2632</v>
      </c>
      <c r="M1062" s="7" t="s">
        <v>556</v>
      </c>
      <c r="N1062" s="16"/>
      <c r="O1062" s="7"/>
      <c r="P1062" s="22"/>
      <c r="Q1062" s="8" t="n">
        <v>242.2</v>
      </c>
      <c r="R1062" s="8" t="n">
        <v>-242.2</v>
      </c>
      <c r="S1062" s="7" t="s">
        <v>744</v>
      </c>
      <c r="T1062" s="7"/>
      <c r="U1062" s="7"/>
      <c r="V1062" s="20"/>
      <c r="W1062" s="7"/>
      <c r="X1062" s="7" t="s">
        <v>1552</v>
      </c>
      <c r="Y1062" s="7"/>
      <c r="Z1062" s="7"/>
      <c r="AA1062" s="23" t="n">
        <f aca="false">YEAR(C1062)</f>
        <v>2026</v>
      </c>
    </row>
    <row r="1063" customFormat="false" ht="15" hidden="false" customHeight="false" outlineLevel="0" collapsed="false">
      <c r="A1063" s="7" t="s">
        <v>2633</v>
      </c>
      <c r="B1063" s="7" t="s">
        <v>137</v>
      </c>
      <c r="C1063" s="20" t="n">
        <v>46250</v>
      </c>
      <c r="D1063" s="20" t="n">
        <v>46250</v>
      </c>
      <c r="E1063" s="20"/>
      <c r="F1063" s="7" t="s">
        <v>759</v>
      </c>
      <c r="G1063" s="7" t="s">
        <v>149</v>
      </c>
      <c r="H1063" s="7" t="s">
        <v>559</v>
      </c>
      <c r="I1063" s="7" t="s">
        <v>771</v>
      </c>
      <c r="J1063" s="7" t="s">
        <v>761</v>
      </c>
      <c r="K1063" s="7" t="s">
        <v>772</v>
      </c>
      <c r="L1063" s="7" t="s">
        <v>2634</v>
      </c>
      <c r="M1063" s="7" t="s">
        <v>556</v>
      </c>
      <c r="N1063" s="16"/>
      <c r="O1063" s="7"/>
      <c r="P1063" s="22"/>
      <c r="Q1063" s="8" t="n">
        <v>1490.29</v>
      </c>
      <c r="R1063" s="8" t="n">
        <v>-1490.29</v>
      </c>
      <c r="S1063" s="7" t="s">
        <v>744</v>
      </c>
      <c r="T1063" s="7"/>
      <c r="U1063" s="7"/>
      <c r="V1063" s="20"/>
      <c r="W1063" s="7"/>
      <c r="X1063" s="7" t="s">
        <v>1552</v>
      </c>
      <c r="Y1063" s="7"/>
      <c r="Z1063" s="7"/>
      <c r="AA1063" s="23" t="n">
        <f aca="false">YEAR(C1063)</f>
        <v>2026</v>
      </c>
    </row>
    <row r="1064" customFormat="false" ht="15" hidden="false" customHeight="false" outlineLevel="0" collapsed="false">
      <c r="A1064" s="7" t="s">
        <v>2635</v>
      </c>
      <c r="B1064" s="7" t="s">
        <v>137</v>
      </c>
      <c r="C1064" s="20" t="n">
        <v>46252</v>
      </c>
      <c r="D1064" s="20" t="n">
        <v>46267</v>
      </c>
      <c r="E1064" s="20"/>
      <c r="F1064" s="7" t="s">
        <v>759</v>
      </c>
      <c r="G1064" s="7" t="s">
        <v>144</v>
      </c>
      <c r="H1064" s="7" t="s">
        <v>276</v>
      </c>
      <c r="I1064" s="7" t="s">
        <v>277</v>
      </c>
      <c r="J1064" s="7" t="s">
        <v>221</v>
      </c>
      <c r="K1064" s="7" t="s">
        <v>275</v>
      </c>
      <c r="L1064" s="7" t="s">
        <v>2609</v>
      </c>
      <c r="M1064" s="7" t="s">
        <v>547</v>
      </c>
      <c r="N1064" s="16"/>
      <c r="O1064" s="7"/>
      <c r="P1064" s="22"/>
      <c r="Q1064" s="8" t="n">
        <v>5170</v>
      </c>
      <c r="R1064" s="8" t="n">
        <v>-5170</v>
      </c>
      <c r="S1064" s="7" t="s">
        <v>751</v>
      </c>
      <c r="T1064" s="7"/>
      <c r="U1064" s="7" t="s">
        <v>2636</v>
      </c>
      <c r="V1064" s="20" t="n">
        <v>46267</v>
      </c>
      <c r="W1064" s="7"/>
      <c r="X1064" s="7"/>
      <c r="Y1064" s="7" t="s">
        <v>715</v>
      </c>
      <c r="Z1064" s="7"/>
      <c r="AA1064" s="23" t="n">
        <f aca="false">YEAR(C1064)</f>
        <v>2026</v>
      </c>
    </row>
    <row r="1065" customFormat="false" ht="15" hidden="false" customHeight="false" outlineLevel="0" collapsed="false">
      <c r="A1065" s="7" t="s">
        <v>2637</v>
      </c>
      <c r="B1065" s="7" t="s">
        <v>137</v>
      </c>
      <c r="C1065" s="20" t="n">
        <v>46255</v>
      </c>
      <c r="D1065" s="20" t="n">
        <v>46255</v>
      </c>
      <c r="E1065" s="20"/>
      <c r="F1065" s="7" t="s">
        <v>759</v>
      </c>
      <c r="G1065" s="7" t="s">
        <v>149</v>
      </c>
      <c r="H1065" s="7" t="s">
        <v>271</v>
      </c>
      <c r="I1065" s="7" t="s">
        <v>272</v>
      </c>
      <c r="J1065" s="7" t="s">
        <v>221</v>
      </c>
      <c r="K1065" s="7" t="s">
        <v>270</v>
      </c>
      <c r="L1065" s="7" t="s">
        <v>2638</v>
      </c>
      <c r="M1065" s="7" t="s">
        <v>541</v>
      </c>
      <c r="N1065" s="16"/>
      <c r="O1065" s="7"/>
      <c r="P1065" s="22"/>
      <c r="Q1065" s="8" t="n">
        <v>901.27</v>
      </c>
      <c r="R1065" s="8" t="n">
        <v>-901.27</v>
      </c>
      <c r="S1065" s="7" t="s">
        <v>744</v>
      </c>
      <c r="T1065" s="7"/>
      <c r="U1065" s="7"/>
      <c r="V1065" s="20"/>
      <c r="W1065" s="7"/>
      <c r="X1065" s="7"/>
      <c r="Y1065" s="7"/>
      <c r="Z1065" s="7"/>
      <c r="AA1065" s="23" t="n">
        <f aca="false">YEAR(C1065)</f>
        <v>2026</v>
      </c>
    </row>
    <row r="1066" customFormat="false" ht="15" hidden="false" customHeight="false" outlineLevel="0" collapsed="false">
      <c r="A1066" s="7" t="s">
        <v>2639</v>
      </c>
      <c r="B1066" s="7" t="s">
        <v>137</v>
      </c>
      <c r="C1066" s="20" t="n">
        <v>46255</v>
      </c>
      <c r="D1066" s="20" t="n">
        <v>46255</v>
      </c>
      <c r="E1066" s="20"/>
      <c r="F1066" s="7" t="s">
        <v>759</v>
      </c>
      <c r="G1066" s="7" t="s">
        <v>153</v>
      </c>
      <c r="H1066" s="7" t="s">
        <v>271</v>
      </c>
      <c r="I1066" s="7" t="s">
        <v>272</v>
      </c>
      <c r="J1066" s="7" t="s">
        <v>221</v>
      </c>
      <c r="K1066" s="7" t="s">
        <v>270</v>
      </c>
      <c r="L1066" s="7" t="s">
        <v>544</v>
      </c>
      <c r="M1066" s="7" t="s">
        <v>541</v>
      </c>
      <c r="N1066" s="16"/>
      <c r="O1066" s="7"/>
      <c r="P1066" s="22"/>
      <c r="Q1066" s="8" t="n">
        <v>600.84</v>
      </c>
      <c r="R1066" s="8" t="n">
        <v>-600.84</v>
      </c>
      <c r="S1066" s="7" t="s">
        <v>744</v>
      </c>
      <c r="T1066" s="7"/>
      <c r="U1066" s="7"/>
      <c r="V1066" s="20"/>
      <c r="W1066" s="7"/>
      <c r="X1066" s="7"/>
      <c r="Y1066" s="7"/>
      <c r="Z1066" s="7"/>
      <c r="AA1066" s="23" t="n">
        <f aca="false">YEAR(C1066)</f>
        <v>2026</v>
      </c>
    </row>
    <row r="1067" customFormat="false" ht="15" hidden="false" customHeight="false" outlineLevel="0" collapsed="false">
      <c r="A1067" s="7" t="s">
        <v>2640</v>
      </c>
      <c r="B1067" s="7" t="s">
        <v>137</v>
      </c>
      <c r="C1067" s="20" t="n">
        <v>46255</v>
      </c>
      <c r="D1067" s="20" t="n">
        <v>46280</v>
      </c>
      <c r="E1067" s="20"/>
      <c r="F1067" s="7" t="s">
        <v>759</v>
      </c>
      <c r="G1067" s="7" t="s">
        <v>149</v>
      </c>
      <c r="H1067" s="7" t="s">
        <v>273</v>
      </c>
      <c r="I1067" s="7" t="s">
        <v>274</v>
      </c>
      <c r="J1067" s="7" t="s">
        <v>221</v>
      </c>
      <c r="K1067" s="7" t="s">
        <v>270</v>
      </c>
      <c r="L1067" s="7" t="s">
        <v>554</v>
      </c>
      <c r="M1067" s="7" t="s">
        <v>541</v>
      </c>
      <c r="N1067" s="16"/>
      <c r="O1067" s="7"/>
      <c r="P1067" s="22"/>
      <c r="Q1067" s="8" t="n">
        <v>132.19</v>
      </c>
      <c r="R1067" s="8" t="n">
        <v>-132.19</v>
      </c>
      <c r="S1067" s="7" t="s">
        <v>789</v>
      </c>
      <c r="T1067" s="7"/>
      <c r="U1067" s="7"/>
      <c r="V1067" s="20"/>
      <c r="W1067" s="7"/>
      <c r="X1067" s="7"/>
      <c r="Y1067" s="7"/>
      <c r="Z1067" s="7"/>
      <c r="AA1067" s="23" t="n">
        <f aca="false">YEAR(C1067)</f>
        <v>2026</v>
      </c>
    </row>
    <row r="1068" customFormat="false" ht="15" hidden="false" customHeight="false" outlineLevel="0" collapsed="false">
      <c r="A1068" s="7" t="s">
        <v>2641</v>
      </c>
      <c r="B1068" s="7" t="s">
        <v>137</v>
      </c>
      <c r="C1068" s="20" t="n">
        <v>46260</v>
      </c>
      <c r="D1068" s="20" t="n">
        <v>46287</v>
      </c>
      <c r="E1068" s="20"/>
      <c r="F1068" s="7" t="s">
        <v>759</v>
      </c>
      <c r="G1068" s="7" t="s">
        <v>153</v>
      </c>
      <c r="H1068" s="7" t="s">
        <v>242</v>
      </c>
      <c r="I1068" s="7" t="s">
        <v>243</v>
      </c>
      <c r="J1068" s="7" t="s">
        <v>229</v>
      </c>
      <c r="K1068" s="7" t="s">
        <v>241</v>
      </c>
      <c r="L1068" s="7" t="s">
        <v>571</v>
      </c>
      <c r="M1068" s="7"/>
      <c r="N1068" s="16"/>
      <c r="O1068" s="7"/>
      <c r="P1068" s="22"/>
      <c r="Q1068" s="8" t="n">
        <v>369.06</v>
      </c>
      <c r="R1068" s="8" t="n">
        <v>-369.06</v>
      </c>
      <c r="S1068" s="7" t="s">
        <v>765</v>
      </c>
      <c r="T1068" s="7"/>
      <c r="U1068" s="7"/>
      <c r="V1068" s="20"/>
      <c r="W1068" s="7"/>
      <c r="X1068" s="7"/>
      <c r="Y1068" s="7"/>
      <c r="Z1068" s="7"/>
      <c r="AA1068" s="23" t="n">
        <f aca="false">YEAR(C1068)</f>
        <v>2026</v>
      </c>
    </row>
    <row r="1069" customFormat="false" ht="15" hidden="false" customHeight="false" outlineLevel="0" collapsed="false">
      <c r="A1069" s="7" t="s">
        <v>2642</v>
      </c>
      <c r="B1069" s="7" t="s">
        <v>137</v>
      </c>
      <c r="C1069" s="20" t="n">
        <v>46265</v>
      </c>
      <c r="D1069" s="20" t="n">
        <v>46265</v>
      </c>
      <c r="E1069" s="20"/>
      <c r="F1069" s="7" t="s">
        <v>759</v>
      </c>
      <c r="G1069" s="7" t="s">
        <v>153</v>
      </c>
      <c r="H1069" s="7" t="s">
        <v>246</v>
      </c>
      <c r="I1069" s="7" t="s">
        <v>247</v>
      </c>
      <c r="J1069" s="7" t="s">
        <v>236</v>
      </c>
      <c r="K1069" s="7" t="s">
        <v>189</v>
      </c>
      <c r="L1069" s="7" t="s">
        <v>2341</v>
      </c>
      <c r="M1069" s="7" t="s">
        <v>556</v>
      </c>
      <c r="N1069" s="16"/>
      <c r="O1069" s="7"/>
      <c r="P1069" s="22"/>
      <c r="Q1069" s="8" t="n">
        <v>1645.55</v>
      </c>
      <c r="R1069" s="8" t="n">
        <v>-1645.55</v>
      </c>
      <c r="S1069" s="7" t="s">
        <v>775</v>
      </c>
      <c r="T1069" s="7"/>
      <c r="U1069" s="7"/>
      <c r="V1069" s="20"/>
      <c r="W1069" s="7"/>
      <c r="X1069" s="7" t="s">
        <v>784</v>
      </c>
      <c r="Y1069" s="7"/>
      <c r="Z1069" s="7"/>
      <c r="AA1069" s="23" t="n">
        <f aca="false">YEAR(C1069)</f>
        <v>2026</v>
      </c>
    </row>
    <row r="1070" customFormat="false" ht="15" hidden="false" customHeight="false" outlineLevel="0" collapsed="false">
      <c r="A1070" s="7" t="s">
        <v>2643</v>
      </c>
      <c r="B1070" s="7" t="s">
        <v>137</v>
      </c>
      <c r="C1070" s="20" t="n">
        <v>46266</v>
      </c>
      <c r="D1070" s="20" t="n">
        <v>46266</v>
      </c>
      <c r="E1070" s="20"/>
      <c r="F1070" s="7" t="s">
        <v>759</v>
      </c>
      <c r="G1070" s="7" t="s">
        <v>153</v>
      </c>
      <c r="H1070" s="7" t="s">
        <v>545</v>
      </c>
      <c r="I1070" s="7" t="s">
        <v>760</v>
      </c>
      <c r="J1070" s="7" t="s">
        <v>761</v>
      </c>
      <c r="K1070" s="7" t="s">
        <v>762</v>
      </c>
      <c r="L1070" s="7" t="s">
        <v>546</v>
      </c>
      <c r="M1070" s="7"/>
      <c r="N1070" s="16"/>
      <c r="O1070" s="7"/>
      <c r="P1070" s="22"/>
      <c r="Q1070" s="8" t="n">
        <v>4200</v>
      </c>
      <c r="R1070" s="8" t="n">
        <v>-4200</v>
      </c>
      <c r="S1070" s="7" t="s">
        <v>763</v>
      </c>
      <c r="T1070" s="7"/>
      <c r="U1070" s="7"/>
      <c r="V1070" s="20"/>
      <c r="W1070" s="7"/>
      <c r="X1070" s="7"/>
      <c r="Y1070" s="7"/>
      <c r="Z1070" s="7"/>
      <c r="AA1070" s="23" t="n">
        <f aca="false">YEAR(C1070)</f>
        <v>2026</v>
      </c>
    </row>
    <row r="1071" customFormat="false" ht="15" hidden="false" customHeight="false" outlineLevel="0" collapsed="false">
      <c r="A1071" s="7" t="s">
        <v>2644</v>
      </c>
      <c r="B1071" s="7" t="s">
        <v>137</v>
      </c>
      <c r="C1071" s="20" t="n">
        <v>46267</v>
      </c>
      <c r="D1071" s="20"/>
      <c r="E1071" s="20" t="n">
        <v>46297</v>
      </c>
      <c r="F1071" s="7" t="s">
        <v>759</v>
      </c>
      <c r="G1071" s="7" t="s">
        <v>149</v>
      </c>
      <c r="H1071" s="7" t="s">
        <v>261</v>
      </c>
      <c r="I1071" s="7" t="s">
        <v>262</v>
      </c>
      <c r="J1071" s="7" t="s">
        <v>221</v>
      </c>
      <c r="K1071" s="7" t="s">
        <v>260</v>
      </c>
      <c r="L1071" s="7" t="s">
        <v>539</v>
      </c>
      <c r="M1071" s="7" t="s">
        <v>538</v>
      </c>
      <c r="N1071" s="16"/>
      <c r="O1071" s="7"/>
      <c r="P1071" s="22"/>
      <c r="Q1071" s="8" t="n">
        <v>6646.08</v>
      </c>
      <c r="R1071" s="8" t="n">
        <v>0</v>
      </c>
      <c r="S1071" s="7" t="s">
        <v>751</v>
      </c>
      <c r="T1071" s="7"/>
      <c r="U1071" s="7" t="s">
        <v>2645</v>
      </c>
      <c r="V1071" s="20" t="n">
        <v>46297</v>
      </c>
      <c r="W1071" s="7" t="s">
        <v>938</v>
      </c>
      <c r="X1071" s="7"/>
      <c r="Y1071" s="7"/>
      <c r="Z1071" s="7"/>
      <c r="AA1071" s="23" t="n">
        <f aca="false">YEAR(C1071)</f>
        <v>2026</v>
      </c>
    </row>
    <row r="1072" customFormat="false" ht="15" hidden="false" customHeight="false" outlineLevel="0" collapsed="false">
      <c r="A1072" s="7" t="s">
        <v>2646</v>
      </c>
      <c r="B1072" s="7" t="s">
        <v>137</v>
      </c>
      <c r="C1072" s="20" t="n">
        <v>46269</v>
      </c>
      <c r="D1072" s="20" t="n">
        <v>46269</v>
      </c>
      <c r="E1072" s="20"/>
      <c r="F1072" s="7" t="s">
        <v>759</v>
      </c>
      <c r="G1072" s="7" t="s">
        <v>149</v>
      </c>
      <c r="H1072" s="7" t="s">
        <v>271</v>
      </c>
      <c r="I1072" s="7" t="s">
        <v>272</v>
      </c>
      <c r="J1072" s="7" t="s">
        <v>221</v>
      </c>
      <c r="K1072" s="7" t="s">
        <v>270</v>
      </c>
      <c r="L1072" s="7" t="s">
        <v>2119</v>
      </c>
      <c r="M1072" s="7" t="s">
        <v>541</v>
      </c>
      <c r="N1072" s="16"/>
      <c r="O1072" s="7"/>
      <c r="P1072" s="22"/>
      <c r="Q1072" s="8" t="n">
        <v>853.77</v>
      </c>
      <c r="R1072" s="8" t="n">
        <v>-853.77</v>
      </c>
      <c r="S1072" s="7" t="s">
        <v>744</v>
      </c>
      <c r="T1072" s="7"/>
      <c r="U1072" s="7"/>
      <c r="V1072" s="20"/>
      <c r="W1072" s="7"/>
      <c r="X1072" s="7"/>
      <c r="Y1072" s="7"/>
      <c r="Z1072" s="7"/>
      <c r="AA1072" s="23" t="n">
        <f aca="false">YEAR(C1072)</f>
        <v>2026</v>
      </c>
    </row>
    <row r="1073" customFormat="false" ht="15" hidden="false" customHeight="false" outlineLevel="0" collapsed="false">
      <c r="A1073" s="7" t="s">
        <v>2647</v>
      </c>
      <c r="B1073" s="7" t="s">
        <v>137</v>
      </c>
      <c r="C1073" s="20" t="n">
        <v>46269</v>
      </c>
      <c r="D1073" s="20" t="n">
        <v>46269</v>
      </c>
      <c r="E1073" s="20"/>
      <c r="F1073" s="7" t="s">
        <v>759</v>
      </c>
      <c r="G1073" s="7" t="s">
        <v>153</v>
      </c>
      <c r="H1073" s="7" t="s">
        <v>271</v>
      </c>
      <c r="I1073" s="7" t="s">
        <v>272</v>
      </c>
      <c r="J1073" s="7" t="s">
        <v>221</v>
      </c>
      <c r="K1073" s="7" t="s">
        <v>270</v>
      </c>
      <c r="L1073" s="7" t="s">
        <v>544</v>
      </c>
      <c r="M1073" s="7" t="s">
        <v>541</v>
      </c>
      <c r="N1073" s="16"/>
      <c r="O1073" s="7"/>
      <c r="P1073" s="22"/>
      <c r="Q1073" s="8" t="n">
        <v>569.18</v>
      </c>
      <c r="R1073" s="8" t="n">
        <v>-569.18</v>
      </c>
      <c r="S1073" s="7" t="s">
        <v>744</v>
      </c>
      <c r="T1073" s="7"/>
      <c r="U1073" s="7"/>
      <c r="V1073" s="20"/>
      <c r="W1073" s="7"/>
      <c r="X1073" s="7"/>
      <c r="Y1073" s="7"/>
      <c r="Z1073" s="7"/>
      <c r="AA1073" s="23" t="n">
        <f aca="false">YEAR(C1073)</f>
        <v>2026</v>
      </c>
    </row>
    <row r="1074" customFormat="false" ht="15" hidden="false" customHeight="false" outlineLevel="0" collapsed="false">
      <c r="A1074" s="7" t="s">
        <v>2648</v>
      </c>
      <c r="B1074" s="7" t="s">
        <v>137</v>
      </c>
      <c r="C1074" s="20" t="n">
        <v>46269</v>
      </c>
      <c r="D1074" s="20"/>
      <c r="E1074" s="20" t="n">
        <v>46310</v>
      </c>
      <c r="F1074" s="7" t="s">
        <v>759</v>
      </c>
      <c r="G1074" s="7" t="s">
        <v>149</v>
      </c>
      <c r="H1074" s="7" t="s">
        <v>273</v>
      </c>
      <c r="I1074" s="7" t="s">
        <v>274</v>
      </c>
      <c r="J1074" s="7" t="s">
        <v>221</v>
      </c>
      <c r="K1074" s="7" t="s">
        <v>270</v>
      </c>
      <c r="L1074" s="7" t="s">
        <v>554</v>
      </c>
      <c r="M1074" s="7" t="s">
        <v>541</v>
      </c>
      <c r="N1074" s="16"/>
      <c r="O1074" s="7"/>
      <c r="P1074" s="22"/>
      <c r="Q1074" s="8" t="n">
        <v>125.22</v>
      </c>
      <c r="R1074" s="8" t="n">
        <v>0</v>
      </c>
      <c r="S1074" s="7" t="s">
        <v>789</v>
      </c>
      <c r="T1074" s="7"/>
      <c r="U1074" s="7"/>
      <c r="V1074" s="20"/>
      <c r="W1074" s="7"/>
      <c r="X1074" s="7"/>
      <c r="Y1074" s="7"/>
      <c r="Z1074" s="7"/>
      <c r="AA1074" s="23" t="n">
        <f aca="false">YEAR(C1074)</f>
        <v>2026</v>
      </c>
    </row>
    <row r="1075" customFormat="false" ht="15" hidden="false" customHeight="false" outlineLevel="0" collapsed="false">
      <c r="A1075" s="7" t="s">
        <v>2649</v>
      </c>
      <c r="B1075" s="7" t="s">
        <v>137</v>
      </c>
      <c r="C1075" s="20" t="n">
        <v>46272</v>
      </c>
      <c r="D1075" s="20"/>
      <c r="E1075" s="20" t="n">
        <v>46317</v>
      </c>
      <c r="F1075" s="7" t="s">
        <v>759</v>
      </c>
      <c r="G1075" s="7" t="s">
        <v>149</v>
      </c>
      <c r="H1075" s="7" t="s">
        <v>284</v>
      </c>
      <c r="I1075" s="7" t="s">
        <v>285</v>
      </c>
      <c r="J1075" s="7" t="s">
        <v>221</v>
      </c>
      <c r="K1075" s="7" t="s">
        <v>283</v>
      </c>
      <c r="L1075" s="7" t="s">
        <v>569</v>
      </c>
      <c r="M1075" s="7"/>
      <c r="N1075" s="16"/>
      <c r="O1075" s="7"/>
      <c r="P1075" s="22"/>
      <c r="Q1075" s="8" t="n">
        <v>2300</v>
      </c>
      <c r="R1075" s="8" t="n">
        <v>0</v>
      </c>
      <c r="S1075" s="7" t="s">
        <v>765</v>
      </c>
      <c r="T1075" s="7"/>
      <c r="U1075" s="7"/>
      <c r="V1075" s="20"/>
      <c r="W1075" s="7"/>
      <c r="X1075" s="7"/>
      <c r="Y1075" s="7"/>
      <c r="Z1075" s="7"/>
      <c r="AA1075" s="23" t="n">
        <f aca="false">YEAR(C1075)</f>
        <v>2026</v>
      </c>
    </row>
    <row r="1076" customFormat="false" ht="15" hidden="false" customHeight="false" outlineLevel="0" collapsed="false">
      <c r="A1076" s="7" t="s">
        <v>2650</v>
      </c>
      <c r="B1076" s="7" t="s">
        <v>137</v>
      </c>
      <c r="C1076" s="20" t="n">
        <v>46273</v>
      </c>
      <c r="D1076" s="20"/>
      <c r="E1076" s="20" t="n">
        <v>46317</v>
      </c>
      <c r="F1076" s="7" t="s">
        <v>759</v>
      </c>
      <c r="G1076" s="7" t="s">
        <v>153</v>
      </c>
      <c r="H1076" s="7" t="s">
        <v>244</v>
      </c>
      <c r="I1076" s="7" t="s">
        <v>245</v>
      </c>
      <c r="J1076" s="7" t="s">
        <v>229</v>
      </c>
      <c r="K1076" s="7" t="s">
        <v>233</v>
      </c>
      <c r="L1076" s="7" t="s">
        <v>570</v>
      </c>
      <c r="M1076" s="7"/>
      <c r="N1076" s="16"/>
      <c r="O1076" s="7"/>
      <c r="P1076" s="22"/>
      <c r="Q1076" s="8" t="n">
        <v>165</v>
      </c>
      <c r="R1076" s="8" t="n">
        <v>0</v>
      </c>
      <c r="S1076" s="7" t="s">
        <v>765</v>
      </c>
      <c r="T1076" s="7"/>
      <c r="U1076" s="7"/>
      <c r="V1076" s="20"/>
      <c r="W1076" s="7"/>
      <c r="X1076" s="7"/>
      <c r="Y1076" s="7"/>
      <c r="Z1076" s="7"/>
      <c r="AA1076" s="23" t="n">
        <f aca="false">YEAR(C1076)</f>
        <v>2026</v>
      </c>
    </row>
    <row r="1077" customFormat="false" ht="15" hidden="false" customHeight="false" outlineLevel="0" collapsed="false">
      <c r="A1077" s="7" t="s">
        <v>2651</v>
      </c>
      <c r="B1077" s="7" t="s">
        <v>137</v>
      </c>
      <c r="C1077" s="20" t="n">
        <v>46277</v>
      </c>
      <c r="D1077" s="20" t="n">
        <v>46277</v>
      </c>
      <c r="E1077" s="20"/>
      <c r="F1077" s="7" t="s">
        <v>759</v>
      </c>
      <c r="G1077" s="7" t="s">
        <v>153</v>
      </c>
      <c r="H1077" s="7" t="s">
        <v>240</v>
      </c>
      <c r="I1077" s="7" t="s">
        <v>239</v>
      </c>
      <c r="J1077" s="7" t="s">
        <v>229</v>
      </c>
      <c r="K1077" s="7" t="s">
        <v>239</v>
      </c>
      <c r="L1077" s="7" t="s">
        <v>548</v>
      </c>
      <c r="M1077" s="7" t="s">
        <v>547</v>
      </c>
      <c r="N1077" s="16"/>
      <c r="O1077" s="7"/>
      <c r="P1077" s="22"/>
      <c r="Q1077" s="8" t="n">
        <v>260.31</v>
      </c>
      <c r="R1077" s="8" t="n">
        <v>-260.31</v>
      </c>
      <c r="S1077" s="7" t="s">
        <v>775</v>
      </c>
      <c r="T1077" s="7"/>
      <c r="U1077" s="7"/>
      <c r="V1077" s="20"/>
      <c r="W1077" s="7"/>
      <c r="X1077" s="7"/>
      <c r="Y1077" s="7"/>
      <c r="Z1077" s="7"/>
      <c r="AA1077" s="23" t="n">
        <f aca="false">YEAR(C1077)</f>
        <v>2026</v>
      </c>
    </row>
    <row r="1078" customFormat="false" ht="15" hidden="false" customHeight="false" outlineLevel="0" collapsed="false">
      <c r="A1078" s="7" t="s">
        <v>2652</v>
      </c>
      <c r="B1078" s="7" t="s">
        <v>137</v>
      </c>
      <c r="C1078" s="20" t="n">
        <v>46280</v>
      </c>
      <c r="D1078" s="20" t="n">
        <v>46280</v>
      </c>
      <c r="E1078" s="20"/>
      <c r="F1078" s="7" t="s">
        <v>759</v>
      </c>
      <c r="G1078" s="7" t="s">
        <v>153</v>
      </c>
      <c r="H1078" s="7" t="s">
        <v>786</v>
      </c>
      <c r="I1078" s="7" t="s">
        <v>787</v>
      </c>
      <c r="J1078" s="7" t="s">
        <v>761</v>
      </c>
      <c r="K1078" s="7" t="s">
        <v>762</v>
      </c>
      <c r="L1078" s="7" t="s">
        <v>788</v>
      </c>
      <c r="M1078" s="7"/>
      <c r="N1078" s="16"/>
      <c r="O1078" s="7"/>
      <c r="P1078" s="22"/>
      <c r="Q1078" s="8" t="n">
        <v>2500</v>
      </c>
      <c r="R1078" s="8" t="n">
        <v>-2500</v>
      </c>
      <c r="S1078" s="7" t="s">
        <v>789</v>
      </c>
      <c r="T1078" s="7"/>
      <c r="U1078" s="7"/>
      <c r="V1078" s="20"/>
      <c r="W1078" s="7"/>
      <c r="X1078" s="7"/>
      <c r="Y1078" s="7"/>
      <c r="Z1078" s="7"/>
      <c r="AA1078" s="23" t="n">
        <f aca="false">YEAR(C1078)</f>
        <v>2026</v>
      </c>
    </row>
    <row r="1079" customFormat="false" ht="15" hidden="false" customHeight="false" outlineLevel="0" collapsed="false">
      <c r="A1079" s="7" t="s">
        <v>2653</v>
      </c>
      <c r="B1079" s="7" t="s">
        <v>137</v>
      </c>
      <c r="C1079" s="20" t="n">
        <v>46281</v>
      </c>
      <c r="D1079" s="20" t="n">
        <v>46281</v>
      </c>
      <c r="E1079" s="20"/>
      <c r="F1079" s="7" t="s">
        <v>759</v>
      </c>
      <c r="G1079" s="7" t="s">
        <v>149</v>
      </c>
      <c r="H1079" s="7" t="s">
        <v>237</v>
      </c>
      <c r="I1079" s="7" t="s">
        <v>238</v>
      </c>
      <c r="J1079" s="7" t="s">
        <v>236</v>
      </c>
      <c r="K1079" s="7" t="s">
        <v>189</v>
      </c>
      <c r="L1079" s="7" t="s">
        <v>2654</v>
      </c>
      <c r="M1079" s="7" t="s">
        <v>556</v>
      </c>
      <c r="N1079" s="16"/>
      <c r="O1079" s="7"/>
      <c r="P1079" s="22"/>
      <c r="Q1079" s="8" t="n">
        <v>233.19</v>
      </c>
      <c r="R1079" s="8" t="n">
        <v>-233.19</v>
      </c>
      <c r="S1079" s="7" t="s">
        <v>744</v>
      </c>
      <c r="T1079" s="7"/>
      <c r="U1079" s="7"/>
      <c r="V1079" s="20"/>
      <c r="W1079" s="7"/>
      <c r="X1079" s="7" t="s">
        <v>1552</v>
      </c>
      <c r="Y1079" s="7"/>
      <c r="Z1079" s="7"/>
      <c r="AA1079" s="23" t="n">
        <f aca="false">YEAR(C1079)</f>
        <v>2026</v>
      </c>
    </row>
    <row r="1080" customFormat="false" ht="15" hidden="false" customHeight="false" outlineLevel="0" collapsed="false">
      <c r="A1080" s="7" t="s">
        <v>2655</v>
      </c>
      <c r="B1080" s="7" t="s">
        <v>137</v>
      </c>
      <c r="C1080" s="20" t="n">
        <v>46281</v>
      </c>
      <c r="D1080" s="20" t="n">
        <v>46281</v>
      </c>
      <c r="E1080" s="20"/>
      <c r="F1080" s="7" t="s">
        <v>759</v>
      </c>
      <c r="G1080" s="7" t="s">
        <v>149</v>
      </c>
      <c r="H1080" s="7" t="s">
        <v>559</v>
      </c>
      <c r="I1080" s="7" t="s">
        <v>771</v>
      </c>
      <c r="J1080" s="7" t="s">
        <v>761</v>
      </c>
      <c r="K1080" s="7" t="s">
        <v>772</v>
      </c>
      <c r="L1080" s="7" t="s">
        <v>2656</v>
      </c>
      <c r="M1080" s="7" t="s">
        <v>556</v>
      </c>
      <c r="N1080" s="16"/>
      <c r="O1080" s="7"/>
      <c r="P1080" s="22"/>
      <c r="Q1080" s="8" t="n">
        <v>1499.3</v>
      </c>
      <c r="R1080" s="8" t="n">
        <v>-1499.3</v>
      </c>
      <c r="S1080" s="7" t="s">
        <v>744</v>
      </c>
      <c r="T1080" s="7"/>
      <c r="U1080" s="7"/>
      <c r="V1080" s="20"/>
      <c r="W1080" s="7"/>
      <c r="X1080" s="7" t="s">
        <v>1552</v>
      </c>
      <c r="Y1080" s="7"/>
      <c r="Z1080" s="7"/>
      <c r="AA1080" s="23" t="n">
        <f aca="false">YEAR(C1080)</f>
        <v>2026</v>
      </c>
    </row>
    <row r="1081" customFormat="false" ht="15" hidden="false" customHeight="false" outlineLevel="0" collapsed="false">
      <c r="A1081" s="7" t="s">
        <v>2657</v>
      </c>
      <c r="B1081" s="7" t="s">
        <v>137</v>
      </c>
      <c r="C1081" s="20" t="n">
        <v>46281</v>
      </c>
      <c r="D1081" s="20"/>
      <c r="E1081" s="20" t="n">
        <v>46311</v>
      </c>
      <c r="F1081" s="7" t="s">
        <v>759</v>
      </c>
      <c r="G1081" s="7" t="s">
        <v>149</v>
      </c>
      <c r="H1081" s="7" t="s">
        <v>261</v>
      </c>
      <c r="I1081" s="7" t="s">
        <v>262</v>
      </c>
      <c r="J1081" s="7" t="s">
        <v>221</v>
      </c>
      <c r="K1081" s="7" t="s">
        <v>260</v>
      </c>
      <c r="L1081" s="7" t="s">
        <v>553</v>
      </c>
      <c r="M1081" s="7" t="s">
        <v>538</v>
      </c>
      <c r="N1081" s="16"/>
      <c r="O1081" s="7"/>
      <c r="P1081" s="22"/>
      <c r="Q1081" s="8" t="n">
        <v>6246.24</v>
      </c>
      <c r="R1081" s="8" t="n">
        <v>0</v>
      </c>
      <c r="S1081" s="7" t="s">
        <v>751</v>
      </c>
      <c r="T1081" s="7"/>
      <c r="U1081" s="7" t="s">
        <v>2658</v>
      </c>
      <c r="V1081" s="20" t="n">
        <v>46311</v>
      </c>
      <c r="W1081" s="7" t="s">
        <v>938</v>
      </c>
      <c r="X1081" s="7"/>
      <c r="Y1081" s="7"/>
      <c r="Z1081" s="7"/>
      <c r="AA1081" s="23" t="n">
        <f aca="false">YEAR(C1081)</f>
        <v>2026</v>
      </c>
    </row>
    <row r="1082" customFormat="false" ht="15" hidden="false" customHeight="false" outlineLevel="0" collapsed="false">
      <c r="A1082" s="7" t="s">
        <v>2659</v>
      </c>
      <c r="B1082" s="7" t="s">
        <v>137</v>
      </c>
      <c r="C1082" s="20" t="n">
        <v>46283</v>
      </c>
      <c r="D1082" s="20" t="n">
        <v>46283</v>
      </c>
      <c r="E1082" s="20"/>
      <c r="F1082" s="7" t="s">
        <v>759</v>
      </c>
      <c r="G1082" s="7" t="s">
        <v>149</v>
      </c>
      <c r="H1082" s="7" t="s">
        <v>271</v>
      </c>
      <c r="I1082" s="7" t="s">
        <v>272</v>
      </c>
      <c r="J1082" s="7" t="s">
        <v>221</v>
      </c>
      <c r="K1082" s="7" t="s">
        <v>270</v>
      </c>
      <c r="L1082" s="7" t="s">
        <v>2660</v>
      </c>
      <c r="M1082" s="7" t="s">
        <v>541</v>
      </c>
      <c r="N1082" s="16"/>
      <c r="O1082" s="7"/>
      <c r="P1082" s="22"/>
      <c r="Q1082" s="8" t="n">
        <v>1495.74</v>
      </c>
      <c r="R1082" s="8" t="n">
        <v>-1495.74</v>
      </c>
      <c r="S1082" s="7" t="s">
        <v>744</v>
      </c>
      <c r="T1082" s="7"/>
      <c r="U1082" s="7"/>
      <c r="V1082" s="20"/>
      <c r="W1082" s="7"/>
      <c r="X1082" s="7"/>
      <c r="Y1082" s="7"/>
      <c r="Z1082" s="7"/>
      <c r="AA1082" s="23" t="n">
        <f aca="false">YEAR(C1082)</f>
        <v>2026</v>
      </c>
    </row>
    <row r="1083" customFormat="false" ht="15" hidden="false" customHeight="false" outlineLevel="0" collapsed="false">
      <c r="A1083" s="7" t="s">
        <v>2661</v>
      </c>
      <c r="B1083" s="7" t="s">
        <v>137</v>
      </c>
      <c r="C1083" s="20" t="n">
        <v>46283</v>
      </c>
      <c r="D1083" s="20" t="n">
        <v>46283</v>
      </c>
      <c r="E1083" s="20"/>
      <c r="F1083" s="7" t="s">
        <v>759</v>
      </c>
      <c r="G1083" s="7" t="s">
        <v>153</v>
      </c>
      <c r="H1083" s="7" t="s">
        <v>271</v>
      </c>
      <c r="I1083" s="7" t="s">
        <v>272</v>
      </c>
      <c r="J1083" s="7" t="s">
        <v>221</v>
      </c>
      <c r="K1083" s="7" t="s">
        <v>270</v>
      </c>
      <c r="L1083" s="7" t="s">
        <v>544</v>
      </c>
      <c r="M1083" s="7" t="s">
        <v>541</v>
      </c>
      <c r="N1083" s="16"/>
      <c r="O1083" s="7"/>
      <c r="P1083" s="22"/>
      <c r="Q1083" s="8" t="n">
        <v>997.16</v>
      </c>
      <c r="R1083" s="8" t="n">
        <v>-997.16</v>
      </c>
      <c r="S1083" s="7" t="s">
        <v>744</v>
      </c>
      <c r="T1083" s="7"/>
      <c r="U1083" s="7"/>
      <c r="V1083" s="20"/>
      <c r="W1083" s="7"/>
      <c r="X1083" s="7"/>
      <c r="Y1083" s="7"/>
      <c r="Z1083" s="7"/>
      <c r="AA1083" s="23" t="n">
        <f aca="false">YEAR(C1083)</f>
        <v>2026</v>
      </c>
    </row>
    <row r="1084" customFormat="false" ht="15" hidden="false" customHeight="false" outlineLevel="0" collapsed="false">
      <c r="A1084" s="7" t="s">
        <v>2662</v>
      </c>
      <c r="B1084" s="7" t="s">
        <v>137</v>
      </c>
      <c r="C1084" s="20" t="n">
        <v>46283</v>
      </c>
      <c r="D1084" s="20"/>
      <c r="E1084" s="20" t="n">
        <v>46310</v>
      </c>
      <c r="F1084" s="7" t="s">
        <v>759</v>
      </c>
      <c r="G1084" s="7" t="s">
        <v>149</v>
      </c>
      <c r="H1084" s="7" t="s">
        <v>273</v>
      </c>
      <c r="I1084" s="7" t="s">
        <v>274</v>
      </c>
      <c r="J1084" s="7" t="s">
        <v>221</v>
      </c>
      <c r="K1084" s="7" t="s">
        <v>270</v>
      </c>
      <c r="L1084" s="7" t="s">
        <v>554</v>
      </c>
      <c r="M1084" s="7" t="s">
        <v>541</v>
      </c>
      <c r="N1084" s="16"/>
      <c r="O1084" s="7"/>
      <c r="P1084" s="22"/>
      <c r="Q1084" s="8" t="n">
        <v>219.38</v>
      </c>
      <c r="R1084" s="8" t="n">
        <v>0</v>
      </c>
      <c r="S1084" s="7" t="s">
        <v>789</v>
      </c>
      <c r="T1084" s="7"/>
      <c r="U1084" s="7"/>
      <c r="V1084" s="20"/>
      <c r="W1084" s="7"/>
      <c r="X1084" s="7"/>
      <c r="Y1084" s="7"/>
      <c r="Z1084" s="7"/>
      <c r="AA1084" s="23" t="n">
        <f aca="false">YEAR(C1084)</f>
        <v>2026</v>
      </c>
    </row>
    <row r="1085" customFormat="false" ht="15" hidden="false" customHeight="false" outlineLevel="0" collapsed="false">
      <c r="A1085" s="7" t="s">
        <v>2663</v>
      </c>
      <c r="B1085" s="7" t="s">
        <v>137</v>
      </c>
      <c r="C1085" s="20" t="n">
        <v>46286</v>
      </c>
      <c r="D1085" s="20"/>
      <c r="E1085" s="20" t="n">
        <v>46317</v>
      </c>
      <c r="F1085" s="7" t="s">
        <v>759</v>
      </c>
      <c r="G1085" s="7" t="s">
        <v>149</v>
      </c>
      <c r="H1085" s="7" t="s">
        <v>284</v>
      </c>
      <c r="I1085" s="7" t="s">
        <v>285</v>
      </c>
      <c r="J1085" s="7" t="s">
        <v>221</v>
      </c>
      <c r="K1085" s="7" t="s">
        <v>283</v>
      </c>
      <c r="L1085" s="7" t="s">
        <v>568</v>
      </c>
      <c r="M1085" s="7"/>
      <c r="N1085" s="16"/>
      <c r="O1085" s="7"/>
      <c r="P1085" s="22"/>
      <c r="Q1085" s="8" t="n">
        <v>2300</v>
      </c>
      <c r="R1085" s="8" t="n">
        <v>0</v>
      </c>
      <c r="S1085" s="7" t="s">
        <v>765</v>
      </c>
      <c r="T1085" s="7"/>
      <c r="U1085" s="7"/>
      <c r="V1085" s="20"/>
      <c r="W1085" s="7"/>
      <c r="X1085" s="7"/>
      <c r="Y1085" s="7"/>
      <c r="Z1085" s="7"/>
      <c r="AA1085" s="23" t="n">
        <f aca="false">YEAR(C1085)</f>
        <v>2026</v>
      </c>
    </row>
    <row r="1086" customFormat="false" ht="15" hidden="false" customHeight="false" outlineLevel="0" collapsed="false">
      <c r="A1086" s="7" t="s">
        <v>2664</v>
      </c>
      <c r="B1086" s="7" t="s">
        <v>137</v>
      </c>
      <c r="C1086" s="20" t="n">
        <v>46287</v>
      </c>
      <c r="D1086" s="20"/>
      <c r="E1086" s="20" t="n">
        <v>46317</v>
      </c>
      <c r="F1086" s="7" t="s">
        <v>759</v>
      </c>
      <c r="G1086" s="7" t="s">
        <v>141</v>
      </c>
      <c r="H1086" s="7" t="s">
        <v>268</v>
      </c>
      <c r="I1086" s="7" t="s">
        <v>269</v>
      </c>
      <c r="J1086" s="7" t="s">
        <v>221</v>
      </c>
      <c r="K1086" s="7" t="s">
        <v>267</v>
      </c>
      <c r="L1086" s="7" t="s">
        <v>564</v>
      </c>
      <c r="M1086" s="7" t="s">
        <v>563</v>
      </c>
      <c r="N1086" s="16"/>
      <c r="O1086" s="7"/>
      <c r="P1086" s="22"/>
      <c r="Q1086" s="8" t="n">
        <v>936.32</v>
      </c>
      <c r="R1086" s="8" t="n">
        <v>0</v>
      </c>
      <c r="S1086" s="7" t="s">
        <v>751</v>
      </c>
      <c r="T1086" s="7"/>
      <c r="U1086" s="7" t="s">
        <v>2665</v>
      </c>
      <c r="V1086" s="20" t="n">
        <v>46317</v>
      </c>
      <c r="W1086" s="7"/>
      <c r="X1086" s="7"/>
      <c r="Y1086" s="7" t="s">
        <v>714</v>
      </c>
      <c r="Z1086" s="7"/>
      <c r="AA1086" s="23" t="n">
        <f aca="false">YEAR(C1086)</f>
        <v>2026</v>
      </c>
    </row>
    <row r="1087" customFormat="false" ht="15" hidden="false" customHeight="false" outlineLevel="0" collapsed="false">
      <c r="A1087" s="7" t="s">
        <v>2666</v>
      </c>
      <c r="B1087" s="7" t="s">
        <v>137</v>
      </c>
      <c r="C1087" s="20" t="n">
        <v>46289</v>
      </c>
      <c r="D1087" s="20" t="n">
        <v>46293</v>
      </c>
      <c r="E1087" s="20"/>
      <c r="F1087" s="7" t="s">
        <v>759</v>
      </c>
      <c r="G1087" s="7" t="s">
        <v>141</v>
      </c>
      <c r="H1087" s="7" t="s">
        <v>250</v>
      </c>
      <c r="I1087" s="7" t="s">
        <v>251</v>
      </c>
      <c r="J1087" s="7" t="s">
        <v>248</v>
      </c>
      <c r="K1087" s="7" t="s">
        <v>249</v>
      </c>
      <c r="L1087" s="7" t="s">
        <v>2667</v>
      </c>
      <c r="M1087" s="7" t="s">
        <v>549</v>
      </c>
      <c r="N1087" s="16" t="n">
        <v>7840</v>
      </c>
      <c r="O1087" s="7" t="s">
        <v>798</v>
      </c>
      <c r="P1087" s="22" t="n">
        <v>4.05</v>
      </c>
      <c r="Q1087" s="8" t="n">
        <v>31752</v>
      </c>
      <c r="R1087" s="8" t="n">
        <v>31752</v>
      </c>
      <c r="S1087" s="7" t="s">
        <v>33</v>
      </c>
      <c r="T1087" s="7" t="s">
        <v>2668</v>
      </c>
      <c r="U1087" s="7"/>
      <c r="V1087" s="20" t="n">
        <v>46289</v>
      </c>
      <c r="W1087" s="7"/>
      <c r="X1087" s="7"/>
      <c r="Y1087" s="7" t="s">
        <v>714</v>
      </c>
      <c r="Z1087" s="7"/>
      <c r="AA1087" s="23" t="n">
        <f aca="false">YEAR(C1087)</f>
        <v>2026</v>
      </c>
    </row>
    <row r="1088" customFormat="false" ht="15" hidden="false" customHeight="false" outlineLevel="0" collapsed="false">
      <c r="A1088" s="7" t="s">
        <v>2669</v>
      </c>
      <c r="B1088" s="7" t="s">
        <v>137</v>
      </c>
      <c r="C1088" s="20" t="n">
        <v>46291</v>
      </c>
      <c r="D1088" s="20"/>
      <c r="E1088" s="20" t="n">
        <v>46317</v>
      </c>
      <c r="F1088" s="7" t="s">
        <v>759</v>
      </c>
      <c r="G1088" s="7" t="s">
        <v>153</v>
      </c>
      <c r="H1088" s="7" t="s">
        <v>242</v>
      </c>
      <c r="I1088" s="7" t="s">
        <v>243</v>
      </c>
      <c r="J1088" s="7" t="s">
        <v>229</v>
      </c>
      <c r="K1088" s="7" t="s">
        <v>241</v>
      </c>
      <c r="L1088" s="7" t="s">
        <v>571</v>
      </c>
      <c r="M1088" s="7"/>
      <c r="N1088" s="16"/>
      <c r="O1088" s="7"/>
      <c r="P1088" s="22"/>
      <c r="Q1088" s="8" t="n">
        <v>362.08</v>
      </c>
      <c r="R1088" s="8" t="n">
        <v>0</v>
      </c>
      <c r="S1088" s="7" t="s">
        <v>765</v>
      </c>
      <c r="T1088" s="7"/>
      <c r="U1088" s="7"/>
      <c r="V1088" s="20"/>
      <c r="W1088" s="7"/>
      <c r="X1088" s="7"/>
      <c r="Y1088" s="7"/>
      <c r="Z1088" s="7"/>
      <c r="AA1088" s="23" t="n">
        <f aca="false">YEAR(C1088)</f>
        <v>2026</v>
      </c>
    </row>
    <row r="1089" customFormat="false" ht="15" hidden="false" customHeight="false" outlineLevel="0" collapsed="false">
      <c r="A1089" s="7" t="s">
        <v>2670</v>
      </c>
      <c r="B1089" s="7" t="s">
        <v>137</v>
      </c>
      <c r="C1089" s="20" t="n">
        <v>46292</v>
      </c>
      <c r="D1089" s="20"/>
      <c r="E1089" s="20" t="n">
        <v>46322</v>
      </c>
      <c r="F1089" s="7" t="s">
        <v>759</v>
      </c>
      <c r="G1089" s="7" t="s">
        <v>141</v>
      </c>
      <c r="H1089" s="7" t="s">
        <v>261</v>
      </c>
      <c r="I1089" s="7" t="s">
        <v>262</v>
      </c>
      <c r="J1089" s="7" t="s">
        <v>221</v>
      </c>
      <c r="K1089" s="7" t="s">
        <v>260</v>
      </c>
      <c r="L1089" s="7" t="s">
        <v>565</v>
      </c>
      <c r="M1089" s="7" t="s">
        <v>538</v>
      </c>
      <c r="N1089" s="16"/>
      <c r="O1089" s="7"/>
      <c r="P1089" s="22"/>
      <c r="Q1089" s="8" t="n">
        <v>2092.8</v>
      </c>
      <c r="R1089" s="8" t="n">
        <v>0</v>
      </c>
      <c r="S1089" s="7" t="s">
        <v>751</v>
      </c>
      <c r="T1089" s="7"/>
      <c r="U1089" s="7" t="s">
        <v>2671</v>
      </c>
      <c r="V1089" s="20" t="n">
        <v>46322</v>
      </c>
      <c r="W1089" s="7"/>
      <c r="X1089" s="7"/>
      <c r="Y1089" s="7" t="s">
        <v>714</v>
      </c>
      <c r="Z1089" s="7"/>
      <c r="AA1089" s="23" t="n">
        <f aca="false">YEAR(C1089)</f>
        <v>2026</v>
      </c>
    </row>
    <row r="1090" customFormat="false" ht="15" hidden="false" customHeight="false" outlineLevel="0" collapsed="false">
      <c r="A1090" s="7" t="s">
        <v>2672</v>
      </c>
      <c r="B1090" s="7" t="s">
        <v>137</v>
      </c>
      <c r="C1090" s="20" t="n">
        <v>46295</v>
      </c>
      <c r="D1090" s="20" t="n">
        <v>46295</v>
      </c>
      <c r="E1090" s="20"/>
      <c r="F1090" s="7" t="s">
        <v>759</v>
      </c>
      <c r="G1090" s="7" t="s">
        <v>136</v>
      </c>
      <c r="H1090" s="7" t="s">
        <v>223</v>
      </c>
      <c r="I1090" s="7" t="s">
        <v>224</v>
      </c>
      <c r="J1090" s="7" t="s">
        <v>221</v>
      </c>
      <c r="K1090" s="7" t="s">
        <v>222</v>
      </c>
      <c r="L1090" s="7" t="s">
        <v>1113</v>
      </c>
      <c r="M1090" s="7" t="s">
        <v>1114</v>
      </c>
      <c r="N1090" s="16" t="n">
        <v>96</v>
      </c>
      <c r="O1090" s="7" t="s">
        <v>801</v>
      </c>
      <c r="P1090" s="22" t="n">
        <v>1.36</v>
      </c>
      <c r="Q1090" s="8" t="n">
        <v>130.8</v>
      </c>
      <c r="R1090" s="8" t="n">
        <v>-130.8</v>
      </c>
      <c r="S1090" s="7" t="s">
        <v>33</v>
      </c>
      <c r="T1090" s="7"/>
      <c r="U1090" s="7"/>
      <c r="V1090" s="20"/>
      <c r="W1090" s="7"/>
      <c r="X1090" s="7"/>
      <c r="Y1090" s="7" t="s">
        <v>723</v>
      </c>
      <c r="Z1090" s="7"/>
      <c r="AA1090" s="23" t="n">
        <f aca="false">YEAR(C1090)</f>
        <v>2026</v>
      </c>
    </row>
    <row r="1091" customFormat="false" ht="15" hidden="false" customHeight="false" outlineLevel="0" collapsed="false">
      <c r="A1091" s="7" t="s">
        <v>2673</v>
      </c>
      <c r="B1091" s="7" t="s">
        <v>137</v>
      </c>
      <c r="C1091" s="20" t="n">
        <v>46295</v>
      </c>
      <c r="D1091" s="20" t="n">
        <v>46295</v>
      </c>
      <c r="E1091" s="20"/>
      <c r="F1091" s="7" t="s">
        <v>759</v>
      </c>
      <c r="G1091" s="7" t="s">
        <v>153</v>
      </c>
      <c r="H1091" s="7" t="s">
        <v>246</v>
      </c>
      <c r="I1091" s="7" t="s">
        <v>247</v>
      </c>
      <c r="J1091" s="7" t="s">
        <v>236</v>
      </c>
      <c r="K1091" s="7" t="s">
        <v>189</v>
      </c>
      <c r="L1091" s="7" t="s">
        <v>2341</v>
      </c>
      <c r="M1091" s="7" t="s">
        <v>556</v>
      </c>
      <c r="N1091" s="16"/>
      <c r="O1091" s="7"/>
      <c r="P1091" s="22"/>
      <c r="Q1091" s="8" t="n">
        <v>1592.47</v>
      </c>
      <c r="R1091" s="8" t="n">
        <v>-1592.47</v>
      </c>
      <c r="S1091" s="7" t="s">
        <v>775</v>
      </c>
      <c r="T1091" s="7"/>
      <c r="U1091" s="7"/>
      <c r="V1091" s="20"/>
      <c r="W1091" s="7"/>
      <c r="X1091" s="7" t="s">
        <v>784</v>
      </c>
      <c r="Y1091" s="7"/>
      <c r="Z1091" s="7"/>
      <c r="AA1091" s="23" t="n">
        <f aca="false">YEAR(C1091)</f>
        <v>2026</v>
      </c>
    </row>
    <row r="1092" customFormat="false" ht="15" hidden="false" customHeight="false" outlineLevel="0" collapsed="false">
      <c r="A1092" s="7" t="s">
        <v>2674</v>
      </c>
      <c r="B1092" s="7" t="s">
        <v>137</v>
      </c>
      <c r="C1092" s="20" t="n">
        <v>46295</v>
      </c>
      <c r="D1092" s="20" t="n">
        <v>46295</v>
      </c>
      <c r="E1092" s="20"/>
      <c r="F1092" s="7" t="s">
        <v>759</v>
      </c>
      <c r="G1092" s="7" t="s">
        <v>153</v>
      </c>
      <c r="H1092" s="7" t="s">
        <v>574</v>
      </c>
      <c r="I1092" s="7" t="s">
        <v>364</v>
      </c>
      <c r="J1092" s="7" t="s">
        <v>761</v>
      </c>
      <c r="K1092" s="7" t="s">
        <v>772</v>
      </c>
      <c r="L1092" s="7" t="s">
        <v>575</v>
      </c>
      <c r="M1092" s="7" t="s">
        <v>556</v>
      </c>
      <c r="N1092" s="16"/>
      <c r="O1092" s="7"/>
      <c r="P1092" s="22"/>
      <c r="Q1092" s="8" t="n">
        <v>29000</v>
      </c>
      <c r="R1092" s="8" t="n">
        <v>-29000</v>
      </c>
      <c r="S1092" s="7" t="s">
        <v>783</v>
      </c>
      <c r="T1092" s="7"/>
      <c r="U1092" s="7"/>
      <c r="V1092" s="20"/>
      <c r="W1092" s="7"/>
      <c r="X1092" s="7" t="s">
        <v>784</v>
      </c>
      <c r="Y1092" s="7"/>
      <c r="Z1092" s="7"/>
      <c r="AA1092" s="23" t="n">
        <f aca="false">YEAR(C1092)</f>
        <v>2026</v>
      </c>
    </row>
  </sheetData>
  <autoFilter ref="A1:Z10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10" min="9" style="0" width="13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23"/>
    <col collapsed="false" customWidth="true" hidden="false" outlineLevel="0" max="14" min="14" style="0" width="18"/>
    <col collapsed="false" customWidth="true" hidden="false" outlineLevel="0" max="15" min="15" style="0" width="15"/>
  </cols>
  <sheetData>
    <row r="1" customFormat="false" ht="23.85" hidden="false" customHeight="false" outlineLevel="0" collapsed="false">
      <c r="A1" s="11" t="s">
        <v>218</v>
      </c>
      <c r="B1" s="11" t="s">
        <v>131</v>
      </c>
      <c r="C1" s="11" t="s">
        <v>734</v>
      </c>
      <c r="D1" s="11" t="s">
        <v>2675</v>
      </c>
      <c r="E1" s="11" t="s">
        <v>130</v>
      </c>
      <c r="F1" s="11" t="s">
        <v>2676</v>
      </c>
      <c r="G1" s="11" t="s">
        <v>736</v>
      </c>
      <c r="H1" s="11" t="s">
        <v>536</v>
      </c>
      <c r="I1" s="11" t="s">
        <v>2677</v>
      </c>
      <c r="J1" s="11" t="s">
        <v>2678</v>
      </c>
      <c r="K1" s="11" t="s">
        <v>2679</v>
      </c>
      <c r="L1" s="11" t="s">
        <v>2680</v>
      </c>
      <c r="M1" s="11" t="s">
        <v>2681</v>
      </c>
      <c r="N1" s="11" t="s">
        <v>2682</v>
      </c>
      <c r="O1" s="11" t="s">
        <v>2683</v>
      </c>
    </row>
    <row r="2" customFormat="false" ht="15" hidden="false" customHeight="false" outlineLevel="0" collapsed="false">
      <c r="A2" s="8" t="n">
        <v>29956.8</v>
      </c>
      <c r="B2" s="7" t="s">
        <v>137</v>
      </c>
      <c r="C2" s="7" t="s">
        <v>745</v>
      </c>
      <c r="D2" s="7" t="s">
        <v>566</v>
      </c>
      <c r="E2" s="7" t="s">
        <v>136</v>
      </c>
      <c r="F2" s="20" t="n">
        <v>44914</v>
      </c>
      <c r="G2" s="20" t="n">
        <v>45226</v>
      </c>
      <c r="H2" s="7" t="s">
        <v>743</v>
      </c>
      <c r="I2" s="8" t="n">
        <v>29956.8</v>
      </c>
      <c r="J2" s="8" t="n">
        <v>0</v>
      </c>
      <c r="K2" s="7" t="s">
        <v>2684</v>
      </c>
      <c r="L2" s="20" t="n">
        <v>45226</v>
      </c>
      <c r="M2" s="20"/>
      <c r="N2" s="16" t="n">
        <v>312</v>
      </c>
      <c r="O2" s="16" t="n">
        <v>0</v>
      </c>
    </row>
    <row r="3" customFormat="false" ht="15" hidden="false" customHeight="false" outlineLevel="0" collapsed="false">
      <c r="A3" s="8" t="n">
        <v>6271.78</v>
      </c>
      <c r="B3" s="7" t="s">
        <v>137</v>
      </c>
      <c r="C3" s="7" t="s">
        <v>968</v>
      </c>
      <c r="D3" s="7" t="s">
        <v>606</v>
      </c>
      <c r="E3" s="7" t="s">
        <v>149</v>
      </c>
      <c r="F3" s="20" t="n">
        <v>45101</v>
      </c>
      <c r="G3" s="20" t="n">
        <v>45131</v>
      </c>
      <c r="H3" s="7" t="s">
        <v>970</v>
      </c>
      <c r="I3" s="8" t="n">
        <v>6271.78</v>
      </c>
      <c r="J3" s="8" t="n">
        <v>0</v>
      </c>
      <c r="K3" s="7" t="s">
        <v>2684</v>
      </c>
      <c r="L3" s="20" t="n">
        <v>45145</v>
      </c>
      <c r="M3" s="20"/>
      <c r="N3" s="16" t="n">
        <v>44</v>
      </c>
      <c r="O3" s="16" t="n">
        <v>14</v>
      </c>
    </row>
    <row r="4" customFormat="false" ht="15" hidden="false" customHeight="false" outlineLevel="0" collapsed="false">
      <c r="A4" s="8" t="n">
        <v>6230.78</v>
      </c>
      <c r="B4" s="7" t="s">
        <v>137</v>
      </c>
      <c r="C4" s="7" t="s">
        <v>973</v>
      </c>
      <c r="D4" s="7" t="s">
        <v>603</v>
      </c>
      <c r="E4" s="7" t="s">
        <v>149</v>
      </c>
      <c r="F4" s="20" t="n">
        <v>45102</v>
      </c>
      <c r="G4" s="20" t="n">
        <v>45132</v>
      </c>
      <c r="H4" s="7" t="s">
        <v>975</v>
      </c>
      <c r="I4" s="8" t="n">
        <v>6230.78</v>
      </c>
      <c r="J4" s="8" t="n">
        <v>0</v>
      </c>
      <c r="K4" s="7" t="s">
        <v>2684</v>
      </c>
      <c r="L4" s="20" t="n">
        <v>45145</v>
      </c>
      <c r="M4" s="20"/>
      <c r="N4" s="16" t="n">
        <v>43</v>
      </c>
      <c r="O4" s="16" t="n">
        <v>13</v>
      </c>
    </row>
    <row r="5" customFormat="false" ht="15" hidden="false" customHeight="false" outlineLevel="0" collapsed="false">
      <c r="A5" s="8" t="n">
        <v>8239.39</v>
      </c>
      <c r="B5" s="7" t="s">
        <v>137</v>
      </c>
      <c r="C5" s="7" t="s">
        <v>982</v>
      </c>
      <c r="D5" s="7" t="s">
        <v>593</v>
      </c>
      <c r="E5" s="7" t="s">
        <v>149</v>
      </c>
      <c r="F5" s="20" t="n">
        <v>45103</v>
      </c>
      <c r="G5" s="20" t="n">
        <v>45133</v>
      </c>
      <c r="H5" s="7" t="s">
        <v>984</v>
      </c>
      <c r="I5" s="8" t="n">
        <v>8239.39</v>
      </c>
      <c r="J5" s="8" t="n">
        <v>0</v>
      </c>
      <c r="K5" s="7" t="s">
        <v>2684</v>
      </c>
      <c r="L5" s="20" t="n">
        <v>45146</v>
      </c>
      <c r="M5" s="20"/>
      <c r="N5" s="16" t="n">
        <v>43</v>
      </c>
      <c r="O5" s="16" t="n">
        <v>13</v>
      </c>
    </row>
    <row r="6" customFormat="false" ht="15" hidden="false" customHeight="false" outlineLevel="0" collapsed="false">
      <c r="A6" s="8" t="n">
        <v>8157.41</v>
      </c>
      <c r="B6" s="7" t="s">
        <v>137</v>
      </c>
      <c r="C6" s="7" t="s">
        <v>987</v>
      </c>
      <c r="D6" s="7" t="s">
        <v>600</v>
      </c>
      <c r="E6" s="7" t="s">
        <v>149</v>
      </c>
      <c r="F6" s="20" t="n">
        <v>45104</v>
      </c>
      <c r="G6" s="20" t="n">
        <v>45134</v>
      </c>
      <c r="H6" s="7" t="s">
        <v>989</v>
      </c>
      <c r="I6" s="8" t="n">
        <v>8157.41</v>
      </c>
      <c r="J6" s="8" t="n">
        <v>0</v>
      </c>
      <c r="K6" s="7" t="s">
        <v>2684</v>
      </c>
      <c r="L6" s="20" t="n">
        <v>45177</v>
      </c>
      <c r="M6" s="20"/>
      <c r="N6" s="16" t="n">
        <v>73</v>
      </c>
      <c r="O6" s="16" t="n">
        <v>43</v>
      </c>
    </row>
    <row r="7" customFormat="false" ht="15" hidden="false" customHeight="false" outlineLevel="0" collapsed="false">
      <c r="A7" s="8" t="n">
        <v>11814.72</v>
      </c>
      <c r="B7" s="7" t="s">
        <v>137</v>
      </c>
      <c r="C7" s="7" t="s">
        <v>992</v>
      </c>
      <c r="D7" s="7" t="s">
        <v>626</v>
      </c>
      <c r="E7" s="7" t="s">
        <v>146</v>
      </c>
      <c r="F7" s="20" t="n">
        <v>45105</v>
      </c>
      <c r="G7" s="20" t="n">
        <v>45105</v>
      </c>
      <c r="H7" s="7" t="s">
        <v>991</v>
      </c>
      <c r="I7" s="8" t="n">
        <v>11814.72</v>
      </c>
      <c r="J7" s="8" t="n">
        <v>0</v>
      </c>
      <c r="K7" s="7" t="s">
        <v>2684</v>
      </c>
      <c r="L7" s="20" t="n">
        <v>45114</v>
      </c>
      <c r="M7" s="20"/>
      <c r="N7" s="16" t="n">
        <v>9</v>
      </c>
      <c r="O7" s="16" t="n">
        <v>9</v>
      </c>
    </row>
    <row r="8" customFormat="false" ht="15" hidden="false" customHeight="false" outlineLevel="0" collapsed="false">
      <c r="A8" s="8" t="n">
        <v>17134.66</v>
      </c>
      <c r="B8" s="7" t="s">
        <v>137</v>
      </c>
      <c r="C8" s="7" t="s">
        <v>1000</v>
      </c>
      <c r="D8" s="7" t="s">
        <v>583</v>
      </c>
      <c r="E8" s="7" t="s">
        <v>149</v>
      </c>
      <c r="F8" s="20" t="n">
        <v>45105</v>
      </c>
      <c r="G8" s="20" t="n">
        <v>45135</v>
      </c>
      <c r="H8" s="7" t="s">
        <v>1002</v>
      </c>
      <c r="I8" s="8" t="n">
        <v>17134.66</v>
      </c>
      <c r="J8" s="8" t="n">
        <v>0</v>
      </c>
      <c r="K8" s="7" t="s">
        <v>2684</v>
      </c>
      <c r="L8" s="20" t="n">
        <v>45160</v>
      </c>
      <c r="M8" s="20"/>
      <c r="N8" s="16" t="n">
        <v>55</v>
      </c>
      <c r="O8" s="16" t="n">
        <v>25</v>
      </c>
    </row>
    <row r="9" customFormat="false" ht="15" hidden="false" customHeight="false" outlineLevel="0" collapsed="false">
      <c r="A9" s="8" t="n">
        <v>4427.14</v>
      </c>
      <c r="B9" s="7" t="s">
        <v>137</v>
      </c>
      <c r="C9" s="7" t="s">
        <v>995</v>
      </c>
      <c r="D9" s="7" t="s">
        <v>614</v>
      </c>
      <c r="E9" s="7" t="s">
        <v>149</v>
      </c>
      <c r="F9" s="20" t="n">
        <v>45105</v>
      </c>
      <c r="G9" s="20" t="n">
        <v>45135</v>
      </c>
      <c r="H9" s="7" t="s">
        <v>997</v>
      </c>
      <c r="I9" s="8" t="n">
        <v>4427.14</v>
      </c>
      <c r="J9" s="8" t="n">
        <v>0</v>
      </c>
      <c r="K9" s="7" t="s">
        <v>2684</v>
      </c>
      <c r="L9" s="20" t="n">
        <v>45149</v>
      </c>
      <c r="M9" s="20"/>
      <c r="N9" s="16" t="n">
        <v>44</v>
      </c>
      <c r="O9" s="16" t="n">
        <v>14</v>
      </c>
    </row>
    <row r="10" customFormat="false" ht="15" hidden="false" customHeight="false" outlineLevel="0" collapsed="false">
      <c r="A10" s="8" t="n">
        <v>10043.04</v>
      </c>
      <c r="B10" s="7" t="s">
        <v>137</v>
      </c>
      <c r="C10" s="7" t="s">
        <v>1011</v>
      </c>
      <c r="D10" s="7" t="s">
        <v>1010</v>
      </c>
      <c r="E10" s="7" t="s">
        <v>149</v>
      </c>
      <c r="F10" s="20" t="n">
        <v>45108</v>
      </c>
      <c r="G10" s="20" t="n">
        <v>45138</v>
      </c>
      <c r="H10" s="7" t="s">
        <v>1013</v>
      </c>
      <c r="I10" s="8" t="n">
        <v>10043.04</v>
      </c>
      <c r="J10" s="8" t="n">
        <v>0</v>
      </c>
      <c r="K10" s="7" t="s">
        <v>2684</v>
      </c>
      <c r="L10" s="20" t="n">
        <v>45223</v>
      </c>
      <c r="M10" s="20"/>
      <c r="N10" s="16" t="n">
        <v>115</v>
      </c>
      <c r="O10" s="16" t="n">
        <v>85</v>
      </c>
    </row>
    <row r="11" customFormat="false" ht="15" hidden="false" customHeight="false" outlineLevel="0" collapsed="false">
      <c r="A11" s="8" t="n">
        <v>5984.83</v>
      </c>
      <c r="B11" s="7" t="s">
        <v>137</v>
      </c>
      <c r="C11" s="7" t="s">
        <v>1017</v>
      </c>
      <c r="D11" s="7" t="s">
        <v>1016</v>
      </c>
      <c r="E11" s="7" t="s">
        <v>149</v>
      </c>
      <c r="F11" s="20" t="n">
        <v>45109</v>
      </c>
      <c r="G11" s="20" t="n">
        <v>45139</v>
      </c>
      <c r="H11" s="7" t="s">
        <v>1019</v>
      </c>
      <c r="I11" s="8" t="n">
        <v>5984.83</v>
      </c>
      <c r="J11" s="8" t="n">
        <v>0</v>
      </c>
      <c r="K11" s="7" t="s">
        <v>2684</v>
      </c>
      <c r="L11" s="20" t="n">
        <v>45169</v>
      </c>
      <c r="M11" s="20"/>
      <c r="N11" s="16" t="n">
        <v>60</v>
      </c>
      <c r="O11" s="16" t="n">
        <v>30</v>
      </c>
    </row>
    <row r="12" customFormat="false" ht="15" hidden="false" customHeight="false" outlineLevel="0" collapsed="false">
      <c r="A12" s="8" t="n">
        <v>27942.4</v>
      </c>
      <c r="B12" s="7" t="s">
        <v>137</v>
      </c>
      <c r="C12" s="7" t="s">
        <v>1103</v>
      </c>
      <c r="D12" s="7" t="s">
        <v>549</v>
      </c>
      <c r="E12" s="7" t="s">
        <v>141</v>
      </c>
      <c r="F12" s="20" t="n">
        <v>45187</v>
      </c>
      <c r="G12" s="20" t="n">
        <v>45187</v>
      </c>
      <c r="H12" s="7" t="s">
        <v>1102</v>
      </c>
      <c r="I12" s="8" t="n">
        <v>27942.4</v>
      </c>
      <c r="J12" s="8" t="n">
        <v>0</v>
      </c>
      <c r="K12" s="7" t="s">
        <v>2684</v>
      </c>
      <c r="L12" s="20" t="n">
        <v>45191</v>
      </c>
      <c r="M12" s="20"/>
      <c r="N12" s="16" t="n">
        <v>4</v>
      </c>
      <c r="O12" s="16" t="n">
        <v>4</v>
      </c>
    </row>
    <row r="13" customFormat="false" ht="15" hidden="false" customHeight="false" outlineLevel="0" collapsed="false">
      <c r="A13" s="8" t="n">
        <v>11334.64</v>
      </c>
      <c r="B13" s="7" t="s">
        <v>137</v>
      </c>
      <c r="C13" s="7" t="s">
        <v>1128</v>
      </c>
      <c r="D13" s="7" t="s">
        <v>1010</v>
      </c>
      <c r="E13" s="7" t="s">
        <v>149</v>
      </c>
      <c r="F13" s="20" t="n">
        <v>45205</v>
      </c>
      <c r="G13" s="20" t="n">
        <v>45235</v>
      </c>
      <c r="H13" s="7" t="s">
        <v>1130</v>
      </c>
      <c r="I13" s="8" t="n">
        <v>11334.64</v>
      </c>
      <c r="J13" s="8" t="n">
        <v>0</v>
      </c>
      <c r="K13" s="7" t="s">
        <v>2684</v>
      </c>
      <c r="L13" s="20" t="n">
        <v>45327</v>
      </c>
      <c r="M13" s="20"/>
      <c r="N13" s="16" t="n">
        <v>122</v>
      </c>
      <c r="O13" s="16" t="n">
        <v>92</v>
      </c>
    </row>
    <row r="14" customFormat="false" ht="15" hidden="false" customHeight="false" outlineLevel="0" collapsed="false">
      <c r="A14" s="8" t="n">
        <v>4665.96</v>
      </c>
      <c r="B14" s="7" t="s">
        <v>137</v>
      </c>
      <c r="C14" s="7" t="s">
        <v>1133</v>
      </c>
      <c r="D14" s="7" t="s">
        <v>606</v>
      </c>
      <c r="E14" s="7" t="s">
        <v>149</v>
      </c>
      <c r="F14" s="20" t="n">
        <v>45206</v>
      </c>
      <c r="G14" s="20" t="n">
        <v>45236</v>
      </c>
      <c r="H14" s="7" t="s">
        <v>1135</v>
      </c>
      <c r="I14" s="8" t="n">
        <v>4665.96</v>
      </c>
      <c r="J14" s="8" t="n">
        <v>0</v>
      </c>
      <c r="K14" s="7" t="s">
        <v>2684</v>
      </c>
      <c r="L14" s="20" t="n">
        <v>45250</v>
      </c>
      <c r="M14" s="20"/>
      <c r="N14" s="16" t="n">
        <v>44</v>
      </c>
      <c r="O14" s="16" t="n">
        <v>14</v>
      </c>
    </row>
    <row r="15" customFormat="false" ht="15" hidden="false" customHeight="false" outlineLevel="0" collapsed="false">
      <c r="A15" s="8" t="n">
        <v>6998.94</v>
      </c>
      <c r="B15" s="7" t="s">
        <v>137</v>
      </c>
      <c r="C15" s="7" t="s">
        <v>1141</v>
      </c>
      <c r="D15" s="7" t="s">
        <v>593</v>
      </c>
      <c r="E15" s="7" t="s">
        <v>149</v>
      </c>
      <c r="F15" s="20" t="n">
        <v>45208</v>
      </c>
      <c r="G15" s="20" t="n">
        <v>45238</v>
      </c>
      <c r="H15" s="7" t="s">
        <v>1143</v>
      </c>
      <c r="I15" s="8" t="n">
        <v>6998.94</v>
      </c>
      <c r="J15" s="8" t="n">
        <v>0</v>
      </c>
      <c r="K15" s="7" t="s">
        <v>2684</v>
      </c>
      <c r="L15" s="20" t="n">
        <v>45271</v>
      </c>
      <c r="M15" s="20"/>
      <c r="N15" s="16" t="n">
        <v>63</v>
      </c>
      <c r="O15" s="16" t="n">
        <v>33</v>
      </c>
    </row>
    <row r="16" customFormat="false" ht="15" hidden="false" customHeight="false" outlineLevel="0" collapsed="false">
      <c r="A16" s="8" t="n">
        <v>4890.29</v>
      </c>
      <c r="B16" s="7" t="s">
        <v>137</v>
      </c>
      <c r="C16" s="7" t="s">
        <v>1160</v>
      </c>
      <c r="D16" s="7" t="s">
        <v>1016</v>
      </c>
      <c r="E16" s="7" t="s">
        <v>149</v>
      </c>
      <c r="F16" s="20" t="n">
        <v>45210</v>
      </c>
      <c r="G16" s="20" t="n">
        <v>45240</v>
      </c>
      <c r="H16" s="7" t="s">
        <v>1162</v>
      </c>
      <c r="I16" s="8" t="n">
        <v>4890.29</v>
      </c>
      <c r="J16" s="8" t="n">
        <v>0</v>
      </c>
      <c r="K16" s="7" t="s">
        <v>2684</v>
      </c>
      <c r="L16" s="20" t="n">
        <v>45264</v>
      </c>
      <c r="M16" s="20"/>
      <c r="N16" s="16" t="n">
        <v>54</v>
      </c>
      <c r="O16" s="16" t="n">
        <v>24</v>
      </c>
    </row>
    <row r="17" customFormat="false" ht="15" hidden="false" customHeight="false" outlineLevel="0" collapsed="false">
      <c r="A17" s="8" t="n">
        <v>6723.94</v>
      </c>
      <c r="B17" s="7" t="s">
        <v>137</v>
      </c>
      <c r="C17" s="7" t="s">
        <v>1150</v>
      </c>
      <c r="D17" s="7" t="s">
        <v>603</v>
      </c>
      <c r="E17" s="7" t="s">
        <v>149</v>
      </c>
      <c r="F17" s="20" t="n">
        <v>45210</v>
      </c>
      <c r="G17" s="20" t="n">
        <v>45240</v>
      </c>
      <c r="H17" s="7" t="s">
        <v>1152</v>
      </c>
      <c r="I17" s="8" t="n">
        <v>6723.94</v>
      </c>
      <c r="J17" s="8" t="n">
        <v>0</v>
      </c>
      <c r="K17" s="7" t="s">
        <v>2684</v>
      </c>
      <c r="L17" s="20" t="n">
        <v>45247</v>
      </c>
      <c r="M17" s="20"/>
      <c r="N17" s="16" t="n">
        <v>37</v>
      </c>
      <c r="O17" s="16" t="n">
        <v>7</v>
      </c>
    </row>
    <row r="18" customFormat="false" ht="15" hidden="false" customHeight="false" outlineLevel="0" collapsed="false">
      <c r="A18" s="8" t="n">
        <v>6403.75</v>
      </c>
      <c r="B18" s="7" t="s">
        <v>137</v>
      </c>
      <c r="C18" s="7" t="s">
        <v>1155</v>
      </c>
      <c r="D18" s="7" t="s">
        <v>1016</v>
      </c>
      <c r="E18" s="7" t="s">
        <v>149</v>
      </c>
      <c r="F18" s="20" t="n">
        <v>45210</v>
      </c>
      <c r="G18" s="20" t="n">
        <v>45240</v>
      </c>
      <c r="H18" s="7" t="s">
        <v>1157</v>
      </c>
      <c r="I18" s="8" t="n">
        <v>6403.75</v>
      </c>
      <c r="J18" s="8" t="n">
        <v>0</v>
      </c>
      <c r="K18" s="7" t="s">
        <v>2684</v>
      </c>
      <c r="L18" s="20" t="n">
        <v>45250</v>
      </c>
      <c r="M18" s="20"/>
      <c r="N18" s="16" t="n">
        <v>40</v>
      </c>
      <c r="O18" s="16" t="n">
        <v>10</v>
      </c>
    </row>
    <row r="19" customFormat="false" ht="15" hidden="false" customHeight="false" outlineLevel="0" collapsed="false">
      <c r="A19" s="8" t="n">
        <v>47920.5</v>
      </c>
      <c r="B19" s="7" t="s">
        <v>137</v>
      </c>
      <c r="C19" s="7" t="s">
        <v>1166</v>
      </c>
      <c r="D19" s="7" t="s">
        <v>549</v>
      </c>
      <c r="E19" s="7" t="s">
        <v>141</v>
      </c>
      <c r="F19" s="20" t="n">
        <v>45211</v>
      </c>
      <c r="G19" s="20" t="n">
        <v>45211</v>
      </c>
      <c r="H19" s="7" t="s">
        <v>1165</v>
      </c>
      <c r="I19" s="8" t="n">
        <v>47920.5</v>
      </c>
      <c r="J19" s="8" t="n">
        <v>0</v>
      </c>
      <c r="K19" s="7" t="s">
        <v>2684</v>
      </c>
      <c r="L19" s="20" t="n">
        <v>45215</v>
      </c>
      <c r="M19" s="20"/>
      <c r="N19" s="16" t="n">
        <v>4</v>
      </c>
      <c r="O19" s="16" t="n">
        <v>4</v>
      </c>
    </row>
    <row r="20" customFormat="false" ht="15" hidden="false" customHeight="false" outlineLevel="0" collapsed="false">
      <c r="A20" s="8" t="n">
        <v>8300.03</v>
      </c>
      <c r="B20" s="7" t="s">
        <v>137</v>
      </c>
      <c r="C20" s="7" t="s">
        <v>1169</v>
      </c>
      <c r="D20" s="7" t="s">
        <v>600</v>
      </c>
      <c r="E20" s="7" t="s">
        <v>149</v>
      </c>
      <c r="F20" s="20" t="n">
        <v>45211</v>
      </c>
      <c r="G20" s="20" t="n">
        <v>45241</v>
      </c>
      <c r="H20" s="7" t="s">
        <v>1171</v>
      </c>
      <c r="I20" s="8" t="n">
        <v>8300.03</v>
      </c>
      <c r="J20" s="8" t="n">
        <v>0</v>
      </c>
      <c r="K20" s="7" t="s">
        <v>2684</v>
      </c>
      <c r="L20" s="20" t="n">
        <v>45271</v>
      </c>
      <c r="M20" s="20"/>
      <c r="N20" s="16" t="n">
        <v>60</v>
      </c>
      <c r="O20" s="16" t="n">
        <v>30</v>
      </c>
    </row>
    <row r="21" customFormat="false" ht="15" hidden="false" customHeight="false" outlineLevel="0" collapsed="false">
      <c r="A21" s="8" t="n">
        <v>9413.51</v>
      </c>
      <c r="B21" s="7" t="s">
        <v>137</v>
      </c>
      <c r="C21" s="7" t="s">
        <v>1178</v>
      </c>
      <c r="D21" s="7" t="s">
        <v>600</v>
      </c>
      <c r="E21" s="7" t="s">
        <v>149</v>
      </c>
      <c r="F21" s="20" t="n">
        <v>45212</v>
      </c>
      <c r="G21" s="20" t="n">
        <v>45242</v>
      </c>
      <c r="H21" s="7" t="s">
        <v>1180</v>
      </c>
      <c r="I21" s="8" t="n">
        <v>9413.51</v>
      </c>
      <c r="J21" s="8" t="n">
        <v>0</v>
      </c>
      <c r="K21" s="7" t="s">
        <v>2684</v>
      </c>
      <c r="L21" s="20" t="n">
        <v>45252</v>
      </c>
      <c r="M21" s="20"/>
      <c r="N21" s="16" t="n">
        <v>40</v>
      </c>
      <c r="O21" s="16" t="n">
        <v>10</v>
      </c>
    </row>
    <row r="22" customFormat="false" ht="15" hidden="false" customHeight="false" outlineLevel="0" collapsed="false">
      <c r="A22" s="8" t="n">
        <v>6596.8</v>
      </c>
      <c r="B22" s="7" t="s">
        <v>137</v>
      </c>
      <c r="C22" s="7" t="s">
        <v>1185</v>
      </c>
      <c r="D22" s="7" t="s">
        <v>626</v>
      </c>
      <c r="E22" s="7" t="s">
        <v>146</v>
      </c>
      <c r="F22" s="20" t="n">
        <v>45217</v>
      </c>
      <c r="G22" s="20" t="n">
        <v>45217</v>
      </c>
      <c r="H22" s="7" t="s">
        <v>1184</v>
      </c>
      <c r="I22" s="8" t="n">
        <v>6596.8</v>
      </c>
      <c r="J22" s="8" t="n">
        <v>0</v>
      </c>
      <c r="K22" s="7" t="s">
        <v>2684</v>
      </c>
      <c r="L22" s="20" t="n">
        <v>45226</v>
      </c>
      <c r="M22" s="20"/>
      <c r="N22" s="16" t="n">
        <v>9</v>
      </c>
      <c r="O22" s="16" t="n">
        <v>9</v>
      </c>
    </row>
    <row r="23" customFormat="false" ht="15" hidden="false" customHeight="false" outlineLevel="0" collapsed="false">
      <c r="A23" s="8" t="n">
        <v>6659.9</v>
      </c>
      <c r="B23" s="7" t="s">
        <v>137</v>
      </c>
      <c r="C23" s="7" t="s">
        <v>1188</v>
      </c>
      <c r="D23" s="7" t="s">
        <v>606</v>
      </c>
      <c r="E23" s="7" t="s">
        <v>149</v>
      </c>
      <c r="F23" s="20" t="n">
        <v>45217</v>
      </c>
      <c r="G23" s="20" t="n">
        <v>45247</v>
      </c>
      <c r="H23" s="7" t="s">
        <v>1190</v>
      </c>
      <c r="I23" s="8" t="n">
        <v>6659.9</v>
      </c>
      <c r="J23" s="8" t="n">
        <v>0</v>
      </c>
      <c r="K23" s="7" t="s">
        <v>2684</v>
      </c>
      <c r="L23" s="20" t="n">
        <v>45259</v>
      </c>
      <c r="M23" s="20"/>
      <c r="N23" s="16" t="n">
        <v>42</v>
      </c>
      <c r="O23" s="16" t="n">
        <v>12</v>
      </c>
    </row>
    <row r="24" customFormat="false" ht="15" hidden="false" customHeight="false" outlineLevel="0" collapsed="false">
      <c r="A24" s="8" t="n">
        <v>4935.15</v>
      </c>
      <c r="B24" s="7" t="s">
        <v>137</v>
      </c>
      <c r="C24" s="7" t="s">
        <v>1193</v>
      </c>
      <c r="D24" s="7" t="s">
        <v>603</v>
      </c>
      <c r="E24" s="7" t="s">
        <v>149</v>
      </c>
      <c r="F24" s="20" t="n">
        <v>45221</v>
      </c>
      <c r="G24" s="20" t="n">
        <v>45251</v>
      </c>
      <c r="H24" s="7" t="s">
        <v>1195</v>
      </c>
      <c r="I24" s="8" t="n">
        <v>4935.15</v>
      </c>
      <c r="J24" s="8" t="n">
        <v>0</v>
      </c>
      <c r="K24" s="7" t="s">
        <v>2684</v>
      </c>
      <c r="L24" s="20" t="n">
        <v>45265</v>
      </c>
      <c r="M24" s="20"/>
      <c r="N24" s="16" t="n">
        <v>44</v>
      </c>
      <c r="O24" s="16" t="n">
        <v>14</v>
      </c>
    </row>
    <row r="25" customFormat="false" ht="15" hidden="false" customHeight="false" outlineLevel="0" collapsed="false">
      <c r="A25" s="8" t="n">
        <v>8344.89</v>
      </c>
      <c r="B25" s="7" t="s">
        <v>137</v>
      </c>
      <c r="C25" s="7" t="s">
        <v>1198</v>
      </c>
      <c r="D25" s="7" t="s">
        <v>1010</v>
      </c>
      <c r="E25" s="7" t="s">
        <v>149</v>
      </c>
      <c r="F25" s="20" t="n">
        <v>45222</v>
      </c>
      <c r="G25" s="20" t="n">
        <v>45252</v>
      </c>
      <c r="H25" s="7" t="s">
        <v>1200</v>
      </c>
      <c r="I25" s="8" t="n">
        <v>8344.89</v>
      </c>
      <c r="J25" s="8" t="n">
        <v>0</v>
      </c>
      <c r="K25" s="7" t="s">
        <v>2684</v>
      </c>
      <c r="L25" s="20" t="n">
        <v>45323</v>
      </c>
      <c r="M25" s="20"/>
      <c r="N25" s="16" t="n">
        <v>101</v>
      </c>
      <c r="O25" s="16" t="n">
        <v>71</v>
      </c>
    </row>
    <row r="26" customFormat="false" ht="15" hidden="false" customHeight="false" outlineLevel="0" collapsed="false">
      <c r="A26" s="8" t="n">
        <v>3992.99</v>
      </c>
      <c r="B26" s="7" t="s">
        <v>137</v>
      </c>
      <c r="C26" s="7" t="s">
        <v>1208</v>
      </c>
      <c r="D26" s="7" t="s">
        <v>614</v>
      </c>
      <c r="E26" s="7" t="s">
        <v>149</v>
      </c>
      <c r="F26" s="20" t="n">
        <v>45224</v>
      </c>
      <c r="G26" s="20" t="n">
        <v>45254</v>
      </c>
      <c r="H26" s="7" t="s">
        <v>1213</v>
      </c>
      <c r="I26" s="8" t="n">
        <v>3992.99</v>
      </c>
      <c r="J26" s="8" t="n">
        <v>0</v>
      </c>
      <c r="K26" s="7" t="s">
        <v>2684</v>
      </c>
      <c r="L26" s="20" t="n">
        <v>45265</v>
      </c>
      <c r="M26" s="20"/>
      <c r="N26" s="16" t="n">
        <v>41</v>
      </c>
      <c r="O26" s="16" t="n">
        <v>11</v>
      </c>
    </row>
    <row r="27" customFormat="false" ht="15" hidden="false" customHeight="false" outlineLevel="0" collapsed="false">
      <c r="A27" s="8" t="n">
        <v>5699.34</v>
      </c>
      <c r="B27" s="7" t="s">
        <v>137</v>
      </c>
      <c r="C27" s="7" t="s">
        <v>1211</v>
      </c>
      <c r="D27" s="7" t="s">
        <v>614</v>
      </c>
      <c r="E27" s="7" t="s">
        <v>149</v>
      </c>
      <c r="F27" s="20" t="n">
        <v>45224</v>
      </c>
      <c r="G27" s="20" t="n">
        <v>45254</v>
      </c>
      <c r="H27" s="7" t="s">
        <v>1215</v>
      </c>
      <c r="I27" s="8" t="n">
        <v>5699.34</v>
      </c>
      <c r="J27" s="8" t="n">
        <v>0</v>
      </c>
      <c r="K27" s="7" t="s">
        <v>2684</v>
      </c>
      <c r="L27" s="20" t="n">
        <v>45265</v>
      </c>
      <c r="M27" s="20"/>
      <c r="N27" s="16" t="n">
        <v>41</v>
      </c>
      <c r="O27" s="16" t="n">
        <v>11</v>
      </c>
    </row>
    <row r="28" customFormat="false" ht="15" hidden="false" customHeight="false" outlineLevel="0" collapsed="false">
      <c r="A28" s="8" t="n">
        <v>14625.99</v>
      </c>
      <c r="B28" s="7" t="s">
        <v>137</v>
      </c>
      <c r="C28" s="7" t="s">
        <v>1222</v>
      </c>
      <c r="D28" s="7" t="s">
        <v>583</v>
      </c>
      <c r="E28" s="7" t="s">
        <v>149</v>
      </c>
      <c r="F28" s="20" t="n">
        <v>45226</v>
      </c>
      <c r="G28" s="20" t="n">
        <v>45256</v>
      </c>
      <c r="H28" s="7" t="s">
        <v>1224</v>
      </c>
      <c r="I28" s="8" t="n">
        <v>14625.99</v>
      </c>
      <c r="J28" s="8" t="n">
        <v>0</v>
      </c>
      <c r="K28" s="7" t="s">
        <v>2684</v>
      </c>
      <c r="L28" s="20" t="n">
        <v>45287</v>
      </c>
      <c r="M28" s="20"/>
      <c r="N28" s="16" t="n">
        <v>61</v>
      </c>
      <c r="O28" s="16" t="n">
        <v>31</v>
      </c>
    </row>
    <row r="29" customFormat="false" ht="15" hidden="false" customHeight="false" outlineLevel="0" collapsed="false">
      <c r="A29" s="8" t="n">
        <v>18570.88</v>
      </c>
      <c r="B29" s="7" t="s">
        <v>137</v>
      </c>
      <c r="C29" s="7" t="s">
        <v>1233</v>
      </c>
      <c r="D29" s="7" t="s">
        <v>583</v>
      </c>
      <c r="E29" s="7" t="s">
        <v>149</v>
      </c>
      <c r="F29" s="20" t="n">
        <v>45236</v>
      </c>
      <c r="G29" s="20" t="n">
        <v>45266</v>
      </c>
      <c r="H29" s="7" t="s">
        <v>1235</v>
      </c>
      <c r="I29" s="8" t="n">
        <v>18570.88</v>
      </c>
      <c r="J29" s="8" t="n">
        <v>0</v>
      </c>
      <c r="K29" s="7" t="s">
        <v>2684</v>
      </c>
      <c r="L29" s="20" t="n">
        <v>45288</v>
      </c>
      <c r="M29" s="20"/>
      <c r="N29" s="16" t="n">
        <v>52</v>
      </c>
      <c r="O29" s="16" t="n">
        <v>22</v>
      </c>
    </row>
    <row r="30" customFormat="false" ht="15" hidden="false" customHeight="false" outlineLevel="0" collapsed="false">
      <c r="A30" s="8" t="n">
        <v>8837.18</v>
      </c>
      <c r="B30" s="7" t="s">
        <v>137</v>
      </c>
      <c r="C30" s="7" t="s">
        <v>1251</v>
      </c>
      <c r="D30" s="7" t="s">
        <v>593</v>
      </c>
      <c r="E30" s="7" t="s">
        <v>149</v>
      </c>
      <c r="F30" s="20" t="n">
        <v>45240</v>
      </c>
      <c r="G30" s="20" t="n">
        <v>45270</v>
      </c>
      <c r="H30" s="7" t="s">
        <v>1253</v>
      </c>
      <c r="I30" s="8" t="n">
        <v>8837.18</v>
      </c>
      <c r="J30" s="8" t="n">
        <v>0</v>
      </c>
      <c r="K30" s="7" t="s">
        <v>2684</v>
      </c>
      <c r="L30" s="20" t="n">
        <v>45289</v>
      </c>
      <c r="M30" s="20"/>
      <c r="N30" s="16" t="n">
        <v>49</v>
      </c>
      <c r="O30" s="16" t="n">
        <v>19</v>
      </c>
    </row>
    <row r="31" customFormat="false" ht="15" hidden="false" customHeight="false" outlineLevel="0" collapsed="false">
      <c r="A31" s="8" t="n">
        <v>4703.04</v>
      </c>
      <c r="B31" s="7" t="s">
        <v>137</v>
      </c>
      <c r="C31" s="7" t="s">
        <v>1284</v>
      </c>
      <c r="D31" s="7" t="s">
        <v>1283</v>
      </c>
      <c r="E31" s="7" t="s">
        <v>136</v>
      </c>
      <c r="F31" s="20" t="n">
        <v>45278</v>
      </c>
      <c r="G31" s="20" t="n">
        <v>45308</v>
      </c>
      <c r="H31" s="7" t="s">
        <v>1282</v>
      </c>
      <c r="I31" s="8" t="n">
        <v>4703.04</v>
      </c>
      <c r="J31" s="8" t="n">
        <v>0</v>
      </c>
      <c r="K31" s="7" t="s">
        <v>2684</v>
      </c>
      <c r="L31" s="20" t="n">
        <v>45328</v>
      </c>
      <c r="M31" s="20"/>
      <c r="N31" s="16" t="n">
        <v>50</v>
      </c>
      <c r="O31" s="16" t="n">
        <v>20</v>
      </c>
    </row>
    <row r="32" customFormat="false" ht="15" hidden="false" customHeight="false" outlineLevel="0" collapsed="false">
      <c r="A32" s="8" t="n">
        <v>19289.08</v>
      </c>
      <c r="B32" s="7" t="s">
        <v>137</v>
      </c>
      <c r="C32" s="7" t="s">
        <v>1287</v>
      </c>
      <c r="D32" s="7" t="s">
        <v>566</v>
      </c>
      <c r="E32" s="7" t="s">
        <v>136</v>
      </c>
      <c r="F32" s="20" t="n">
        <v>45279</v>
      </c>
      <c r="G32" s="20" t="n">
        <v>45591</v>
      </c>
      <c r="H32" s="7" t="s">
        <v>1289</v>
      </c>
      <c r="I32" s="8" t="n">
        <v>19289.08</v>
      </c>
      <c r="J32" s="8" t="n">
        <v>0</v>
      </c>
      <c r="K32" s="7" t="s">
        <v>2684</v>
      </c>
      <c r="L32" s="20" t="n">
        <v>45591</v>
      </c>
      <c r="M32" s="20"/>
      <c r="N32" s="16" t="n">
        <v>312</v>
      </c>
      <c r="O32" s="16" t="n">
        <v>0</v>
      </c>
    </row>
    <row r="33" customFormat="false" ht="15" hidden="false" customHeight="false" outlineLevel="0" collapsed="false">
      <c r="A33" s="8" t="n">
        <v>38578.56</v>
      </c>
      <c r="B33" s="7" t="s">
        <v>137</v>
      </c>
      <c r="C33" s="7" t="s">
        <v>1349</v>
      </c>
      <c r="D33" s="7" t="s">
        <v>549</v>
      </c>
      <c r="E33" s="7" t="s">
        <v>141</v>
      </c>
      <c r="F33" s="20" t="n">
        <v>45365</v>
      </c>
      <c r="G33" s="20" t="n">
        <v>45365</v>
      </c>
      <c r="H33" s="7" t="s">
        <v>1348</v>
      </c>
      <c r="I33" s="8" t="n">
        <v>38578.56</v>
      </c>
      <c r="J33" s="8" t="n">
        <v>0</v>
      </c>
      <c r="K33" s="7" t="s">
        <v>2684</v>
      </c>
      <c r="L33" s="20" t="n">
        <v>45369</v>
      </c>
      <c r="M33" s="20"/>
      <c r="N33" s="16" t="n">
        <v>4</v>
      </c>
      <c r="O33" s="16" t="n">
        <v>4</v>
      </c>
    </row>
    <row r="34" customFormat="false" ht="15" hidden="false" customHeight="false" outlineLevel="0" collapsed="false">
      <c r="A34" s="8" t="n">
        <v>27493.25</v>
      </c>
      <c r="B34" s="7" t="s">
        <v>137</v>
      </c>
      <c r="C34" s="7" t="s">
        <v>1386</v>
      </c>
      <c r="D34" s="7" t="s">
        <v>549</v>
      </c>
      <c r="E34" s="7" t="s">
        <v>141</v>
      </c>
      <c r="F34" s="20" t="n">
        <v>45421</v>
      </c>
      <c r="G34" s="20" t="n">
        <v>45421</v>
      </c>
      <c r="H34" s="7" t="s">
        <v>1385</v>
      </c>
      <c r="I34" s="8" t="n">
        <v>27493.25</v>
      </c>
      <c r="J34" s="8" t="n">
        <v>0</v>
      </c>
      <c r="K34" s="7" t="s">
        <v>2684</v>
      </c>
      <c r="L34" s="20" t="n">
        <v>45425</v>
      </c>
      <c r="M34" s="20"/>
      <c r="N34" s="16" t="n">
        <v>4</v>
      </c>
      <c r="O34" s="16" t="n">
        <v>4</v>
      </c>
    </row>
    <row r="35" customFormat="false" ht="15" hidden="false" customHeight="false" outlineLevel="0" collapsed="false">
      <c r="A35" s="8" t="n">
        <v>11399.47</v>
      </c>
      <c r="B35" s="7" t="s">
        <v>137</v>
      </c>
      <c r="C35" s="7" t="s">
        <v>1446</v>
      </c>
      <c r="D35" s="7" t="s">
        <v>600</v>
      </c>
      <c r="E35" s="7" t="s">
        <v>149</v>
      </c>
      <c r="F35" s="20" t="n">
        <v>45466</v>
      </c>
      <c r="G35" s="20" t="n">
        <v>45496</v>
      </c>
      <c r="H35" s="7" t="s">
        <v>1448</v>
      </c>
      <c r="I35" s="8" t="n">
        <v>11399.47</v>
      </c>
      <c r="J35" s="8" t="n">
        <v>0</v>
      </c>
      <c r="K35" s="7" t="s">
        <v>2684</v>
      </c>
      <c r="L35" s="20" t="n">
        <v>45547</v>
      </c>
      <c r="M35" s="20"/>
      <c r="N35" s="16" t="n">
        <v>81</v>
      </c>
      <c r="O35" s="16" t="n">
        <v>51</v>
      </c>
    </row>
    <row r="36" customFormat="false" ht="15" hidden="false" customHeight="false" outlineLevel="0" collapsed="false">
      <c r="A36" s="8" t="n">
        <v>8105.33</v>
      </c>
      <c r="B36" s="7" t="s">
        <v>137</v>
      </c>
      <c r="C36" s="7" t="s">
        <v>1457</v>
      </c>
      <c r="D36" s="7" t="s">
        <v>603</v>
      </c>
      <c r="E36" s="7" t="s">
        <v>149</v>
      </c>
      <c r="F36" s="20" t="n">
        <v>45468</v>
      </c>
      <c r="G36" s="20" t="n">
        <v>45498</v>
      </c>
      <c r="H36" s="7" t="s">
        <v>1459</v>
      </c>
      <c r="I36" s="8" t="n">
        <v>8105.33</v>
      </c>
      <c r="J36" s="8" t="n">
        <v>0</v>
      </c>
      <c r="K36" s="7" t="s">
        <v>2684</v>
      </c>
      <c r="L36" s="20" t="n">
        <v>45513</v>
      </c>
      <c r="M36" s="20"/>
      <c r="N36" s="16" t="n">
        <v>45</v>
      </c>
      <c r="O36" s="16" t="n">
        <v>15</v>
      </c>
    </row>
    <row r="37" customFormat="false" ht="15" hidden="false" customHeight="false" outlineLevel="0" collapsed="false">
      <c r="A37" s="8" t="n">
        <v>12210.24</v>
      </c>
      <c r="B37" s="7" t="s">
        <v>137</v>
      </c>
      <c r="C37" s="7" t="s">
        <v>1463</v>
      </c>
      <c r="D37" s="7" t="s">
        <v>626</v>
      </c>
      <c r="E37" s="7" t="s">
        <v>146</v>
      </c>
      <c r="F37" s="20" t="n">
        <v>45470</v>
      </c>
      <c r="G37" s="20" t="n">
        <v>45470</v>
      </c>
      <c r="H37" s="7" t="s">
        <v>1462</v>
      </c>
      <c r="I37" s="8" t="n">
        <v>12210.24</v>
      </c>
      <c r="J37" s="8" t="n">
        <v>0</v>
      </c>
      <c r="K37" s="7" t="s">
        <v>2684</v>
      </c>
      <c r="L37" s="20" t="n">
        <v>45481</v>
      </c>
      <c r="M37" s="20"/>
      <c r="N37" s="16" t="n">
        <v>11</v>
      </c>
      <c r="O37" s="16" t="n">
        <v>11</v>
      </c>
    </row>
    <row r="38" customFormat="false" ht="15" hidden="false" customHeight="false" outlineLevel="0" collapsed="false">
      <c r="A38" s="8" t="n">
        <v>6848.35</v>
      </c>
      <c r="B38" s="7" t="s">
        <v>137</v>
      </c>
      <c r="C38" s="7" t="s">
        <v>1466</v>
      </c>
      <c r="D38" s="7" t="s">
        <v>1016</v>
      </c>
      <c r="E38" s="7" t="s">
        <v>149</v>
      </c>
      <c r="F38" s="20" t="n">
        <v>45470</v>
      </c>
      <c r="G38" s="20" t="n">
        <v>45500</v>
      </c>
      <c r="H38" s="7" t="s">
        <v>1468</v>
      </c>
      <c r="I38" s="8" t="n">
        <v>6848.35</v>
      </c>
      <c r="J38" s="8" t="n">
        <v>0</v>
      </c>
      <c r="K38" s="7" t="s">
        <v>2684</v>
      </c>
      <c r="L38" s="20" t="n">
        <v>45531</v>
      </c>
      <c r="M38" s="20"/>
      <c r="N38" s="16" t="n">
        <v>61</v>
      </c>
      <c r="O38" s="16" t="n">
        <v>31</v>
      </c>
    </row>
    <row r="39" customFormat="false" ht="15" hidden="false" customHeight="false" outlineLevel="0" collapsed="false">
      <c r="A39" s="8" t="n">
        <v>5721.41</v>
      </c>
      <c r="B39" s="7" t="s">
        <v>137</v>
      </c>
      <c r="C39" s="7" t="s">
        <v>1475</v>
      </c>
      <c r="D39" s="7" t="s">
        <v>614</v>
      </c>
      <c r="E39" s="7" t="s">
        <v>149</v>
      </c>
      <c r="F39" s="20" t="n">
        <v>45471</v>
      </c>
      <c r="G39" s="20" t="n">
        <v>45501</v>
      </c>
      <c r="H39" s="7" t="s">
        <v>1477</v>
      </c>
      <c r="I39" s="8" t="n">
        <v>5721.41</v>
      </c>
      <c r="J39" s="8" t="n">
        <v>0</v>
      </c>
      <c r="K39" s="7" t="s">
        <v>2684</v>
      </c>
      <c r="L39" s="20" t="n">
        <v>45530</v>
      </c>
      <c r="M39" s="20"/>
      <c r="N39" s="16" t="n">
        <v>59</v>
      </c>
      <c r="O39" s="16" t="n">
        <v>29</v>
      </c>
    </row>
    <row r="40" customFormat="false" ht="15" hidden="false" customHeight="false" outlineLevel="0" collapsed="false">
      <c r="A40" s="8" t="n">
        <v>7065.07</v>
      </c>
      <c r="B40" s="7" t="s">
        <v>137</v>
      </c>
      <c r="C40" s="7" t="s">
        <v>1487</v>
      </c>
      <c r="D40" s="7" t="s">
        <v>606</v>
      </c>
      <c r="E40" s="7" t="s">
        <v>149</v>
      </c>
      <c r="F40" s="20" t="n">
        <v>45475</v>
      </c>
      <c r="G40" s="20" t="n">
        <v>45505</v>
      </c>
      <c r="H40" s="7" t="s">
        <v>1489</v>
      </c>
      <c r="I40" s="8" t="n">
        <v>7065.07</v>
      </c>
      <c r="J40" s="8" t="n">
        <v>0</v>
      </c>
      <c r="K40" s="7" t="s">
        <v>2684</v>
      </c>
      <c r="L40" s="20" t="n">
        <v>45519</v>
      </c>
      <c r="M40" s="20"/>
      <c r="N40" s="16" t="n">
        <v>44</v>
      </c>
      <c r="O40" s="16" t="n">
        <v>14</v>
      </c>
    </row>
    <row r="41" customFormat="false" ht="15" hidden="false" customHeight="false" outlineLevel="0" collapsed="false">
      <c r="A41" s="8" t="n">
        <v>10489.25</v>
      </c>
      <c r="B41" s="7" t="s">
        <v>137</v>
      </c>
      <c r="C41" s="7" t="s">
        <v>1492</v>
      </c>
      <c r="D41" s="7" t="s">
        <v>593</v>
      </c>
      <c r="E41" s="7" t="s">
        <v>149</v>
      </c>
      <c r="F41" s="20" t="n">
        <v>45477</v>
      </c>
      <c r="G41" s="20" t="n">
        <v>45507</v>
      </c>
      <c r="H41" s="7" t="s">
        <v>1494</v>
      </c>
      <c r="I41" s="8" t="n">
        <v>10489.25</v>
      </c>
      <c r="J41" s="8" t="n">
        <v>0</v>
      </c>
      <c r="K41" s="7" t="s">
        <v>2684</v>
      </c>
      <c r="L41" s="20" t="n">
        <v>45532</v>
      </c>
      <c r="M41" s="20"/>
      <c r="N41" s="16" t="n">
        <v>55</v>
      </c>
      <c r="O41" s="16" t="n">
        <v>25</v>
      </c>
    </row>
    <row r="42" customFormat="false" ht="15" hidden="false" customHeight="false" outlineLevel="0" collapsed="false">
      <c r="A42" s="8" t="n">
        <v>20805.12</v>
      </c>
      <c r="B42" s="7" t="s">
        <v>137</v>
      </c>
      <c r="C42" s="7" t="s">
        <v>1502</v>
      </c>
      <c r="D42" s="7" t="s">
        <v>583</v>
      </c>
      <c r="E42" s="7" t="s">
        <v>149</v>
      </c>
      <c r="F42" s="20" t="n">
        <v>45480</v>
      </c>
      <c r="G42" s="20" t="n">
        <v>45510</v>
      </c>
      <c r="H42" s="7" t="s">
        <v>1504</v>
      </c>
      <c r="I42" s="8" t="n">
        <v>20805.12</v>
      </c>
      <c r="J42" s="8" t="n">
        <v>0</v>
      </c>
      <c r="K42" s="7" t="s">
        <v>2684</v>
      </c>
      <c r="L42" s="20" t="n">
        <v>45534</v>
      </c>
      <c r="M42" s="20"/>
      <c r="N42" s="16" t="n">
        <v>54</v>
      </c>
      <c r="O42" s="16" t="n">
        <v>24</v>
      </c>
    </row>
    <row r="43" customFormat="false" ht="15" hidden="false" customHeight="false" outlineLevel="0" collapsed="false">
      <c r="A43" s="8" t="n">
        <v>13913.42</v>
      </c>
      <c r="B43" s="7" t="s">
        <v>137</v>
      </c>
      <c r="C43" s="7" t="s">
        <v>1508</v>
      </c>
      <c r="D43" s="7" t="s">
        <v>1010</v>
      </c>
      <c r="E43" s="7" t="s">
        <v>149</v>
      </c>
      <c r="F43" s="20" t="n">
        <v>45481</v>
      </c>
      <c r="G43" s="20" t="n">
        <v>45511</v>
      </c>
      <c r="H43" s="7" t="s">
        <v>1510</v>
      </c>
      <c r="I43" s="8" t="n">
        <v>13913.42</v>
      </c>
      <c r="J43" s="8" t="n">
        <v>0</v>
      </c>
      <c r="K43" s="7" t="s">
        <v>2684</v>
      </c>
      <c r="L43" s="20" t="n">
        <v>45562</v>
      </c>
      <c r="M43" s="20"/>
      <c r="N43" s="16" t="n">
        <v>81</v>
      </c>
      <c r="O43" s="16" t="n">
        <v>51</v>
      </c>
    </row>
    <row r="44" customFormat="false" ht="15" hidden="false" customHeight="false" outlineLevel="0" collapsed="false">
      <c r="A44" s="8" t="n">
        <v>8702.57</v>
      </c>
      <c r="B44" s="7" t="s">
        <v>137</v>
      </c>
      <c r="C44" s="7" t="s">
        <v>1615</v>
      </c>
      <c r="D44" s="7" t="s">
        <v>593</v>
      </c>
      <c r="E44" s="7" t="s">
        <v>149</v>
      </c>
      <c r="F44" s="20" t="n">
        <v>45572</v>
      </c>
      <c r="G44" s="20" t="n">
        <v>45602</v>
      </c>
      <c r="H44" s="7" t="s">
        <v>1617</v>
      </c>
      <c r="I44" s="8" t="n">
        <v>8702.57</v>
      </c>
      <c r="J44" s="8" t="n">
        <v>0</v>
      </c>
      <c r="K44" s="7" t="s">
        <v>2684</v>
      </c>
      <c r="L44" s="20" t="n">
        <v>45614</v>
      </c>
      <c r="M44" s="20"/>
      <c r="N44" s="16" t="n">
        <v>42</v>
      </c>
      <c r="O44" s="16" t="n">
        <v>12</v>
      </c>
    </row>
    <row r="45" customFormat="false" ht="15" hidden="false" customHeight="false" outlineLevel="0" collapsed="false">
      <c r="A45" s="8" t="n">
        <v>38880</v>
      </c>
      <c r="B45" s="7" t="s">
        <v>137</v>
      </c>
      <c r="C45" s="7" t="s">
        <v>1620</v>
      </c>
      <c r="D45" s="7" t="s">
        <v>549</v>
      </c>
      <c r="E45" s="7" t="s">
        <v>144</v>
      </c>
      <c r="F45" s="20" t="n">
        <v>45573</v>
      </c>
      <c r="G45" s="20" t="n">
        <v>45573</v>
      </c>
      <c r="H45" s="7" t="s">
        <v>1619</v>
      </c>
      <c r="I45" s="8" t="n">
        <v>38880</v>
      </c>
      <c r="J45" s="8" t="n">
        <v>0</v>
      </c>
      <c r="K45" s="7" t="s">
        <v>2684</v>
      </c>
      <c r="L45" s="20" t="n">
        <v>45579</v>
      </c>
      <c r="M45" s="20"/>
      <c r="N45" s="16" t="n">
        <v>6</v>
      </c>
      <c r="O45" s="16" t="n">
        <v>6</v>
      </c>
    </row>
    <row r="46" customFormat="false" ht="15" hidden="false" customHeight="false" outlineLevel="0" collapsed="false">
      <c r="A46" s="8" t="n">
        <v>10034.11</v>
      </c>
      <c r="B46" s="7" t="s">
        <v>137</v>
      </c>
      <c r="C46" s="7" t="s">
        <v>1632</v>
      </c>
      <c r="D46" s="7" t="s">
        <v>1010</v>
      </c>
      <c r="E46" s="7" t="s">
        <v>149</v>
      </c>
      <c r="F46" s="20" t="n">
        <v>45576</v>
      </c>
      <c r="G46" s="20" t="n">
        <v>45606</v>
      </c>
      <c r="H46" s="7" t="s">
        <v>1634</v>
      </c>
      <c r="I46" s="8" t="n">
        <v>10034.11</v>
      </c>
      <c r="J46" s="8" t="n">
        <v>0</v>
      </c>
      <c r="K46" s="7" t="s">
        <v>2684</v>
      </c>
      <c r="L46" s="20" t="n">
        <v>45656</v>
      </c>
      <c r="M46" s="20"/>
      <c r="N46" s="16" t="n">
        <v>80</v>
      </c>
      <c r="O46" s="16" t="n">
        <v>50</v>
      </c>
    </row>
    <row r="47" customFormat="false" ht="15" hidden="false" customHeight="false" outlineLevel="0" collapsed="false">
      <c r="A47" s="8" t="n">
        <v>6324.82</v>
      </c>
      <c r="B47" s="7" t="s">
        <v>137</v>
      </c>
      <c r="C47" s="7" t="s">
        <v>1638</v>
      </c>
      <c r="D47" s="7" t="s">
        <v>606</v>
      </c>
      <c r="E47" s="7" t="s">
        <v>149</v>
      </c>
      <c r="F47" s="20" t="n">
        <v>45577</v>
      </c>
      <c r="G47" s="20" t="n">
        <v>45607</v>
      </c>
      <c r="H47" s="7" t="s">
        <v>1640</v>
      </c>
      <c r="I47" s="8" t="n">
        <v>6324.82</v>
      </c>
      <c r="J47" s="8" t="n">
        <v>0</v>
      </c>
      <c r="K47" s="7" t="s">
        <v>2684</v>
      </c>
      <c r="L47" s="20" t="n">
        <v>45609</v>
      </c>
      <c r="M47" s="20"/>
      <c r="N47" s="16" t="n">
        <v>32</v>
      </c>
      <c r="O47" s="16" t="n">
        <v>2</v>
      </c>
    </row>
    <row r="48" customFormat="false" ht="15" hidden="false" customHeight="false" outlineLevel="0" collapsed="false">
      <c r="A48" s="8" t="n">
        <v>28022.4</v>
      </c>
      <c r="B48" s="7" t="s">
        <v>137</v>
      </c>
      <c r="C48" s="7" t="s">
        <v>1643</v>
      </c>
      <c r="D48" s="7" t="s">
        <v>549</v>
      </c>
      <c r="E48" s="7" t="s">
        <v>144</v>
      </c>
      <c r="F48" s="20" t="n">
        <v>45579</v>
      </c>
      <c r="G48" s="20" t="n">
        <v>45579</v>
      </c>
      <c r="H48" s="7" t="s">
        <v>1642</v>
      </c>
      <c r="I48" s="8" t="n">
        <v>28022.4</v>
      </c>
      <c r="J48" s="8" t="n">
        <v>0</v>
      </c>
      <c r="K48" s="7" t="s">
        <v>2684</v>
      </c>
      <c r="L48" s="20" t="n">
        <v>45583</v>
      </c>
      <c r="M48" s="20"/>
      <c r="N48" s="16" t="n">
        <v>4</v>
      </c>
      <c r="O48" s="16" t="n">
        <v>4</v>
      </c>
    </row>
    <row r="49" customFormat="false" ht="15" hidden="false" customHeight="false" outlineLevel="0" collapsed="false">
      <c r="A49" s="8" t="n">
        <v>5373.72</v>
      </c>
      <c r="B49" s="7" t="s">
        <v>137</v>
      </c>
      <c r="C49" s="7" t="s">
        <v>1648</v>
      </c>
      <c r="D49" s="7" t="s">
        <v>1016</v>
      </c>
      <c r="E49" s="7" t="s">
        <v>149</v>
      </c>
      <c r="F49" s="20" t="n">
        <v>45580</v>
      </c>
      <c r="G49" s="20" t="n">
        <v>45610</v>
      </c>
      <c r="H49" s="7" t="s">
        <v>1650</v>
      </c>
      <c r="I49" s="8" t="n">
        <v>5373.72</v>
      </c>
      <c r="J49" s="8" t="n">
        <v>0</v>
      </c>
      <c r="K49" s="7" t="s">
        <v>2684</v>
      </c>
      <c r="L49" s="20" t="n">
        <v>45616</v>
      </c>
      <c r="M49" s="20"/>
      <c r="N49" s="16" t="n">
        <v>36</v>
      </c>
      <c r="O49" s="16" t="n">
        <v>6</v>
      </c>
    </row>
    <row r="50" customFormat="false" ht="15" hidden="false" customHeight="false" outlineLevel="0" collapsed="false">
      <c r="A50" s="8" t="n">
        <v>5659.04</v>
      </c>
      <c r="B50" s="7" t="s">
        <v>137</v>
      </c>
      <c r="C50" s="7" t="s">
        <v>1657</v>
      </c>
      <c r="D50" s="7" t="s">
        <v>603</v>
      </c>
      <c r="E50" s="7" t="s">
        <v>149</v>
      </c>
      <c r="F50" s="20" t="n">
        <v>45582</v>
      </c>
      <c r="G50" s="20" t="n">
        <v>45612</v>
      </c>
      <c r="H50" s="7" t="s">
        <v>1659</v>
      </c>
      <c r="I50" s="8" t="n">
        <v>5659.04</v>
      </c>
      <c r="J50" s="8" t="n">
        <v>0</v>
      </c>
      <c r="K50" s="7" t="s">
        <v>2684</v>
      </c>
      <c r="L50" s="20" t="n">
        <v>45618</v>
      </c>
      <c r="M50" s="20"/>
      <c r="N50" s="16" t="n">
        <v>36</v>
      </c>
      <c r="O50" s="16" t="n">
        <v>6</v>
      </c>
    </row>
    <row r="51" customFormat="false" ht="15" hidden="false" customHeight="false" outlineLevel="0" collapsed="false">
      <c r="A51" s="8" t="n">
        <v>4470.17</v>
      </c>
      <c r="B51" s="7" t="s">
        <v>137</v>
      </c>
      <c r="C51" s="7" t="s">
        <v>1678</v>
      </c>
      <c r="D51" s="7" t="s">
        <v>614</v>
      </c>
      <c r="E51" s="7" t="s">
        <v>149</v>
      </c>
      <c r="F51" s="20" t="n">
        <v>45589</v>
      </c>
      <c r="G51" s="20" t="n">
        <v>45619</v>
      </c>
      <c r="H51" s="7" t="s">
        <v>1680</v>
      </c>
      <c r="I51" s="8" t="n">
        <v>4470.17</v>
      </c>
      <c r="J51" s="8" t="n">
        <v>0</v>
      </c>
      <c r="K51" s="7" t="s">
        <v>2684</v>
      </c>
      <c r="L51" s="20" t="n">
        <v>45642</v>
      </c>
      <c r="M51" s="20"/>
      <c r="N51" s="16" t="n">
        <v>53</v>
      </c>
      <c r="O51" s="16" t="n">
        <v>23</v>
      </c>
    </row>
    <row r="52" customFormat="false" ht="15" hidden="false" customHeight="false" outlineLevel="0" collapsed="false">
      <c r="A52" s="8" t="n">
        <v>16739.36</v>
      </c>
      <c r="B52" s="7" t="s">
        <v>137</v>
      </c>
      <c r="C52" s="7" t="s">
        <v>1689</v>
      </c>
      <c r="D52" s="7" t="s">
        <v>583</v>
      </c>
      <c r="E52" s="7" t="s">
        <v>149</v>
      </c>
      <c r="F52" s="20" t="n">
        <v>45592</v>
      </c>
      <c r="G52" s="20" t="n">
        <v>45622</v>
      </c>
      <c r="H52" s="7" t="s">
        <v>1691</v>
      </c>
      <c r="I52" s="8" t="n">
        <v>16739.36</v>
      </c>
      <c r="J52" s="8" t="n">
        <v>0</v>
      </c>
      <c r="K52" s="7" t="s">
        <v>2684</v>
      </c>
      <c r="L52" s="20" t="n">
        <v>45642</v>
      </c>
      <c r="M52" s="20"/>
      <c r="N52" s="16" t="n">
        <v>50</v>
      </c>
      <c r="O52" s="16" t="n">
        <v>20</v>
      </c>
    </row>
    <row r="53" customFormat="false" ht="15" hidden="false" customHeight="false" outlineLevel="0" collapsed="false">
      <c r="A53" s="8" t="n">
        <v>8702.57</v>
      </c>
      <c r="B53" s="7" t="s">
        <v>137</v>
      </c>
      <c r="C53" s="7" t="s">
        <v>1694</v>
      </c>
      <c r="D53" s="7" t="s">
        <v>600</v>
      </c>
      <c r="E53" s="7" t="s">
        <v>149</v>
      </c>
      <c r="F53" s="20" t="n">
        <v>45592</v>
      </c>
      <c r="G53" s="20" t="n">
        <v>45622</v>
      </c>
      <c r="H53" s="7" t="s">
        <v>1696</v>
      </c>
      <c r="I53" s="8" t="n">
        <v>8702.57</v>
      </c>
      <c r="J53" s="8" t="n">
        <v>0</v>
      </c>
      <c r="K53" s="7" t="s">
        <v>2684</v>
      </c>
      <c r="L53" s="20" t="n">
        <v>45656</v>
      </c>
      <c r="M53" s="20"/>
      <c r="N53" s="16" t="n">
        <v>64</v>
      </c>
      <c r="O53" s="16" t="n">
        <v>34</v>
      </c>
    </row>
    <row r="54" customFormat="false" ht="15" hidden="false" customHeight="false" outlineLevel="0" collapsed="false">
      <c r="A54" s="8" t="n">
        <v>13839.52</v>
      </c>
      <c r="B54" s="7" t="s">
        <v>137</v>
      </c>
      <c r="C54" s="7" t="s">
        <v>1705</v>
      </c>
      <c r="D54" s="7" t="s">
        <v>1010</v>
      </c>
      <c r="E54" s="7" t="s">
        <v>149</v>
      </c>
      <c r="F54" s="20" t="n">
        <v>45597</v>
      </c>
      <c r="G54" s="20" t="n">
        <v>45627</v>
      </c>
      <c r="H54" s="7" t="s">
        <v>1707</v>
      </c>
      <c r="I54" s="8" t="n">
        <v>13839.52</v>
      </c>
      <c r="J54" s="8" t="n">
        <v>0</v>
      </c>
      <c r="K54" s="7" t="s">
        <v>2684</v>
      </c>
      <c r="L54" s="20" t="n">
        <v>45692</v>
      </c>
      <c r="M54" s="20"/>
      <c r="N54" s="16" t="n">
        <v>95</v>
      </c>
      <c r="O54" s="16" t="n">
        <v>65</v>
      </c>
    </row>
    <row r="55" customFormat="false" ht="15" hidden="false" customHeight="false" outlineLevel="0" collapsed="false">
      <c r="A55" s="8" t="n">
        <v>10962</v>
      </c>
      <c r="B55" s="7" t="s">
        <v>137</v>
      </c>
      <c r="C55" s="7" t="s">
        <v>1710</v>
      </c>
      <c r="D55" s="7" t="s">
        <v>593</v>
      </c>
      <c r="E55" s="7" t="s">
        <v>149</v>
      </c>
      <c r="F55" s="20" t="n">
        <v>45598</v>
      </c>
      <c r="G55" s="20" t="n">
        <v>45628</v>
      </c>
      <c r="H55" s="7" t="s">
        <v>1712</v>
      </c>
      <c r="I55" s="8" t="n">
        <v>10962</v>
      </c>
      <c r="J55" s="8" t="n">
        <v>0</v>
      </c>
      <c r="K55" s="7" t="s">
        <v>2684</v>
      </c>
      <c r="L55" s="20" t="n">
        <v>45644</v>
      </c>
      <c r="M55" s="20"/>
      <c r="N55" s="16" t="n">
        <v>46</v>
      </c>
      <c r="O55" s="16" t="n">
        <v>16</v>
      </c>
    </row>
    <row r="56" customFormat="false" ht="15" hidden="false" customHeight="false" outlineLevel="0" collapsed="false">
      <c r="A56" s="8" t="n">
        <v>21444.41</v>
      </c>
      <c r="B56" s="7" t="s">
        <v>137</v>
      </c>
      <c r="C56" s="7" t="s">
        <v>1715</v>
      </c>
      <c r="D56" s="7" t="s">
        <v>583</v>
      </c>
      <c r="E56" s="7" t="s">
        <v>149</v>
      </c>
      <c r="F56" s="20" t="n">
        <v>45601</v>
      </c>
      <c r="G56" s="20" t="n">
        <v>45631</v>
      </c>
      <c r="H56" s="7" t="s">
        <v>1717</v>
      </c>
      <c r="I56" s="8" t="n">
        <v>21444.41</v>
      </c>
      <c r="J56" s="8" t="n">
        <v>0</v>
      </c>
      <c r="K56" s="7" t="s">
        <v>2684</v>
      </c>
      <c r="L56" s="20" t="n">
        <v>45663</v>
      </c>
      <c r="M56" s="20"/>
      <c r="N56" s="16" t="n">
        <v>62</v>
      </c>
      <c r="O56" s="16" t="n">
        <v>32</v>
      </c>
    </row>
    <row r="57" customFormat="false" ht="15" hidden="false" customHeight="false" outlineLevel="0" collapsed="false">
      <c r="A57" s="8" t="n">
        <v>8632.57</v>
      </c>
      <c r="B57" s="7" t="s">
        <v>137</v>
      </c>
      <c r="C57" s="7" t="s">
        <v>1726</v>
      </c>
      <c r="D57" s="7" t="s">
        <v>603</v>
      </c>
      <c r="E57" s="7" t="s">
        <v>149</v>
      </c>
      <c r="F57" s="20" t="n">
        <v>45604</v>
      </c>
      <c r="G57" s="20" t="n">
        <v>45634</v>
      </c>
      <c r="H57" s="7" t="s">
        <v>1728</v>
      </c>
      <c r="I57" s="8" t="n">
        <v>8632.57</v>
      </c>
      <c r="J57" s="8" t="n">
        <v>0</v>
      </c>
      <c r="K57" s="7" t="s">
        <v>2684</v>
      </c>
      <c r="L57" s="20" t="n">
        <v>45649</v>
      </c>
      <c r="M57" s="20"/>
      <c r="N57" s="16" t="n">
        <v>45</v>
      </c>
      <c r="O57" s="16" t="n">
        <v>15</v>
      </c>
    </row>
    <row r="58" customFormat="false" ht="15" hidden="false" customHeight="false" outlineLevel="0" collapsed="false">
      <c r="A58" s="8" t="n">
        <v>7330.84</v>
      </c>
      <c r="B58" s="7" t="s">
        <v>137</v>
      </c>
      <c r="C58" s="7" t="s">
        <v>1736</v>
      </c>
      <c r="D58" s="7" t="s">
        <v>1016</v>
      </c>
      <c r="E58" s="7" t="s">
        <v>149</v>
      </c>
      <c r="F58" s="20" t="n">
        <v>45604</v>
      </c>
      <c r="G58" s="20" t="n">
        <v>45634</v>
      </c>
      <c r="H58" s="7" t="s">
        <v>1738</v>
      </c>
      <c r="I58" s="8" t="n">
        <v>7330.84</v>
      </c>
      <c r="J58" s="8" t="n">
        <v>0</v>
      </c>
      <c r="K58" s="7" t="s">
        <v>2684</v>
      </c>
      <c r="L58" s="20" t="n">
        <v>45665</v>
      </c>
      <c r="M58" s="20"/>
      <c r="N58" s="16" t="n">
        <v>61</v>
      </c>
      <c r="O58" s="16" t="n">
        <v>31</v>
      </c>
    </row>
    <row r="59" customFormat="false" ht="15" hidden="false" customHeight="false" outlineLevel="0" collapsed="false">
      <c r="A59" s="8" t="n">
        <v>7193.81</v>
      </c>
      <c r="B59" s="7" t="s">
        <v>137</v>
      </c>
      <c r="C59" s="7" t="s">
        <v>1720</v>
      </c>
      <c r="D59" s="7" t="s">
        <v>606</v>
      </c>
      <c r="E59" s="7" t="s">
        <v>149</v>
      </c>
      <c r="F59" s="20" t="n">
        <v>45604</v>
      </c>
      <c r="G59" s="20" t="n">
        <v>45634</v>
      </c>
      <c r="H59" s="7" t="s">
        <v>1722</v>
      </c>
      <c r="I59" s="8" t="n">
        <v>7193.81</v>
      </c>
      <c r="J59" s="8" t="n">
        <v>0</v>
      </c>
      <c r="K59" s="7" t="s">
        <v>2684</v>
      </c>
      <c r="L59" s="20" t="n">
        <v>45646</v>
      </c>
      <c r="M59" s="20"/>
      <c r="N59" s="16" t="n">
        <v>42</v>
      </c>
      <c r="O59" s="16" t="n">
        <v>12</v>
      </c>
    </row>
    <row r="60" customFormat="false" ht="15" hidden="false" customHeight="false" outlineLevel="0" collapsed="false">
      <c r="A60" s="8" t="n">
        <v>5412.49</v>
      </c>
      <c r="B60" s="7" t="s">
        <v>137</v>
      </c>
      <c r="C60" s="7" t="s">
        <v>1731</v>
      </c>
      <c r="D60" s="7" t="s">
        <v>614</v>
      </c>
      <c r="E60" s="7" t="s">
        <v>149</v>
      </c>
      <c r="F60" s="20" t="n">
        <v>45604</v>
      </c>
      <c r="G60" s="20" t="n">
        <v>45634</v>
      </c>
      <c r="H60" s="7" t="s">
        <v>1733</v>
      </c>
      <c r="I60" s="8" t="n">
        <v>5412.49</v>
      </c>
      <c r="J60" s="8" t="n">
        <v>0</v>
      </c>
      <c r="K60" s="7" t="s">
        <v>2684</v>
      </c>
      <c r="L60" s="20" t="n">
        <v>45657</v>
      </c>
      <c r="M60" s="20"/>
      <c r="N60" s="16" t="n">
        <v>53</v>
      </c>
      <c r="O60" s="16" t="n">
        <v>23</v>
      </c>
    </row>
    <row r="61" customFormat="false" ht="15" hidden="false" customHeight="false" outlineLevel="0" collapsed="false">
      <c r="A61" s="8" t="n">
        <v>10208.36</v>
      </c>
      <c r="B61" s="7" t="s">
        <v>137</v>
      </c>
      <c r="C61" s="7" t="s">
        <v>1750</v>
      </c>
      <c r="D61" s="7" t="s">
        <v>600</v>
      </c>
      <c r="E61" s="7" t="s">
        <v>149</v>
      </c>
      <c r="F61" s="20" t="n">
        <v>45607</v>
      </c>
      <c r="G61" s="20" t="n">
        <v>45637</v>
      </c>
      <c r="H61" s="7" t="s">
        <v>1752</v>
      </c>
      <c r="I61" s="8" t="n">
        <v>10208.36</v>
      </c>
      <c r="J61" s="8" t="n">
        <v>0</v>
      </c>
      <c r="K61" s="7" t="s">
        <v>2684</v>
      </c>
      <c r="L61" s="20" t="n">
        <v>45649</v>
      </c>
      <c r="M61" s="20"/>
      <c r="N61" s="16" t="n">
        <v>42</v>
      </c>
      <c r="O61" s="16" t="n">
        <v>12</v>
      </c>
    </row>
    <row r="62" customFormat="false" ht="15" hidden="false" customHeight="false" outlineLevel="0" collapsed="false">
      <c r="A62" s="8" t="n">
        <v>6220.28</v>
      </c>
      <c r="B62" s="7" t="s">
        <v>137</v>
      </c>
      <c r="C62" s="7" t="s">
        <v>1790</v>
      </c>
      <c r="D62" s="7" t="s">
        <v>1283</v>
      </c>
      <c r="E62" s="7" t="s">
        <v>136</v>
      </c>
      <c r="F62" s="20" t="n">
        <v>45644</v>
      </c>
      <c r="G62" s="20" t="n">
        <v>45674</v>
      </c>
      <c r="H62" s="7" t="s">
        <v>1789</v>
      </c>
      <c r="I62" s="8" t="n">
        <v>6220.28</v>
      </c>
      <c r="J62" s="8" t="n">
        <v>0</v>
      </c>
      <c r="K62" s="7" t="s">
        <v>2684</v>
      </c>
      <c r="L62" s="20" t="n">
        <v>45694</v>
      </c>
      <c r="M62" s="20"/>
      <c r="N62" s="16" t="n">
        <v>50</v>
      </c>
      <c r="O62" s="16" t="n">
        <v>20</v>
      </c>
    </row>
    <row r="63" customFormat="false" ht="15" hidden="false" customHeight="false" outlineLevel="0" collapsed="false">
      <c r="A63" s="8" t="n">
        <v>28978.55</v>
      </c>
      <c r="B63" s="7" t="s">
        <v>137</v>
      </c>
      <c r="C63" s="7" t="s">
        <v>1793</v>
      </c>
      <c r="D63" s="7" t="s">
        <v>566</v>
      </c>
      <c r="E63" s="7" t="s">
        <v>136</v>
      </c>
      <c r="F63" s="20" t="n">
        <v>45645</v>
      </c>
      <c r="G63" s="20" t="n">
        <v>45956</v>
      </c>
      <c r="H63" s="7" t="s">
        <v>1795</v>
      </c>
      <c r="I63" s="8" t="n">
        <v>28978.55</v>
      </c>
      <c r="J63" s="8" t="n">
        <v>0</v>
      </c>
      <c r="K63" s="7" t="s">
        <v>2684</v>
      </c>
      <c r="L63" s="20" t="n">
        <v>45956</v>
      </c>
      <c r="M63" s="20"/>
      <c r="N63" s="16" t="n">
        <v>311</v>
      </c>
      <c r="O63" s="16" t="n">
        <v>0</v>
      </c>
    </row>
    <row r="64" customFormat="false" ht="15" hidden="false" customHeight="false" outlineLevel="0" collapsed="false">
      <c r="A64" s="8" t="n">
        <v>7683.84</v>
      </c>
      <c r="B64" s="7" t="s">
        <v>137</v>
      </c>
      <c r="C64" s="7" t="s">
        <v>1822</v>
      </c>
      <c r="D64" s="7" t="s">
        <v>626</v>
      </c>
      <c r="E64" s="7" t="s">
        <v>146</v>
      </c>
      <c r="F64" s="20" t="n">
        <v>45672</v>
      </c>
      <c r="G64" s="20" t="n">
        <v>45672</v>
      </c>
      <c r="H64" s="7" t="s">
        <v>1821</v>
      </c>
      <c r="I64" s="8" t="n">
        <v>7683.84</v>
      </c>
      <c r="J64" s="8" t="n">
        <v>0</v>
      </c>
      <c r="K64" s="7" t="s">
        <v>2684</v>
      </c>
      <c r="L64" s="20" t="n">
        <v>45681</v>
      </c>
      <c r="M64" s="20"/>
      <c r="N64" s="16" t="n">
        <v>9</v>
      </c>
      <c r="O64" s="16" t="n">
        <v>9</v>
      </c>
    </row>
    <row r="65" customFormat="false" ht="15" hidden="false" customHeight="false" outlineLevel="0" collapsed="false">
      <c r="A65" s="8" t="n">
        <v>39760</v>
      </c>
      <c r="B65" s="7" t="s">
        <v>137</v>
      </c>
      <c r="C65" s="7" t="s">
        <v>1834</v>
      </c>
      <c r="D65" s="7" t="s">
        <v>549</v>
      </c>
      <c r="E65" s="7" t="s">
        <v>144</v>
      </c>
      <c r="F65" s="20" t="n">
        <v>45679</v>
      </c>
      <c r="G65" s="20" t="n">
        <v>45679</v>
      </c>
      <c r="H65" s="7" t="s">
        <v>1833</v>
      </c>
      <c r="I65" s="8" t="n">
        <v>39760</v>
      </c>
      <c r="J65" s="8" t="n">
        <v>0</v>
      </c>
      <c r="K65" s="7" t="s">
        <v>2684</v>
      </c>
      <c r="L65" s="20" t="n">
        <v>45684</v>
      </c>
      <c r="M65" s="20"/>
      <c r="N65" s="16" t="n">
        <v>5</v>
      </c>
      <c r="O65" s="16" t="n">
        <v>5</v>
      </c>
    </row>
    <row r="66" customFormat="false" ht="15" hidden="false" customHeight="false" outlineLevel="0" collapsed="false">
      <c r="A66" s="8" t="n">
        <v>8213.4</v>
      </c>
      <c r="B66" s="7" t="s">
        <v>137</v>
      </c>
      <c r="C66" s="7" t="s">
        <v>1991</v>
      </c>
      <c r="D66" s="7" t="s">
        <v>603</v>
      </c>
      <c r="E66" s="7" t="s">
        <v>149</v>
      </c>
      <c r="F66" s="20" t="n">
        <v>45831</v>
      </c>
      <c r="G66" s="20" t="n">
        <v>45861</v>
      </c>
      <c r="H66" s="7" t="s">
        <v>1993</v>
      </c>
      <c r="I66" s="8" t="n">
        <v>8213.4</v>
      </c>
      <c r="J66" s="8" t="n">
        <v>0</v>
      </c>
      <c r="K66" s="7" t="s">
        <v>2684</v>
      </c>
      <c r="L66" s="20" t="n">
        <v>45867</v>
      </c>
      <c r="M66" s="20"/>
      <c r="N66" s="16" t="n">
        <v>36</v>
      </c>
      <c r="O66" s="16" t="n">
        <v>6</v>
      </c>
    </row>
    <row r="67" customFormat="false" ht="15" hidden="false" customHeight="false" outlineLevel="0" collapsed="false">
      <c r="A67" s="8" t="n">
        <v>9331.2</v>
      </c>
      <c r="B67" s="7" t="s">
        <v>137</v>
      </c>
      <c r="C67" s="7" t="s">
        <v>2000</v>
      </c>
      <c r="D67" s="7" t="s">
        <v>606</v>
      </c>
      <c r="E67" s="7" t="s">
        <v>149</v>
      </c>
      <c r="F67" s="20" t="n">
        <v>45833</v>
      </c>
      <c r="G67" s="20" t="n">
        <v>45863</v>
      </c>
      <c r="H67" s="7" t="s">
        <v>2002</v>
      </c>
      <c r="I67" s="8" t="n">
        <v>9331.2</v>
      </c>
      <c r="J67" s="8" t="n">
        <v>0</v>
      </c>
      <c r="K67" s="7" t="s">
        <v>2684</v>
      </c>
      <c r="L67" s="20" t="n">
        <v>45875</v>
      </c>
      <c r="M67" s="20"/>
      <c r="N67" s="16" t="n">
        <v>42</v>
      </c>
      <c r="O67" s="16" t="n">
        <v>12</v>
      </c>
    </row>
    <row r="68" customFormat="false" ht="15" hidden="false" customHeight="false" outlineLevel="0" collapsed="false">
      <c r="A68" s="8" t="n">
        <v>6463.8</v>
      </c>
      <c r="B68" s="7" t="s">
        <v>137</v>
      </c>
      <c r="C68" s="7" t="s">
        <v>2005</v>
      </c>
      <c r="D68" s="7" t="s">
        <v>614</v>
      </c>
      <c r="E68" s="7" t="s">
        <v>149</v>
      </c>
      <c r="F68" s="20" t="n">
        <v>45833</v>
      </c>
      <c r="G68" s="20" t="n">
        <v>45863</v>
      </c>
      <c r="H68" s="7" t="s">
        <v>2007</v>
      </c>
      <c r="I68" s="8" t="n">
        <v>6463.8</v>
      </c>
      <c r="J68" s="8" t="n">
        <v>0</v>
      </c>
      <c r="K68" s="7" t="s">
        <v>2684</v>
      </c>
      <c r="L68" s="20" t="n">
        <v>45894</v>
      </c>
      <c r="M68" s="20"/>
      <c r="N68" s="16" t="n">
        <v>61</v>
      </c>
      <c r="O68" s="16" t="n">
        <v>31</v>
      </c>
    </row>
    <row r="69" customFormat="false" ht="15" hidden="false" customHeight="false" outlineLevel="0" collapsed="false">
      <c r="A69" s="8" t="n">
        <v>10218.4</v>
      </c>
      <c r="B69" s="7" t="s">
        <v>137</v>
      </c>
      <c r="C69" s="7" t="s">
        <v>2010</v>
      </c>
      <c r="D69" s="7" t="s">
        <v>626</v>
      </c>
      <c r="E69" s="7" t="s">
        <v>146</v>
      </c>
      <c r="F69" s="20" t="n">
        <v>45834</v>
      </c>
      <c r="G69" s="20" t="n">
        <v>45834</v>
      </c>
      <c r="H69" s="7" t="s">
        <v>2009</v>
      </c>
      <c r="I69" s="8" t="n">
        <v>10218.4</v>
      </c>
      <c r="J69" s="8" t="n">
        <v>0</v>
      </c>
      <c r="K69" s="7" t="s">
        <v>2684</v>
      </c>
      <c r="L69" s="20" t="n">
        <v>45845</v>
      </c>
      <c r="M69" s="20"/>
      <c r="N69" s="16" t="n">
        <v>11</v>
      </c>
      <c r="O69" s="16" t="n">
        <v>11</v>
      </c>
    </row>
    <row r="70" customFormat="false" ht="15" hidden="false" customHeight="false" outlineLevel="0" collapsed="false">
      <c r="A70" s="8" t="n">
        <v>17058.6</v>
      </c>
      <c r="B70" s="7" t="s">
        <v>137</v>
      </c>
      <c r="C70" s="7" t="s">
        <v>2021</v>
      </c>
      <c r="D70" s="7" t="s">
        <v>1010</v>
      </c>
      <c r="E70" s="7" t="s">
        <v>149</v>
      </c>
      <c r="F70" s="20" t="n">
        <v>45837</v>
      </c>
      <c r="G70" s="20" t="n">
        <v>45867</v>
      </c>
      <c r="H70" s="7" t="s">
        <v>2023</v>
      </c>
      <c r="I70" s="8" t="n">
        <v>17058.6</v>
      </c>
      <c r="J70" s="8" t="n">
        <v>0</v>
      </c>
      <c r="K70" s="7" t="s">
        <v>2684</v>
      </c>
      <c r="L70" s="20" t="n">
        <v>45905</v>
      </c>
      <c r="M70" s="20"/>
      <c r="N70" s="16" t="n">
        <v>68</v>
      </c>
      <c r="O70" s="16" t="n">
        <v>38</v>
      </c>
    </row>
    <row r="71" customFormat="false" ht="15" hidden="false" customHeight="false" outlineLevel="0" collapsed="false">
      <c r="A71" s="8" t="n">
        <v>24640.2</v>
      </c>
      <c r="B71" s="7" t="s">
        <v>137</v>
      </c>
      <c r="C71" s="7" t="s">
        <v>2028</v>
      </c>
      <c r="D71" s="7" t="s">
        <v>583</v>
      </c>
      <c r="E71" s="7" t="s">
        <v>149</v>
      </c>
      <c r="F71" s="20" t="n">
        <v>45840</v>
      </c>
      <c r="G71" s="20" t="n">
        <v>45870</v>
      </c>
      <c r="H71" s="7" t="s">
        <v>2030</v>
      </c>
      <c r="I71" s="8" t="n">
        <v>24640.2</v>
      </c>
      <c r="J71" s="8" t="n">
        <v>0</v>
      </c>
      <c r="K71" s="7" t="s">
        <v>2684</v>
      </c>
      <c r="L71" s="20" t="n">
        <v>45898</v>
      </c>
      <c r="M71" s="20"/>
      <c r="N71" s="16" t="n">
        <v>58</v>
      </c>
      <c r="O71" s="16" t="n">
        <v>28</v>
      </c>
    </row>
    <row r="72" customFormat="false" ht="15" hidden="false" customHeight="false" outlineLevel="0" collapsed="false">
      <c r="A72" s="8" t="n">
        <v>11566.8</v>
      </c>
      <c r="B72" s="7" t="s">
        <v>137</v>
      </c>
      <c r="C72" s="7" t="s">
        <v>2044</v>
      </c>
      <c r="D72" s="7" t="s">
        <v>600</v>
      </c>
      <c r="E72" s="7" t="s">
        <v>149</v>
      </c>
      <c r="F72" s="20" t="n">
        <v>45845</v>
      </c>
      <c r="G72" s="20" t="n">
        <v>45875</v>
      </c>
      <c r="H72" s="7" t="s">
        <v>2046</v>
      </c>
      <c r="I72" s="8" t="n">
        <v>11566.8</v>
      </c>
      <c r="J72" s="8" t="n">
        <v>0</v>
      </c>
      <c r="K72" s="7" t="s">
        <v>2684</v>
      </c>
      <c r="L72" s="20" t="n">
        <v>45894</v>
      </c>
      <c r="M72" s="20"/>
      <c r="N72" s="16" t="n">
        <v>49</v>
      </c>
      <c r="O72" s="16" t="n">
        <v>19</v>
      </c>
    </row>
    <row r="73" customFormat="false" ht="15" hidden="false" customHeight="false" outlineLevel="0" collapsed="false">
      <c r="A73" s="8" t="n">
        <v>12684.6</v>
      </c>
      <c r="B73" s="7" t="s">
        <v>137</v>
      </c>
      <c r="C73" s="7" t="s">
        <v>2039</v>
      </c>
      <c r="D73" s="7" t="s">
        <v>593</v>
      </c>
      <c r="E73" s="7" t="s">
        <v>149</v>
      </c>
      <c r="F73" s="20" t="n">
        <v>45845</v>
      </c>
      <c r="G73" s="20" t="n">
        <v>45875</v>
      </c>
      <c r="H73" s="7" t="s">
        <v>2041</v>
      </c>
      <c r="I73" s="8" t="n">
        <v>12684.6</v>
      </c>
      <c r="J73" s="8" t="n">
        <v>0</v>
      </c>
      <c r="K73" s="7" t="s">
        <v>2684</v>
      </c>
      <c r="L73" s="20" t="n">
        <v>45884</v>
      </c>
      <c r="M73" s="20"/>
      <c r="N73" s="16" t="n">
        <v>39</v>
      </c>
      <c r="O73" s="16" t="n">
        <v>9</v>
      </c>
    </row>
    <row r="74" customFormat="false" ht="15" hidden="false" customHeight="false" outlineLevel="0" collapsed="false">
      <c r="A74" s="8" t="n">
        <v>7484.4</v>
      </c>
      <c r="B74" s="7" t="s">
        <v>137</v>
      </c>
      <c r="C74" s="7" t="s">
        <v>2049</v>
      </c>
      <c r="D74" s="7" t="s">
        <v>1016</v>
      </c>
      <c r="E74" s="7" t="s">
        <v>149</v>
      </c>
      <c r="F74" s="20" t="n">
        <v>45845</v>
      </c>
      <c r="G74" s="20" t="n">
        <v>45875</v>
      </c>
      <c r="H74" s="7" t="s">
        <v>2051</v>
      </c>
      <c r="I74" s="8" t="n">
        <v>7484.4</v>
      </c>
      <c r="J74" s="8" t="n">
        <v>0</v>
      </c>
      <c r="K74" s="7" t="s">
        <v>2684</v>
      </c>
      <c r="L74" s="20" t="n">
        <v>45926</v>
      </c>
      <c r="M74" s="20"/>
      <c r="N74" s="16" t="n">
        <v>81</v>
      </c>
      <c r="O74" s="16" t="n">
        <v>51</v>
      </c>
    </row>
    <row r="75" customFormat="false" ht="15" hidden="false" customHeight="false" outlineLevel="0" collapsed="false">
      <c r="A75" s="8" t="n">
        <v>12125.75</v>
      </c>
      <c r="B75" s="7" t="s">
        <v>137</v>
      </c>
      <c r="C75" s="7" t="s">
        <v>2155</v>
      </c>
      <c r="D75" s="7" t="s">
        <v>593</v>
      </c>
      <c r="E75" s="7" t="s">
        <v>149</v>
      </c>
      <c r="F75" s="20" t="n">
        <v>45937</v>
      </c>
      <c r="G75" s="20" t="n">
        <v>45967</v>
      </c>
      <c r="H75" s="7" t="s">
        <v>2157</v>
      </c>
      <c r="I75" s="8" t="n">
        <v>12125.75</v>
      </c>
      <c r="J75" s="8" t="n">
        <v>0</v>
      </c>
      <c r="K75" s="7" t="s">
        <v>2684</v>
      </c>
      <c r="L75" s="20" t="n">
        <v>45987</v>
      </c>
      <c r="M75" s="20"/>
      <c r="N75" s="16" t="n">
        <v>50</v>
      </c>
      <c r="O75" s="16" t="n">
        <v>20</v>
      </c>
    </row>
    <row r="76" customFormat="false" ht="15" hidden="false" customHeight="false" outlineLevel="0" collapsed="false">
      <c r="A76" s="8" t="n">
        <v>8133.7</v>
      </c>
      <c r="B76" s="7" t="s">
        <v>137</v>
      </c>
      <c r="C76" s="7" t="s">
        <v>2165</v>
      </c>
      <c r="D76" s="7" t="s">
        <v>593</v>
      </c>
      <c r="E76" s="7" t="s">
        <v>149</v>
      </c>
      <c r="F76" s="20" t="n">
        <v>45938</v>
      </c>
      <c r="G76" s="20" t="n">
        <v>45968</v>
      </c>
      <c r="H76" s="7" t="s">
        <v>2167</v>
      </c>
      <c r="I76" s="8" t="n">
        <v>8133.7</v>
      </c>
      <c r="J76" s="8" t="n">
        <v>0</v>
      </c>
      <c r="K76" s="7" t="s">
        <v>2684</v>
      </c>
      <c r="L76" s="20" t="n">
        <v>45981</v>
      </c>
      <c r="M76" s="20"/>
      <c r="N76" s="16" t="n">
        <v>43</v>
      </c>
      <c r="O76" s="16" t="n">
        <v>13</v>
      </c>
    </row>
    <row r="77" customFormat="false" ht="15" hidden="false" customHeight="false" outlineLevel="0" collapsed="false">
      <c r="A77" s="8" t="n">
        <v>5389.2</v>
      </c>
      <c r="B77" s="7" t="s">
        <v>137</v>
      </c>
      <c r="C77" s="7" t="s">
        <v>2171</v>
      </c>
      <c r="D77" s="7" t="s">
        <v>1016</v>
      </c>
      <c r="E77" s="7" t="s">
        <v>149</v>
      </c>
      <c r="F77" s="20" t="n">
        <v>45938</v>
      </c>
      <c r="G77" s="20" t="n">
        <v>45968</v>
      </c>
      <c r="H77" s="7" t="s">
        <v>2173</v>
      </c>
      <c r="I77" s="8" t="n">
        <v>5389.2</v>
      </c>
      <c r="J77" s="8" t="n">
        <v>0</v>
      </c>
      <c r="K77" s="7" t="s">
        <v>2684</v>
      </c>
      <c r="L77" s="20" t="n">
        <v>45994</v>
      </c>
      <c r="M77" s="20"/>
      <c r="N77" s="16" t="n">
        <v>56</v>
      </c>
      <c r="O77" s="16" t="n">
        <v>26</v>
      </c>
    </row>
    <row r="78" customFormat="false" ht="15" hidden="false" customHeight="false" outlineLevel="0" collapsed="false">
      <c r="A78" s="8" t="n">
        <v>9112.25</v>
      </c>
      <c r="B78" s="7" t="s">
        <v>137</v>
      </c>
      <c r="C78" s="7" t="s">
        <v>2160</v>
      </c>
      <c r="D78" s="7" t="s">
        <v>603</v>
      </c>
      <c r="E78" s="7" t="s">
        <v>149</v>
      </c>
      <c r="F78" s="20" t="n">
        <v>45938</v>
      </c>
      <c r="G78" s="20" t="n">
        <v>45968</v>
      </c>
      <c r="H78" s="7" t="s">
        <v>2162</v>
      </c>
      <c r="I78" s="8" t="n">
        <v>9112.25</v>
      </c>
      <c r="J78" s="8" t="n">
        <v>0</v>
      </c>
      <c r="K78" s="7" t="s">
        <v>2684</v>
      </c>
      <c r="L78" s="20" t="n">
        <v>45971</v>
      </c>
      <c r="M78" s="20"/>
      <c r="N78" s="16" t="n">
        <v>33</v>
      </c>
      <c r="O78" s="16" t="n">
        <v>3</v>
      </c>
    </row>
    <row r="79" customFormat="false" ht="15" hidden="false" customHeight="false" outlineLevel="0" collapsed="false">
      <c r="A79" s="8" t="n">
        <v>39211.28</v>
      </c>
      <c r="B79" s="7" t="s">
        <v>137</v>
      </c>
      <c r="C79" s="7" t="s">
        <v>2176</v>
      </c>
      <c r="D79" s="7" t="s">
        <v>549</v>
      </c>
      <c r="E79" s="7" t="s">
        <v>141</v>
      </c>
      <c r="F79" s="20" t="n">
        <v>45939</v>
      </c>
      <c r="G79" s="20" t="n">
        <v>45939</v>
      </c>
      <c r="H79" s="7" t="s">
        <v>2175</v>
      </c>
      <c r="I79" s="8" t="n">
        <v>39211.28</v>
      </c>
      <c r="J79" s="8" t="n">
        <v>0</v>
      </c>
      <c r="K79" s="7" t="s">
        <v>2684</v>
      </c>
      <c r="L79" s="20" t="n">
        <v>45943</v>
      </c>
      <c r="M79" s="20"/>
      <c r="N79" s="16" t="n">
        <v>4</v>
      </c>
      <c r="O79" s="16" t="n">
        <v>4</v>
      </c>
    </row>
    <row r="80" customFormat="false" ht="15" hidden="false" customHeight="false" outlineLevel="0" collapsed="false">
      <c r="A80" s="8" t="n">
        <v>9830.3</v>
      </c>
      <c r="B80" s="7" t="s">
        <v>137</v>
      </c>
      <c r="C80" s="7" t="s">
        <v>2183</v>
      </c>
      <c r="D80" s="7" t="s">
        <v>600</v>
      </c>
      <c r="E80" s="7" t="s">
        <v>149</v>
      </c>
      <c r="F80" s="20" t="n">
        <v>45940</v>
      </c>
      <c r="G80" s="20" t="n">
        <v>45970</v>
      </c>
      <c r="H80" s="7" t="s">
        <v>2185</v>
      </c>
      <c r="I80" s="8" t="n">
        <v>9830.3</v>
      </c>
      <c r="J80" s="8" t="n">
        <v>0</v>
      </c>
      <c r="K80" s="7" t="s">
        <v>2684</v>
      </c>
      <c r="L80" s="20" t="n">
        <v>45999</v>
      </c>
      <c r="M80" s="20"/>
      <c r="N80" s="16" t="n">
        <v>59</v>
      </c>
      <c r="O80" s="16" t="n">
        <v>29</v>
      </c>
    </row>
    <row r="81" customFormat="false" ht="15" hidden="false" customHeight="false" outlineLevel="0" collapsed="false">
      <c r="A81" s="8" t="n">
        <v>12843.25</v>
      </c>
      <c r="B81" s="7" t="s">
        <v>137</v>
      </c>
      <c r="C81" s="7" t="s">
        <v>2194</v>
      </c>
      <c r="D81" s="7" t="s">
        <v>600</v>
      </c>
      <c r="E81" s="7" t="s">
        <v>149</v>
      </c>
      <c r="F81" s="20" t="n">
        <v>45941</v>
      </c>
      <c r="G81" s="20" t="n">
        <v>45971</v>
      </c>
      <c r="H81" s="7" t="s">
        <v>620</v>
      </c>
      <c r="I81" s="8" t="n">
        <v>0</v>
      </c>
      <c r="J81" s="8" t="n">
        <v>12843.25</v>
      </c>
      <c r="K81" s="7" t="s">
        <v>2685</v>
      </c>
      <c r="L81" s="20"/>
      <c r="M81" s="20" t="n">
        <v>46371</v>
      </c>
      <c r="N81" s="16" t="n">
        <v>354</v>
      </c>
      <c r="O81" s="16" t="n">
        <v>324</v>
      </c>
    </row>
    <row r="82" customFormat="false" ht="15" hidden="false" customHeight="false" outlineLevel="0" collapsed="false">
      <c r="A82" s="8" t="n">
        <v>7820.75</v>
      </c>
      <c r="B82" s="7" t="s">
        <v>137</v>
      </c>
      <c r="C82" s="7" t="s">
        <v>2188</v>
      </c>
      <c r="D82" s="7" t="s">
        <v>606</v>
      </c>
      <c r="E82" s="7" t="s">
        <v>149</v>
      </c>
      <c r="F82" s="20" t="n">
        <v>45941</v>
      </c>
      <c r="G82" s="20" t="n">
        <v>45971</v>
      </c>
      <c r="H82" s="7" t="s">
        <v>2190</v>
      </c>
      <c r="I82" s="8" t="n">
        <v>7820.75</v>
      </c>
      <c r="J82" s="8" t="n">
        <v>0</v>
      </c>
      <c r="K82" s="7" t="s">
        <v>2684</v>
      </c>
      <c r="L82" s="20" t="n">
        <v>45971</v>
      </c>
      <c r="M82" s="20"/>
      <c r="N82" s="16" t="n">
        <v>30</v>
      </c>
      <c r="O82" s="16" t="n">
        <v>0</v>
      </c>
    </row>
    <row r="83" customFormat="false" ht="15" hidden="false" customHeight="false" outlineLevel="0" collapsed="false">
      <c r="A83" s="8" t="n">
        <v>18962</v>
      </c>
      <c r="B83" s="7" t="s">
        <v>137</v>
      </c>
      <c r="C83" s="7" t="s">
        <v>2206</v>
      </c>
      <c r="D83" s="7" t="s">
        <v>583</v>
      </c>
      <c r="E83" s="7" t="s">
        <v>149</v>
      </c>
      <c r="F83" s="20" t="n">
        <v>45943</v>
      </c>
      <c r="G83" s="20" t="n">
        <v>45973</v>
      </c>
      <c r="H83" s="7" t="s">
        <v>2208</v>
      </c>
      <c r="I83" s="8" t="n">
        <v>18962</v>
      </c>
      <c r="J83" s="8" t="n">
        <v>0</v>
      </c>
      <c r="K83" s="7" t="s">
        <v>2684</v>
      </c>
      <c r="L83" s="20" t="n">
        <v>45999</v>
      </c>
      <c r="M83" s="20"/>
      <c r="N83" s="16" t="n">
        <v>56</v>
      </c>
      <c r="O83" s="16" t="n">
        <v>26</v>
      </c>
    </row>
    <row r="84" customFormat="false" ht="15" hidden="false" customHeight="false" outlineLevel="0" collapsed="false">
      <c r="A84" s="8" t="n">
        <v>6137.7</v>
      </c>
      <c r="B84" s="7" t="s">
        <v>137</v>
      </c>
      <c r="C84" s="7" t="s">
        <v>2201</v>
      </c>
      <c r="D84" s="7" t="s">
        <v>606</v>
      </c>
      <c r="E84" s="7" t="s">
        <v>149</v>
      </c>
      <c r="F84" s="20" t="n">
        <v>45943</v>
      </c>
      <c r="G84" s="20" t="n">
        <v>45973</v>
      </c>
      <c r="H84" s="7" t="s">
        <v>2203</v>
      </c>
      <c r="I84" s="8" t="n">
        <v>6137.7</v>
      </c>
      <c r="J84" s="8" t="n">
        <v>0</v>
      </c>
      <c r="K84" s="7" t="s">
        <v>2684</v>
      </c>
      <c r="L84" s="20" t="n">
        <v>45992</v>
      </c>
      <c r="M84" s="20"/>
      <c r="N84" s="16" t="n">
        <v>49</v>
      </c>
      <c r="O84" s="16" t="n">
        <v>19</v>
      </c>
    </row>
    <row r="85" customFormat="false" ht="15" hidden="false" customHeight="false" outlineLevel="0" collapsed="false">
      <c r="A85" s="8" t="n">
        <v>6672.75</v>
      </c>
      <c r="B85" s="7" t="s">
        <v>137</v>
      </c>
      <c r="C85" s="7" t="s">
        <v>2211</v>
      </c>
      <c r="D85" s="7" t="s">
        <v>1016</v>
      </c>
      <c r="E85" s="7" t="s">
        <v>149</v>
      </c>
      <c r="F85" s="20" t="n">
        <v>45943</v>
      </c>
      <c r="G85" s="20" t="n">
        <v>45973</v>
      </c>
      <c r="H85" s="7" t="s">
        <v>2213</v>
      </c>
      <c r="I85" s="8" t="n">
        <v>6672.75</v>
      </c>
      <c r="J85" s="8" t="n">
        <v>0</v>
      </c>
      <c r="K85" s="7" t="s">
        <v>2684</v>
      </c>
      <c r="L85" s="20" t="n">
        <v>46013</v>
      </c>
      <c r="M85" s="20"/>
      <c r="N85" s="16" t="n">
        <v>70</v>
      </c>
      <c r="O85" s="16" t="n">
        <v>40</v>
      </c>
    </row>
    <row r="86" customFormat="false" ht="15" hidden="false" customHeight="false" outlineLevel="0" collapsed="false">
      <c r="A86" s="8" t="n">
        <v>25543</v>
      </c>
      <c r="B86" s="7" t="s">
        <v>137</v>
      </c>
      <c r="C86" s="7" t="s">
        <v>2216</v>
      </c>
      <c r="D86" s="7" t="s">
        <v>583</v>
      </c>
      <c r="E86" s="7" t="s">
        <v>149</v>
      </c>
      <c r="F86" s="20" t="n">
        <v>45944</v>
      </c>
      <c r="G86" s="20" t="n">
        <v>45974</v>
      </c>
      <c r="H86" s="7" t="s">
        <v>2218</v>
      </c>
      <c r="I86" s="8" t="n">
        <v>25543</v>
      </c>
      <c r="J86" s="8" t="n">
        <v>0</v>
      </c>
      <c r="K86" s="7" t="s">
        <v>2684</v>
      </c>
      <c r="L86" s="20" t="n">
        <v>46000</v>
      </c>
      <c r="M86" s="20"/>
      <c r="N86" s="16" t="n">
        <v>56</v>
      </c>
      <c r="O86" s="16" t="n">
        <v>26</v>
      </c>
    </row>
    <row r="87" customFormat="false" ht="15" hidden="false" customHeight="false" outlineLevel="0" collapsed="false">
      <c r="A87" s="8" t="n">
        <v>16816.8</v>
      </c>
      <c r="B87" s="7" t="s">
        <v>137</v>
      </c>
      <c r="C87" s="7" t="s">
        <v>2225</v>
      </c>
      <c r="D87" s="7" t="s">
        <v>549</v>
      </c>
      <c r="E87" s="7" t="s">
        <v>144</v>
      </c>
      <c r="F87" s="20" t="n">
        <v>45946</v>
      </c>
      <c r="G87" s="20" t="n">
        <v>45946</v>
      </c>
      <c r="H87" s="7" t="s">
        <v>2224</v>
      </c>
      <c r="I87" s="8" t="n">
        <v>16816.8</v>
      </c>
      <c r="J87" s="8" t="n">
        <v>0</v>
      </c>
      <c r="K87" s="7" t="s">
        <v>2684</v>
      </c>
      <c r="L87" s="20" t="n">
        <v>45950</v>
      </c>
      <c r="M87" s="20"/>
      <c r="N87" s="16" t="n">
        <v>4</v>
      </c>
      <c r="O87" s="16" t="n">
        <v>4</v>
      </c>
    </row>
    <row r="88" customFormat="false" ht="15" hidden="false" customHeight="false" outlineLevel="0" collapsed="false">
      <c r="A88" s="8" t="n">
        <v>5888.2</v>
      </c>
      <c r="B88" s="7" t="s">
        <v>137</v>
      </c>
      <c r="C88" s="7" t="s">
        <v>2228</v>
      </c>
      <c r="D88" s="7" t="s">
        <v>603</v>
      </c>
      <c r="E88" s="7" t="s">
        <v>149</v>
      </c>
      <c r="F88" s="20" t="n">
        <v>45946</v>
      </c>
      <c r="G88" s="20" t="n">
        <v>45976</v>
      </c>
      <c r="H88" s="7" t="s">
        <v>2230</v>
      </c>
      <c r="I88" s="8" t="n">
        <v>5888.2</v>
      </c>
      <c r="J88" s="8" t="n">
        <v>0</v>
      </c>
      <c r="K88" s="7" t="s">
        <v>2684</v>
      </c>
      <c r="L88" s="20" t="n">
        <v>45992</v>
      </c>
      <c r="M88" s="20"/>
      <c r="N88" s="16" t="n">
        <v>46</v>
      </c>
      <c r="O88" s="16" t="n">
        <v>16</v>
      </c>
    </row>
    <row r="89" customFormat="false" ht="15" hidden="false" customHeight="false" outlineLevel="0" collapsed="false">
      <c r="A89" s="8" t="n">
        <v>11077.8</v>
      </c>
      <c r="B89" s="7" t="s">
        <v>137</v>
      </c>
      <c r="C89" s="7" t="s">
        <v>2242</v>
      </c>
      <c r="D89" s="7" t="s">
        <v>1010</v>
      </c>
      <c r="E89" s="7" t="s">
        <v>149</v>
      </c>
      <c r="F89" s="20" t="n">
        <v>45948</v>
      </c>
      <c r="G89" s="20" t="n">
        <v>45978</v>
      </c>
      <c r="H89" s="7" t="s">
        <v>2244</v>
      </c>
      <c r="I89" s="8" t="n">
        <v>11077.8</v>
      </c>
      <c r="J89" s="8" t="n">
        <v>0</v>
      </c>
      <c r="K89" s="7" t="s">
        <v>2684</v>
      </c>
      <c r="L89" s="20" t="n">
        <v>46027</v>
      </c>
      <c r="M89" s="20"/>
      <c r="N89" s="16" t="n">
        <v>79</v>
      </c>
      <c r="O89" s="16" t="n">
        <v>49</v>
      </c>
    </row>
    <row r="90" customFormat="false" ht="15" hidden="false" customHeight="false" outlineLevel="0" collapsed="false">
      <c r="A90" s="8" t="n">
        <v>5389.2</v>
      </c>
      <c r="B90" s="7" t="s">
        <v>137</v>
      </c>
      <c r="C90" s="7" t="s">
        <v>2247</v>
      </c>
      <c r="D90" s="7" t="s">
        <v>614</v>
      </c>
      <c r="E90" s="7" t="s">
        <v>149</v>
      </c>
      <c r="F90" s="20" t="n">
        <v>45949</v>
      </c>
      <c r="G90" s="20" t="n">
        <v>45979</v>
      </c>
      <c r="H90" s="7" t="s">
        <v>2249</v>
      </c>
      <c r="I90" s="8" t="n">
        <v>5389.2</v>
      </c>
      <c r="J90" s="8" t="n">
        <v>0</v>
      </c>
      <c r="K90" s="7" t="s">
        <v>2684</v>
      </c>
      <c r="L90" s="20" t="n">
        <v>46007</v>
      </c>
      <c r="M90" s="20"/>
      <c r="N90" s="16" t="n">
        <v>58</v>
      </c>
      <c r="O90" s="16" t="n">
        <v>28</v>
      </c>
    </row>
    <row r="91" customFormat="false" ht="15" hidden="false" customHeight="false" outlineLevel="0" collapsed="false">
      <c r="A91" s="8" t="n">
        <v>7103.25</v>
      </c>
      <c r="B91" s="7" t="s">
        <v>137</v>
      </c>
      <c r="C91" s="7" t="s">
        <v>2269</v>
      </c>
      <c r="D91" s="7" t="s">
        <v>614</v>
      </c>
      <c r="E91" s="7" t="s">
        <v>149</v>
      </c>
      <c r="F91" s="20" t="n">
        <v>45959</v>
      </c>
      <c r="G91" s="20" t="n">
        <v>45989</v>
      </c>
      <c r="H91" s="7" t="s">
        <v>2271</v>
      </c>
      <c r="I91" s="8" t="n">
        <v>7103.25</v>
      </c>
      <c r="J91" s="8" t="n">
        <v>0</v>
      </c>
      <c r="K91" s="7" t="s">
        <v>2684</v>
      </c>
      <c r="L91" s="20" t="n">
        <v>46013</v>
      </c>
      <c r="M91" s="20"/>
      <c r="N91" s="16" t="n">
        <v>54</v>
      </c>
      <c r="O91" s="16" t="n">
        <v>24</v>
      </c>
    </row>
    <row r="92" customFormat="false" ht="15" hidden="false" customHeight="false" outlineLevel="0" collapsed="false">
      <c r="A92" s="8" t="n">
        <v>16215.5</v>
      </c>
      <c r="B92" s="7" t="s">
        <v>137</v>
      </c>
      <c r="C92" s="7" t="s">
        <v>2274</v>
      </c>
      <c r="D92" s="7" t="s">
        <v>1010</v>
      </c>
      <c r="E92" s="7" t="s">
        <v>149</v>
      </c>
      <c r="F92" s="20" t="n">
        <v>45960</v>
      </c>
      <c r="G92" s="20" t="n">
        <v>45990</v>
      </c>
      <c r="H92" s="7" t="s">
        <v>2276</v>
      </c>
      <c r="I92" s="8" t="n">
        <v>16215.5</v>
      </c>
      <c r="J92" s="8" t="n">
        <v>0</v>
      </c>
      <c r="K92" s="7" t="s">
        <v>2684</v>
      </c>
      <c r="L92" s="20" t="n">
        <v>46048</v>
      </c>
      <c r="M92" s="20"/>
      <c r="N92" s="16" t="n">
        <v>88</v>
      </c>
      <c r="O92" s="16" t="n">
        <v>58</v>
      </c>
    </row>
    <row r="93" customFormat="false" ht="15" hidden="false" customHeight="false" outlineLevel="0" collapsed="false">
      <c r="A93" s="8" t="n">
        <v>7457.39</v>
      </c>
      <c r="B93" s="7" t="s">
        <v>137</v>
      </c>
      <c r="C93" s="7" t="s">
        <v>2330</v>
      </c>
      <c r="D93" s="7" t="s">
        <v>1283</v>
      </c>
      <c r="E93" s="7" t="s">
        <v>136</v>
      </c>
      <c r="F93" s="20" t="n">
        <v>46009</v>
      </c>
      <c r="G93" s="20" t="n">
        <v>46039</v>
      </c>
      <c r="H93" s="7" t="s">
        <v>2329</v>
      </c>
      <c r="I93" s="8" t="n">
        <v>7457.39</v>
      </c>
      <c r="J93" s="8" t="n">
        <v>0</v>
      </c>
      <c r="K93" s="7" t="s">
        <v>2684</v>
      </c>
      <c r="L93" s="20" t="n">
        <v>46059</v>
      </c>
      <c r="M93" s="20"/>
      <c r="N93" s="16" t="n">
        <v>50</v>
      </c>
      <c r="O93" s="16" t="n">
        <v>20</v>
      </c>
    </row>
    <row r="94" customFormat="false" ht="15" hidden="false" customHeight="false" outlineLevel="0" collapsed="false">
      <c r="A94" s="8" t="n">
        <v>30759.85</v>
      </c>
      <c r="B94" s="7" t="s">
        <v>137</v>
      </c>
      <c r="C94" s="7" t="s">
        <v>2333</v>
      </c>
      <c r="D94" s="7" t="s">
        <v>566</v>
      </c>
      <c r="E94" s="7" t="s">
        <v>136</v>
      </c>
      <c r="F94" s="20" t="n">
        <v>46010</v>
      </c>
      <c r="G94" s="20" t="n">
        <v>46321</v>
      </c>
      <c r="H94" s="7" t="s">
        <v>567</v>
      </c>
      <c r="I94" s="8" t="n">
        <v>26145.87</v>
      </c>
      <c r="J94" s="8" t="n">
        <v>4613.98</v>
      </c>
      <c r="K94" s="7" t="s">
        <v>2686</v>
      </c>
      <c r="L94" s="20"/>
      <c r="M94" s="20" t="n">
        <v>46321</v>
      </c>
      <c r="N94" s="16" t="n">
        <v>285</v>
      </c>
      <c r="O94" s="16" t="n">
        <v>0</v>
      </c>
    </row>
    <row r="95" customFormat="false" ht="15" hidden="false" customHeight="false" outlineLevel="0" collapsed="false">
      <c r="A95" s="8" t="n">
        <v>17371.2</v>
      </c>
      <c r="B95" s="7" t="s">
        <v>137</v>
      </c>
      <c r="C95" s="7" t="s">
        <v>2368</v>
      </c>
      <c r="D95" s="7" t="s">
        <v>549</v>
      </c>
      <c r="E95" s="7" t="s">
        <v>144</v>
      </c>
      <c r="F95" s="20" t="n">
        <v>46042</v>
      </c>
      <c r="G95" s="20" t="n">
        <v>46042</v>
      </c>
      <c r="H95" s="7" t="s">
        <v>2367</v>
      </c>
      <c r="I95" s="8" t="n">
        <v>17371.2</v>
      </c>
      <c r="J95" s="8" t="n">
        <v>0</v>
      </c>
      <c r="K95" s="7" t="s">
        <v>2684</v>
      </c>
      <c r="L95" s="20" t="n">
        <v>46048</v>
      </c>
      <c r="M95" s="20"/>
      <c r="N95" s="16" t="n">
        <v>6</v>
      </c>
      <c r="O95" s="16" t="n">
        <v>6</v>
      </c>
    </row>
    <row r="96" customFormat="false" ht="15" hidden="false" customHeight="false" outlineLevel="0" collapsed="false">
      <c r="A96" s="8" t="n">
        <v>42748.38</v>
      </c>
      <c r="B96" s="7" t="s">
        <v>137</v>
      </c>
      <c r="C96" s="7" t="s">
        <v>2389</v>
      </c>
      <c r="D96" s="7" t="s">
        <v>549</v>
      </c>
      <c r="E96" s="7" t="s">
        <v>141</v>
      </c>
      <c r="F96" s="20" t="n">
        <v>46070</v>
      </c>
      <c r="G96" s="20" t="n">
        <v>46070</v>
      </c>
      <c r="H96" s="7" t="s">
        <v>2388</v>
      </c>
      <c r="I96" s="8" t="n">
        <v>42748.38</v>
      </c>
      <c r="J96" s="8" t="n">
        <v>0</v>
      </c>
      <c r="K96" s="7" t="s">
        <v>2684</v>
      </c>
      <c r="L96" s="20" t="n">
        <v>46076</v>
      </c>
      <c r="M96" s="20"/>
      <c r="N96" s="16" t="n">
        <v>6</v>
      </c>
      <c r="O96" s="16" t="n">
        <v>6</v>
      </c>
    </row>
    <row r="97" customFormat="false" ht="15" hidden="false" customHeight="false" outlineLevel="0" collapsed="false">
      <c r="A97" s="8" t="n">
        <v>11087.6</v>
      </c>
      <c r="B97" s="7" t="s">
        <v>137</v>
      </c>
      <c r="C97" s="7" t="s">
        <v>2419</v>
      </c>
      <c r="D97" s="7" t="s">
        <v>626</v>
      </c>
      <c r="E97" s="7" t="s">
        <v>146</v>
      </c>
      <c r="F97" s="20" t="n">
        <v>46092</v>
      </c>
      <c r="G97" s="20" t="n">
        <v>46092</v>
      </c>
      <c r="H97" s="7" t="s">
        <v>2418</v>
      </c>
      <c r="I97" s="8" t="n">
        <v>11087.6</v>
      </c>
      <c r="J97" s="8" t="n">
        <v>0</v>
      </c>
      <c r="K97" s="7" t="s">
        <v>2684</v>
      </c>
      <c r="L97" s="20" t="n">
        <v>46101</v>
      </c>
      <c r="M97" s="20"/>
      <c r="N97" s="16" t="n">
        <v>9</v>
      </c>
      <c r="O97" s="16" t="n">
        <v>9</v>
      </c>
    </row>
    <row r="98" customFormat="false" ht="15" hidden="false" customHeight="false" outlineLevel="0" collapsed="false">
      <c r="A98" s="8" t="n">
        <v>37073.36</v>
      </c>
      <c r="B98" s="7" t="s">
        <v>137</v>
      </c>
      <c r="C98" s="7" t="s">
        <v>2460</v>
      </c>
      <c r="D98" s="7" t="s">
        <v>549</v>
      </c>
      <c r="E98" s="7" t="s">
        <v>141</v>
      </c>
      <c r="F98" s="20" t="n">
        <v>46134</v>
      </c>
      <c r="G98" s="20" t="n">
        <v>46134</v>
      </c>
      <c r="H98" s="7" t="s">
        <v>2459</v>
      </c>
      <c r="I98" s="8" t="n">
        <v>37073.36</v>
      </c>
      <c r="J98" s="8" t="n">
        <v>0</v>
      </c>
      <c r="K98" s="7" t="s">
        <v>2684</v>
      </c>
      <c r="L98" s="20" t="n">
        <v>46139</v>
      </c>
      <c r="M98" s="20"/>
      <c r="N98" s="16" t="n">
        <v>5</v>
      </c>
      <c r="O98" s="16" t="n">
        <v>5</v>
      </c>
    </row>
    <row r="99" customFormat="false" ht="15" hidden="false" customHeight="false" outlineLevel="0" collapsed="false">
      <c r="A99" s="8" t="n">
        <v>11551.68</v>
      </c>
      <c r="B99" s="7" t="s">
        <v>137</v>
      </c>
      <c r="C99" s="7" t="s">
        <v>2542</v>
      </c>
      <c r="D99" s="7" t="s">
        <v>626</v>
      </c>
      <c r="E99" s="7" t="s">
        <v>146</v>
      </c>
      <c r="F99" s="20" t="n">
        <v>46198</v>
      </c>
      <c r="G99" s="20" t="n">
        <v>46198</v>
      </c>
      <c r="H99" s="7" t="s">
        <v>2541</v>
      </c>
      <c r="I99" s="8" t="n">
        <v>11551.68</v>
      </c>
      <c r="J99" s="8" t="n">
        <v>0</v>
      </c>
      <c r="K99" s="7" t="s">
        <v>2684</v>
      </c>
      <c r="L99" s="20" t="n">
        <v>46209</v>
      </c>
      <c r="M99" s="20"/>
      <c r="N99" s="16" t="n">
        <v>11</v>
      </c>
      <c r="O99" s="16" t="n">
        <v>11</v>
      </c>
    </row>
    <row r="100" customFormat="false" ht="15" hidden="false" customHeight="false" outlineLevel="0" collapsed="false">
      <c r="A100" s="8" t="n">
        <v>4414.64</v>
      </c>
      <c r="B100" s="7" t="s">
        <v>137</v>
      </c>
      <c r="C100" s="7" t="s">
        <v>2545</v>
      </c>
      <c r="D100" s="7" t="s">
        <v>614</v>
      </c>
      <c r="E100" s="7" t="s">
        <v>149</v>
      </c>
      <c r="F100" s="20" t="n">
        <v>46198</v>
      </c>
      <c r="G100" s="20" t="n">
        <v>46228</v>
      </c>
      <c r="H100" s="7" t="s">
        <v>2547</v>
      </c>
      <c r="I100" s="8" t="n">
        <v>4414.64</v>
      </c>
      <c r="J100" s="8" t="n">
        <v>0</v>
      </c>
      <c r="K100" s="7" t="s">
        <v>2684</v>
      </c>
      <c r="L100" s="20" t="n">
        <v>46248</v>
      </c>
      <c r="M100" s="20"/>
      <c r="N100" s="16" t="n">
        <v>50</v>
      </c>
      <c r="O100" s="16" t="n">
        <v>20</v>
      </c>
    </row>
    <row r="101" customFormat="false" ht="15" hidden="false" customHeight="false" outlineLevel="0" collapsed="false">
      <c r="A101" s="8" t="n">
        <v>7664.98</v>
      </c>
      <c r="B101" s="7" t="s">
        <v>137</v>
      </c>
      <c r="C101" s="7" t="s">
        <v>2557</v>
      </c>
      <c r="D101" s="7" t="s">
        <v>593</v>
      </c>
      <c r="E101" s="7" t="s">
        <v>149</v>
      </c>
      <c r="F101" s="20" t="n">
        <v>46201</v>
      </c>
      <c r="G101" s="20" t="n">
        <v>46231</v>
      </c>
      <c r="H101" s="7" t="s">
        <v>2559</v>
      </c>
      <c r="I101" s="8" t="n">
        <v>7664.98</v>
      </c>
      <c r="J101" s="8" t="n">
        <v>0</v>
      </c>
      <c r="K101" s="7" t="s">
        <v>2684</v>
      </c>
      <c r="L101" s="20" t="n">
        <v>46237</v>
      </c>
      <c r="M101" s="20"/>
      <c r="N101" s="16" t="n">
        <v>36</v>
      </c>
      <c r="O101" s="16" t="n">
        <v>6</v>
      </c>
    </row>
    <row r="102" customFormat="false" ht="15" hidden="false" customHeight="false" outlineLevel="0" collapsed="false">
      <c r="A102" s="8" t="n">
        <v>14408.21</v>
      </c>
      <c r="B102" s="7" t="s">
        <v>137</v>
      </c>
      <c r="C102" s="7" t="s">
        <v>2562</v>
      </c>
      <c r="D102" s="7" t="s">
        <v>583</v>
      </c>
      <c r="E102" s="7" t="s">
        <v>149</v>
      </c>
      <c r="F102" s="20" t="n">
        <v>46202</v>
      </c>
      <c r="G102" s="20" t="n">
        <v>46232</v>
      </c>
      <c r="H102" s="7" t="s">
        <v>2564</v>
      </c>
      <c r="I102" s="8" t="n">
        <v>14408.21</v>
      </c>
      <c r="J102" s="8" t="n">
        <v>0</v>
      </c>
      <c r="K102" s="7" t="s">
        <v>2684</v>
      </c>
      <c r="L102" s="20" t="n">
        <v>46252</v>
      </c>
      <c r="M102" s="20"/>
      <c r="N102" s="16" t="n">
        <v>50</v>
      </c>
      <c r="O102" s="16" t="n">
        <v>20</v>
      </c>
    </row>
    <row r="103" customFormat="false" ht="15" hidden="false" customHeight="false" outlineLevel="0" collapsed="false">
      <c r="A103" s="8" t="n">
        <v>5336.38</v>
      </c>
      <c r="B103" s="7" t="s">
        <v>137</v>
      </c>
      <c r="C103" s="7" t="s">
        <v>2570</v>
      </c>
      <c r="D103" s="7" t="s">
        <v>1016</v>
      </c>
      <c r="E103" s="7" t="s">
        <v>149</v>
      </c>
      <c r="F103" s="20" t="n">
        <v>46204</v>
      </c>
      <c r="G103" s="20" t="n">
        <v>46234</v>
      </c>
      <c r="H103" s="7" t="s">
        <v>2572</v>
      </c>
      <c r="I103" s="8" t="n">
        <v>5336.38</v>
      </c>
      <c r="J103" s="8" t="n">
        <v>0</v>
      </c>
      <c r="K103" s="7" t="s">
        <v>2684</v>
      </c>
      <c r="L103" s="20" t="n">
        <v>46252</v>
      </c>
      <c r="M103" s="20"/>
      <c r="N103" s="16" t="n">
        <v>48</v>
      </c>
      <c r="O103" s="16" t="n">
        <v>18</v>
      </c>
    </row>
    <row r="104" customFormat="false" ht="15" hidden="false" customHeight="false" outlineLevel="0" collapsed="false">
      <c r="A104" s="8" t="n">
        <v>10381.67</v>
      </c>
      <c r="B104" s="7" t="s">
        <v>137</v>
      </c>
      <c r="C104" s="7" t="s">
        <v>2575</v>
      </c>
      <c r="D104" s="7" t="s">
        <v>1010</v>
      </c>
      <c r="E104" s="7" t="s">
        <v>149</v>
      </c>
      <c r="F104" s="20" t="n">
        <v>46205</v>
      </c>
      <c r="G104" s="20" t="n">
        <v>46235</v>
      </c>
      <c r="H104" s="7" t="s">
        <v>2577</v>
      </c>
      <c r="I104" s="8" t="n">
        <v>10381.67</v>
      </c>
      <c r="J104" s="8" t="n">
        <v>0</v>
      </c>
      <c r="K104" s="7" t="s">
        <v>2684</v>
      </c>
      <c r="L104" s="20" t="n">
        <v>46286</v>
      </c>
      <c r="M104" s="20"/>
      <c r="N104" s="16" t="n">
        <v>81</v>
      </c>
      <c r="O104" s="16" t="n">
        <v>51</v>
      </c>
    </row>
    <row r="105" customFormat="false" ht="15" hidden="false" customHeight="false" outlineLevel="0" collapsed="false">
      <c r="A105" s="8" t="n">
        <v>7519.44</v>
      </c>
      <c r="B105" s="7" t="s">
        <v>137</v>
      </c>
      <c r="C105" s="7" t="s">
        <v>2585</v>
      </c>
      <c r="D105" s="7" t="s">
        <v>600</v>
      </c>
      <c r="E105" s="7" t="s">
        <v>149</v>
      </c>
      <c r="F105" s="20" t="n">
        <v>46209</v>
      </c>
      <c r="G105" s="20" t="n">
        <v>46239</v>
      </c>
      <c r="H105" s="7" t="s">
        <v>2587</v>
      </c>
      <c r="I105" s="8" t="n">
        <v>7519.44</v>
      </c>
      <c r="J105" s="8" t="n">
        <v>0</v>
      </c>
      <c r="K105" s="7" t="s">
        <v>2684</v>
      </c>
      <c r="L105" s="20" t="n">
        <v>46269</v>
      </c>
      <c r="M105" s="20"/>
      <c r="N105" s="16" t="n">
        <v>60</v>
      </c>
      <c r="O105" s="16" t="n">
        <v>30</v>
      </c>
    </row>
    <row r="106" customFormat="false" ht="15" hidden="false" customHeight="false" outlineLevel="0" collapsed="false">
      <c r="A106" s="8" t="n">
        <v>5530.42</v>
      </c>
      <c r="B106" s="7" t="s">
        <v>137</v>
      </c>
      <c r="C106" s="7" t="s">
        <v>2590</v>
      </c>
      <c r="D106" s="7" t="s">
        <v>603</v>
      </c>
      <c r="E106" s="7" t="s">
        <v>149</v>
      </c>
      <c r="F106" s="20" t="n">
        <v>46210</v>
      </c>
      <c r="G106" s="20" t="n">
        <v>46240</v>
      </c>
      <c r="H106" s="7" t="s">
        <v>2592</v>
      </c>
      <c r="I106" s="8" t="n">
        <v>5530.42</v>
      </c>
      <c r="J106" s="8" t="n">
        <v>0</v>
      </c>
      <c r="K106" s="7" t="s">
        <v>2684</v>
      </c>
      <c r="L106" s="20" t="n">
        <v>46244</v>
      </c>
      <c r="M106" s="20"/>
      <c r="N106" s="16" t="n">
        <v>34</v>
      </c>
      <c r="O106" s="16" t="n">
        <v>4</v>
      </c>
    </row>
    <row r="107" customFormat="false" ht="15" hidden="false" customHeight="false" outlineLevel="0" collapsed="false">
      <c r="A107" s="8" t="n">
        <v>4851.25</v>
      </c>
      <c r="B107" s="7" t="s">
        <v>137</v>
      </c>
      <c r="C107" s="7" t="s">
        <v>2595</v>
      </c>
      <c r="D107" s="7" t="s">
        <v>606</v>
      </c>
      <c r="E107" s="7" t="s">
        <v>149</v>
      </c>
      <c r="F107" s="20" t="n">
        <v>46210</v>
      </c>
      <c r="G107" s="20" t="n">
        <v>46240</v>
      </c>
      <c r="H107" s="7" t="s">
        <v>2597</v>
      </c>
      <c r="I107" s="8" t="n">
        <v>4851.25</v>
      </c>
      <c r="J107" s="8" t="n">
        <v>0</v>
      </c>
      <c r="K107" s="7" t="s">
        <v>2684</v>
      </c>
      <c r="L107" s="20" t="n">
        <v>46246</v>
      </c>
      <c r="M107" s="20"/>
      <c r="N107" s="16" t="n">
        <v>36</v>
      </c>
      <c r="O107" s="16" t="n">
        <v>6</v>
      </c>
    </row>
    <row r="108" customFormat="false" ht="15" hidden="false" customHeight="false" outlineLevel="0" collapsed="false">
      <c r="A108" s="8" t="n">
        <v>31752</v>
      </c>
      <c r="B108" s="7" t="s">
        <v>137</v>
      </c>
      <c r="C108" s="7" t="s">
        <v>2668</v>
      </c>
      <c r="D108" s="7" t="s">
        <v>549</v>
      </c>
      <c r="E108" s="7" t="s">
        <v>141</v>
      </c>
      <c r="F108" s="20" t="n">
        <v>46289</v>
      </c>
      <c r="G108" s="20" t="n">
        <v>46289</v>
      </c>
      <c r="H108" s="7" t="s">
        <v>2667</v>
      </c>
      <c r="I108" s="8" t="n">
        <v>31752</v>
      </c>
      <c r="J108" s="8" t="n">
        <v>0</v>
      </c>
      <c r="K108" s="7" t="s">
        <v>2684</v>
      </c>
      <c r="L108" s="20" t="n">
        <v>46293</v>
      </c>
      <c r="M108" s="20"/>
      <c r="N108" s="16" t="n">
        <v>4</v>
      </c>
      <c r="O108" s="16" t="n">
        <v>4</v>
      </c>
    </row>
  </sheetData>
  <autoFilter ref="A1:O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27"/>
    <col collapsed="false" customWidth="true" hidden="false" outlineLevel="0" max="9" min="9" style="0" width="14"/>
    <col collapsed="false" customWidth="true" hidden="false" outlineLevel="0" max="10" min="10" style="0" width="60"/>
    <col collapsed="false" customWidth="true" hidden="false" outlineLevel="0" max="12" min="11" style="0" width="13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3"/>
    <col collapsed="false" customWidth="true" hidden="false" outlineLevel="0" max="16" min="16" style="0" width="18"/>
    <col collapsed="false" customWidth="true" hidden="false" outlineLevel="0" max="17" min="17" style="0" width="15"/>
  </cols>
  <sheetData>
    <row r="1" customFormat="false" ht="23.85" hidden="false" customHeight="false" outlineLevel="0" collapsed="false">
      <c r="A1" s="11" t="s">
        <v>218</v>
      </c>
      <c r="B1" s="11" t="s">
        <v>131</v>
      </c>
      <c r="C1" s="11" t="s">
        <v>735</v>
      </c>
      <c r="D1" s="11" t="s">
        <v>2687</v>
      </c>
      <c r="E1" s="11" t="s">
        <v>130</v>
      </c>
      <c r="F1" s="11" t="s">
        <v>2688</v>
      </c>
      <c r="G1" s="11" t="s">
        <v>736</v>
      </c>
      <c r="H1" s="11" t="s">
        <v>2689</v>
      </c>
      <c r="I1" s="11" t="s">
        <v>216</v>
      </c>
      <c r="J1" s="11" t="s">
        <v>536</v>
      </c>
      <c r="K1" s="11" t="s">
        <v>2677</v>
      </c>
      <c r="L1" s="11" t="s">
        <v>2678</v>
      </c>
      <c r="M1" s="11" t="s">
        <v>2679</v>
      </c>
      <c r="N1" s="11" t="s">
        <v>2680</v>
      </c>
      <c r="O1" s="11" t="s">
        <v>2681</v>
      </c>
      <c r="P1" s="11" t="s">
        <v>2682</v>
      </c>
      <c r="Q1" s="11" t="s">
        <v>2683</v>
      </c>
    </row>
    <row r="2" customFormat="false" ht="15" hidden="false" customHeight="false" outlineLevel="0" collapsed="false">
      <c r="A2" s="8" t="n">
        <v>3184.55</v>
      </c>
      <c r="B2" s="7" t="s">
        <v>137</v>
      </c>
      <c r="C2" s="7" t="s">
        <v>752</v>
      </c>
      <c r="D2" s="7" t="s">
        <v>563</v>
      </c>
      <c r="E2" s="7" t="s">
        <v>153</v>
      </c>
      <c r="F2" s="20" t="n">
        <v>44915</v>
      </c>
      <c r="G2" s="20" t="n">
        <v>44945</v>
      </c>
      <c r="H2" s="7" t="s">
        <v>267</v>
      </c>
      <c r="I2" s="7" t="s">
        <v>268</v>
      </c>
      <c r="J2" s="7" t="s">
        <v>750</v>
      </c>
      <c r="K2" s="8" t="n">
        <v>3184.55</v>
      </c>
      <c r="L2" s="8" t="n">
        <v>0</v>
      </c>
      <c r="M2" s="7" t="s">
        <v>2684</v>
      </c>
      <c r="N2" s="20" t="n">
        <v>44945</v>
      </c>
      <c r="O2" s="20"/>
      <c r="P2" s="16" t="n">
        <v>30</v>
      </c>
      <c r="Q2" s="16" t="n">
        <v>0</v>
      </c>
    </row>
    <row r="3" customFormat="false" ht="15" hidden="false" customHeight="false" outlineLevel="0" collapsed="false">
      <c r="A3" s="8" t="n">
        <v>1344</v>
      </c>
      <c r="B3" s="7" t="s">
        <v>137</v>
      </c>
      <c r="C3" s="7" t="s">
        <v>802</v>
      </c>
      <c r="D3" s="7" t="s">
        <v>589</v>
      </c>
      <c r="E3" s="7" t="s">
        <v>136</v>
      </c>
      <c r="F3" s="20" t="n">
        <v>44946</v>
      </c>
      <c r="G3" s="20" t="n">
        <v>44976</v>
      </c>
      <c r="H3" s="7" t="s">
        <v>222</v>
      </c>
      <c r="I3" s="7" t="s">
        <v>223</v>
      </c>
      <c r="J3" s="7" t="s">
        <v>800</v>
      </c>
      <c r="K3" s="8" t="n">
        <v>1344</v>
      </c>
      <c r="L3" s="8" t="n">
        <v>0</v>
      </c>
      <c r="M3" s="7" t="s">
        <v>2684</v>
      </c>
      <c r="N3" s="20" t="n">
        <v>44980</v>
      </c>
      <c r="O3" s="20"/>
      <c r="P3" s="16" t="n">
        <v>34</v>
      </c>
      <c r="Q3" s="16" t="n">
        <v>4</v>
      </c>
    </row>
    <row r="4" customFormat="false" ht="15" hidden="false" customHeight="false" outlineLevel="0" collapsed="false">
      <c r="A4" s="8" t="n">
        <v>4096</v>
      </c>
      <c r="B4" s="7" t="s">
        <v>137</v>
      </c>
      <c r="C4" s="7" t="s">
        <v>826</v>
      </c>
      <c r="D4" s="7" t="s">
        <v>563</v>
      </c>
      <c r="E4" s="7" t="s">
        <v>146</v>
      </c>
      <c r="F4" s="20" t="n">
        <v>44987</v>
      </c>
      <c r="G4" s="20" t="n">
        <v>45017</v>
      </c>
      <c r="H4" s="7" t="s">
        <v>254</v>
      </c>
      <c r="I4" s="7" t="s">
        <v>255</v>
      </c>
      <c r="J4" s="7" t="s">
        <v>825</v>
      </c>
      <c r="K4" s="8" t="n">
        <v>4096</v>
      </c>
      <c r="L4" s="8" t="n">
        <v>0</v>
      </c>
      <c r="M4" s="7" t="s">
        <v>2684</v>
      </c>
      <c r="N4" s="20" t="n">
        <v>45019</v>
      </c>
      <c r="O4" s="20"/>
      <c r="P4" s="16" t="n">
        <v>32</v>
      </c>
      <c r="Q4" s="16" t="n">
        <v>2</v>
      </c>
    </row>
    <row r="5" customFormat="false" ht="15" hidden="false" customHeight="false" outlineLevel="0" collapsed="false">
      <c r="A5" s="8" t="n">
        <v>2304</v>
      </c>
      <c r="B5" s="7" t="s">
        <v>137</v>
      </c>
      <c r="C5" s="7" t="s">
        <v>829</v>
      </c>
      <c r="D5" s="7" t="s">
        <v>589</v>
      </c>
      <c r="E5" s="7" t="s">
        <v>136</v>
      </c>
      <c r="F5" s="20" t="n">
        <v>44991</v>
      </c>
      <c r="G5" s="20" t="n">
        <v>45021</v>
      </c>
      <c r="H5" s="7" t="s">
        <v>222</v>
      </c>
      <c r="I5" s="7" t="s">
        <v>223</v>
      </c>
      <c r="J5" s="7" t="s">
        <v>828</v>
      </c>
      <c r="K5" s="8" t="n">
        <v>2304</v>
      </c>
      <c r="L5" s="8" t="n">
        <v>0</v>
      </c>
      <c r="M5" s="7" t="s">
        <v>2684</v>
      </c>
      <c r="N5" s="20" t="n">
        <v>45026</v>
      </c>
      <c r="O5" s="20"/>
      <c r="P5" s="16" t="n">
        <v>35</v>
      </c>
      <c r="Q5" s="16" t="n">
        <v>5</v>
      </c>
    </row>
    <row r="6" customFormat="false" ht="15" hidden="false" customHeight="false" outlineLevel="0" collapsed="false">
      <c r="A6" s="8" t="n">
        <v>1290.98</v>
      </c>
      <c r="B6" s="7" t="s">
        <v>137</v>
      </c>
      <c r="C6" s="7" t="s">
        <v>837</v>
      </c>
      <c r="D6" s="7" t="s">
        <v>538</v>
      </c>
      <c r="E6" s="7" t="s">
        <v>153</v>
      </c>
      <c r="F6" s="20" t="n">
        <v>44999</v>
      </c>
      <c r="G6" s="20" t="n">
        <v>45029</v>
      </c>
      <c r="H6" s="7" t="s">
        <v>260</v>
      </c>
      <c r="I6" s="7" t="s">
        <v>261</v>
      </c>
      <c r="J6" s="7" t="s">
        <v>623</v>
      </c>
      <c r="K6" s="8" t="n">
        <v>1290.98</v>
      </c>
      <c r="L6" s="8" t="n">
        <v>0</v>
      </c>
      <c r="M6" s="7" t="s">
        <v>2684</v>
      </c>
      <c r="N6" s="20" t="n">
        <v>45029</v>
      </c>
      <c r="O6" s="20"/>
      <c r="P6" s="16" t="n">
        <v>30</v>
      </c>
      <c r="Q6" s="16" t="n">
        <v>0</v>
      </c>
    </row>
    <row r="7" customFormat="false" ht="15" hidden="false" customHeight="false" outlineLevel="0" collapsed="false">
      <c r="A7" s="8" t="n">
        <v>1120</v>
      </c>
      <c r="B7" s="7" t="s">
        <v>137</v>
      </c>
      <c r="C7" s="7" t="s">
        <v>848</v>
      </c>
      <c r="D7" s="7" t="s">
        <v>563</v>
      </c>
      <c r="E7" s="7" t="s">
        <v>146</v>
      </c>
      <c r="F7" s="20" t="n">
        <v>45013</v>
      </c>
      <c r="G7" s="20" t="n">
        <v>45043</v>
      </c>
      <c r="H7" s="7" t="s">
        <v>263</v>
      </c>
      <c r="I7" s="7" t="s">
        <v>264</v>
      </c>
      <c r="J7" s="7" t="s">
        <v>847</v>
      </c>
      <c r="K7" s="8" t="n">
        <v>1120</v>
      </c>
      <c r="L7" s="8" t="n">
        <v>0</v>
      </c>
      <c r="M7" s="7" t="s">
        <v>2684</v>
      </c>
      <c r="N7" s="20" t="n">
        <v>45043</v>
      </c>
      <c r="O7" s="20"/>
      <c r="P7" s="16" t="n">
        <v>30</v>
      </c>
      <c r="Q7" s="16" t="n">
        <v>0</v>
      </c>
    </row>
    <row r="8" customFormat="false" ht="15" hidden="false" customHeight="false" outlineLevel="0" collapsed="false">
      <c r="A8" s="8" t="n">
        <v>7562.5</v>
      </c>
      <c r="B8" s="7" t="s">
        <v>137</v>
      </c>
      <c r="C8" s="7" t="s">
        <v>851</v>
      </c>
      <c r="D8" s="7" t="s">
        <v>563</v>
      </c>
      <c r="E8" s="7" t="s">
        <v>141</v>
      </c>
      <c r="F8" s="20" t="n">
        <v>45015</v>
      </c>
      <c r="G8" s="20" t="n">
        <v>45045</v>
      </c>
      <c r="H8" s="7" t="s">
        <v>254</v>
      </c>
      <c r="I8" s="7" t="s">
        <v>255</v>
      </c>
      <c r="J8" s="7" t="s">
        <v>850</v>
      </c>
      <c r="K8" s="8" t="n">
        <v>7562.5</v>
      </c>
      <c r="L8" s="8" t="n">
        <v>0</v>
      </c>
      <c r="M8" s="7" t="s">
        <v>2684</v>
      </c>
      <c r="N8" s="20" t="n">
        <v>45047</v>
      </c>
      <c r="O8" s="20"/>
      <c r="P8" s="16" t="n">
        <v>32</v>
      </c>
      <c r="Q8" s="16" t="n">
        <v>2</v>
      </c>
    </row>
    <row r="9" customFormat="false" ht="15" hidden="false" customHeight="false" outlineLevel="0" collapsed="false">
      <c r="A9" s="8" t="n">
        <v>2464</v>
      </c>
      <c r="B9" s="7" t="s">
        <v>137</v>
      </c>
      <c r="C9" s="7" t="s">
        <v>858</v>
      </c>
      <c r="D9" s="7" t="s">
        <v>563</v>
      </c>
      <c r="E9" s="7" t="s">
        <v>141</v>
      </c>
      <c r="F9" s="20" t="n">
        <v>45020</v>
      </c>
      <c r="G9" s="20" t="n">
        <v>45050</v>
      </c>
      <c r="H9" s="7" t="s">
        <v>254</v>
      </c>
      <c r="I9" s="7" t="s">
        <v>255</v>
      </c>
      <c r="J9" s="7" t="s">
        <v>850</v>
      </c>
      <c r="K9" s="8" t="n">
        <v>2464</v>
      </c>
      <c r="L9" s="8" t="n">
        <v>0</v>
      </c>
      <c r="M9" s="7" t="s">
        <v>2684</v>
      </c>
      <c r="N9" s="20" t="n">
        <v>45050</v>
      </c>
      <c r="O9" s="20"/>
      <c r="P9" s="16" t="n">
        <v>30</v>
      </c>
      <c r="Q9" s="16" t="n">
        <v>0</v>
      </c>
    </row>
    <row r="10" customFormat="false" ht="15" hidden="false" customHeight="false" outlineLevel="0" collapsed="false">
      <c r="A10" s="8" t="n">
        <v>5632</v>
      </c>
      <c r="B10" s="7" t="s">
        <v>137</v>
      </c>
      <c r="C10" s="7" t="s">
        <v>869</v>
      </c>
      <c r="D10" s="7" t="s">
        <v>563</v>
      </c>
      <c r="E10" s="7" t="s">
        <v>141</v>
      </c>
      <c r="F10" s="20" t="n">
        <v>45026</v>
      </c>
      <c r="G10" s="20" t="n">
        <v>45056</v>
      </c>
      <c r="H10" s="7" t="s">
        <v>254</v>
      </c>
      <c r="I10" s="7" t="s">
        <v>255</v>
      </c>
      <c r="J10" s="7" t="s">
        <v>868</v>
      </c>
      <c r="K10" s="8" t="n">
        <v>5632</v>
      </c>
      <c r="L10" s="8" t="n">
        <v>0</v>
      </c>
      <c r="M10" s="7" t="s">
        <v>2684</v>
      </c>
      <c r="N10" s="20" t="n">
        <v>45056</v>
      </c>
      <c r="O10" s="20"/>
      <c r="P10" s="16" t="n">
        <v>30</v>
      </c>
      <c r="Q10" s="16" t="n">
        <v>0</v>
      </c>
    </row>
    <row r="11" customFormat="false" ht="15" hidden="false" customHeight="false" outlineLevel="0" collapsed="false">
      <c r="A11" s="8" t="n">
        <v>864</v>
      </c>
      <c r="B11" s="7" t="s">
        <v>137</v>
      </c>
      <c r="C11" s="7" t="s">
        <v>876</v>
      </c>
      <c r="D11" s="7" t="s">
        <v>589</v>
      </c>
      <c r="E11" s="7" t="s">
        <v>136</v>
      </c>
      <c r="F11" s="20" t="n">
        <v>45028</v>
      </c>
      <c r="G11" s="20" t="n">
        <v>45058</v>
      </c>
      <c r="H11" s="7" t="s">
        <v>222</v>
      </c>
      <c r="I11" s="7" t="s">
        <v>223</v>
      </c>
      <c r="J11" s="7" t="s">
        <v>875</v>
      </c>
      <c r="K11" s="8" t="n">
        <v>864</v>
      </c>
      <c r="L11" s="8" t="n">
        <v>0</v>
      </c>
      <c r="M11" s="7" t="s">
        <v>2684</v>
      </c>
      <c r="N11" s="20" t="n">
        <v>45062</v>
      </c>
      <c r="O11" s="20"/>
      <c r="P11" s="16" t="n">
        <v>34</v>
      </c>
      <c r="Q11" s="16" t="n">
        <v>4</v>
      </c>
    </row>
    <row r="12" customFormat="false" ht="15" hidden="false" customHeight="false" outlineLevel="0" collapsed="false">
      <c r="A12" s="8" t="n">
        <v>2112</v>
      </c>
      <c r="B12" s="7" t="s">
        <v>137</v>
      </c>
      <c r="C12" s="7" t="s">
        <v>873</v>
      </c>
      <c r="D12" s="7" t="s">
        <v>591</v>
      </c>
      <c r="E12" s="7" t="s">
        <v>136</v>
      </c>
      <c r="F12" s="20" t="n">
        <v>45028</v>
      </c>
      <c r="G12" s="20" t="n">
        <v>45058</v>
      </c>
      <c r="H12" s="7" t="s">
        <v>263</v>
      </c>
      <c r="I12" s="7" t="s">
        <v>264</v>
      </c>
      <c r="J12" s="7" t="s">
        <v>872</v>
      </c>
      <c r="K12" s="8" t="n">
        <v>2112</v>
      </c>
      <c r="L12" s="8" t="n">
        <v>0</v>
      </c>
      <c r="M12" s="7" t="s">
        <v>2684</v>
      </c>
      <c r="N12" s="20" t="n">
        <v>45062</v>
      </c>
      <c r="O12" s="20"/>
      <c r="P12" s="16" t="n">
        <v>34</v>
      </c>
      <c r="Q12" s="16" t="n">
        <v>4</v>
      </c>
    </row>
    <row r="13" customFormat="false" ht="15" hidden="false" customHeight="false" outlineLevel="0" collapsed="false">
      <c r="A13" s="8" t="n">
        <v>6240</v>
      </c>
      <c r="B13" s="7" t="s">
        <v>137</v>
      </c>
      <c r="C13" s="7" t="s">
        <v>879</v>
      </c>
      <c r="D13" s="7" t="s">
        <v>628</v>
      </c>
      <c r="E13" s="7" t="s">
        <v>141</v>
      </c>
      <c r="F13" s="20" t="n">
        <v>45030</v>
      </c>
      <c r="G13" s="20" t="n">
        <v>45075</v>
      </c>
      <c r="H13" s="7" t="s">
        <v>265</v>
      </c>
      <c r="I13" s="7" t="s">
        <v>266</v>
      </c>
      <c r="J13" s="7" t="s">
        <v>878</v>
      </c>
      <c r="K13" s="8" t="n">
        <v>6240</v>
      </c>
      <c r="L13" s="8" t="n">
        <v>0</v>
      </c>
      <c r="M13" s="7" t="s">
        <v>2684</v>
      </c>
      <c r="N13" s="20" t="n">
        <v>45075</v>
      </c>
      <c r="O13" s="20"/>
      <c r="P13" s="16" t="n">
        <v>45</v>
      </c>
      <c r="Q13" s="16" t="n">
        <v>0</v>
      </c>
    </row>
    <row r="14" customFormat="false" ht="15" hidden="false" customHeight="false" outlineLevel="0" collapsed="false">
      <c r="A14" s="8" t="n">
        <v>1244.25</v>
      </c>
      <c r="B14" s="7" t="s">
        <v>137</v>
      </c>
      <c r="C14" s="7" t="s">
        <v>883</v>
      </c>
      <c r="D14" s="7" t="s">
        <v>563</v>
      </c>
      <c r="E14" s="7" t="s">
        <v>141</v>
      </c>
      <c r="F14" s="20" t="n">
        <v>45035</v>
      </c>
      <c r="G14" s="20" t="n">
        <v>45065</v>
      </c>
      <c r="H14" s="7" t="s">
        <v>267</v>
      </c>
      <c r="I14" s="7" t="s">
        <v>268</v>
      </c>
      <c r="J14" s="7" t="s">
        <v>882</v>
      </c>
      <c r="K14" s="8" t="n">
        <v>1244.25</v>
      </c>
      <c r="L14" s="8" t="n">
        <v>0</v>
      </c>
      <c r="M14" s="7" t="s">
        <v>2684</v>
      </c>
      <c r="N14" s="20" t="n">
        <v>45065</v>
      </c>
      <c r="O14" s="20"/>
      <c r="P14" s="16" t="n">
        <v>30</v>
      </c>
      <c r="Q14" s="16" t="n">
        <v>0</v>
      </c>
    </row>
    <row r="15" customFormat="false" ht="15" hidden="false" customHeight="false" outlineLevel="0" collapsed="false">
      <c r="A15" s="8" t="n">
        <v>3987.5</v>
      </c>
      <c r="B15" s="7" t="s">
        <v>137</v>
      </c>
      <c r="C15" s="7" t="s">
        <v>886</v>
      </c>
      <c r="D15" s="7" t="s">
        <v>563</v>
      </c>
      <c r="E15" s="7" t="s">
        <v>141</v>
      </c>
      <c r="F15" s="20" t="n">
        <v>45037</v>
      </c>
      <c r="G15" s="20" t="n">
        <v>45067</v>
      </c>
      <c r="H15" s="7" t="s">
        <v>263</v>
      </c>
      <c r="I15" s="7" t="s">
        <v>264</v>
      </c>
      <c r="J15" s="7" t="s">
        <v>885</v>
      </c>
      <c r="K15" s="8" t="n">
        <v>3987.5</v>
      </c>
      <c r="L15" s="8" t="n">
        <v>0</v>
      </c>
      <c r="M15" s="7" t="s">
        <v>2684</v>
      </c>
      <c r="N15" s="20" t="n">
        <v>45068</v>
      </c>
      <c r="O15" s="20"/>
      <c r="P15" s="16" t="n">
        <v>31</v>
      </c>
      <c r="Q15" s="16" t="n">
        <v>1</v>
      </c>
    </row>
    <row r="16" customFormat="false" ht="15" hidden="false" customHeight="false" outlineLevel="0" collapsed="false">
      <c r="A16" s="8" t="n">
        <v>796.32</v>
      </c>
      <c r="B16" s="7" t="s">
        <v>137</v>
      </c>
      <c r="C16" s="7" t="s">
        <v>890</v>
      </c>
      <c r="D16" s="7" t="s">
        <v>563</v>
      </c>
      <c r="E16" s="7" t="s">
        <v>141</v>
      </c>
      <c r="F16" s="20" t="n">
        <v>45040</v>
      </c>
      <c r="G16" s="20" t="n">
        <v>45070</v>
      </c>
      <c r="H16" s="7" t="s">
        <v>267</v>
      </c>
      <c r="I16" s="7" t="s">
        <v>268</v>
      </c>
      <c r="J16" s="7" t="s">
        <v>882</v>
      </c>
      <c r="K16" s="8" t="n">
        <v>796.32</v>
      </c>
      <c r="L16" s="8" t="n">
        <v>0</v>
      </c>
      <c r="M16" s="7" t="s">
        <v>2684</v>
      </c>
      <c r="N16" s="20" t="n">
        <v>45070</v>
      </c>
      <c r="O16" s="20"/>
      <c r="P16" s="16" t="n">
        <v>30</v>
      </c>
      <c r="Q16" s="16" t="n">
        <v>0</v>
      </c>
    </row>
    <row r="17" customFormat="false" ht="15" hidden="false" customHeight="false" outlineLevel="0" collapsed="false">
      <c r="A17" s="8" t="n">
        <v>4252.8</v>
      </c>
      <c r="B17" s="7" t="s">
        <v>137</v>
      </c>
      <c r="C17" s="7" t="s">
        <v>893</v>
      </c>
      <c r="D17" s="7" t="s">
        <v>591</v>
      </c>
      <c r="E17" s="7" t="s">
        <v>136</v>
      </c>
      <c r="F17" s="20" t="n">
        <v>45041</v>
      </c>
      <c r="G17" s="20" t="n">
        <v>45071</v>
      </c>
      <c r="H17" s="7" t="s">
        <v>254</v>
      </c>
      <c r="I17" s="7" t="s">
        <v>255</v>
      </c>
      <c r="J17" s="7" t="s">
        <v>892</v>
      </c>
      <c r="K17" s="8" t="n">
        <v>4252.8</v>
      </c>
      <c r="L17" s="8" t="n">
        <v>0</v>
      </c>
      <c r="M17" s="7" t="s">
        <v>2684</v>
      </c>
      <c r="N17" s="20" t="n">
        <v>45075</v>
      </c>
      <c r="O17" s="20"/>
      <c r="P17" s="16" t="n">
        <v>34</v>
      </c>
      <c r="Q17" s="16" t="n">
        <v>4</v>
      </c>
    </row>
    <row r="18" customFormat="false" ht="15" hidden="false" customHeight="false" outlineLevel="0" collapsed="false">
      <c r="A18" s="8" t="n">
        <v>2200</v>
      </c>
      <c r="B18" s="7" t="s">
        <v>137</v>
      </c>
      <c r="C18" s="7" t="s">
        <v>896</v>
      </c>
      <c r="D18" s="7" t="s">
        <v>563</v>
      </c>
      <c r="E18" s="7" t="s">
        <v>141</v>
      </c>
      <c r="F18" s="20" t="n">
        <v>45042</v>
      </c>
      <c r="G18" s="20" t="n">
        <v>45072</v>
      </c>
      <c r="H18" s="7" t="s">
        <v>263</v>
      </c>
      <c r="I18" s="7" t="s">
        <v>264</v>
      </c>
      <c r="J18" s="7" t="s">
        <v>885</v>
      </c>
      <c r="K18" s="8" t="n">
        <v>2200</v>
      </c>
      <c r="L18" s="8" t="n">
        <v>0</v>
      </c>
      <c r="M18" s="7" t="s">
        <v>2684</v>
      </c>
      <c r="N18" s="20" t="n">
        <v>45072</v>
      </c>
      <c r="O18" s="20"/>
      <c r="P18" s="16" t="n">
        <v>30</v>
      </c>
      <c r="Q18" s="16" t="n">
        <v>0</v>
      </c>
    </row>
    <row r="19" customFormat="false" ht="15" hidden="false" customHeight="false" outlineLevel="0" collapsed="false">
      <c r="A19" s="8" t="n">
        <v>2304</v>
      </c>
      <c r="B19" s="7" t="s">
        <v>137</v>
      </c>
      <c r="C19" s="7" t="s">
        <v>916</v>
      </c>
      <c r="D19" s="7" t="s">
        <v>589</v>
      </c>
      <c r="E19" s="7" t="s">
        <v>136</v>
      </c>
      <c r="F19" s="20" t="n">
        <v>45064</v>
      </c>
      <c r="G19" s="20" t="n">
        <v>45094</v>
      </c>
      <c r="H19" s="7" t="s">
        <v>222</v>
      </c>
      <c r="I19" s="7" t="s">
        <v>223</v>
      </c>
      <c r="J19" s="7" t="s">
        <v>915</v>
      </c>
      <c r="K19" s="8" t="n">
        <v>2304</v>
      </c>
      <c r="L19" s="8" t="n">
        <v>0</v>
      </c>
      <c r="M19" s="7" t="s">
        <v>2684</v>
      </c>
      <c r="N19" s="20" t="n">
        <v>45098</v>
      </c>
      <c r="O19" s="20"/>
      <c r="P19" s="16" t="n">
        <v>34</v>
      </c>
      <c r="Q19" s="16" t="n">
        <v>4</v>
      </c>
    </row>
    <row r="20" customFormat="false" ht="15" hidden="false" customHeight="false" outlineLevel="0" collapsed="false">
      <c r="A20" s="8" t="n">
        <v>7872</v>
      </c>
      <c r="B20" s="7" t="s">
        <v>137</v>
      </c>
      <c r="C20" s="7" t="s">
        <v>913</v>
      </c>
      <c r="D20" s="7" t="s">
        <v>591</v>
      </c>
      <c r="E20" s="7" t="s">
        <v>136</v>
      </c>
      <c r="F20" s="20" t="n">
        <v>45064</v>
      </c>
      <c r="G20" s="20" t="n">
        <v>45094</v>
      </c>
      <c r="H20" s="7" t="s">
        <v>265</v>
      </c>
      <c r="I20" s="7" t="s">
        <v>266</v>
      </c>
      <c r="J20" s="7" t="s">
        <v>912</v>
      </c>
      <c r="K20" s="8" t="n">
        <v>7872</v>
      </c>
      <c r="L20" s="8" t="n">
        <v>0</v>
      </c>
      <c r="M20" s="7" t="s">
        <v>2684</v>
      </c>
      <c r="N20" s="20" t="n">
        <v>45098</v>
      </c>
      <c r="O20" s="20"/>
      <c r="P20" s="16" t="n">
        <v>34</v>
      </c>
      <c r="Q20" s="16" t="n">
        <v>4</v>
      </c>
    </row>
    <row r="21" customFormat="false" ht="15" hidden="false" customHeight="false" outlineLevel="0" collapsed="false">
      <c r="A21" s="8" t="n">
        <v>1728</v>
      </c>
      <c r="B21" s="7" t="s">
        <v>137</v>
      </c>
      <c r="C21" s="7" t="s">
        <v>919</v>
      </c>
      <c r="D21" s="7" t="s">
        <v>591</v>
      </c>
      <c r="E21" s="7" t="s">
        <v>136</v>
      </c>
      <c r="F21" s="20" t="n">
        <v>45066</v>
      </c>
      <c r="G21" s="20" t="n">
        <v>45096</v>
      </c>
      <c r="H21" s="7" t="s">
        <v>263</v>
      </c>
      <c r="I21" s="7" t="s">
        <v>264</v>
      </c>
      <c r="J21" s="7" t="s">
        <v>918</v>
      </c>
      <c r="K21" s="8" t="n">
        <v>1728</v>
      </c>
      <c r="L21" s="8" t="n">
        <v>0</v>
      </c>
      <c r="M21" s="7" t="s">
        <v>2684</v>
      </c>
      <c r="N21" s="20" t="n">
        <v>45100</v>
      </c>
      <c r="O21" s="20"/>
      <c r="P21" s="16" t="n">
        <v>34</v>
      </c>
      <c r="Q21" s="16" t="n">
        <v>4</v>
      </c>
    </row>
    <row r="22" customFormat="false" ht="15" hidden="false" customHeight="false" outlineLevel="0" collapsed="false">
      <c r="A22" s="8" t="n">
        <v>3262.5</v>
      </c>
      <c r="B22" s="7" t="s">
        <v>137</v>
      </c>
      <c r="C22" s="7" t="s">
        <v>928</v>
      </c>
      <c r="D22" s="7" t="s">
        <v>563</v>
      </c>
      <c r="E22" s="7" t="s">
        <v>141</v>
      </c>
      <c r="F22" s="20" t="n">
        <v>45075</v>
      </c>
      <c r="G22" s="20" t="n">
        <v>45105</v>
      </c>
      <c r="H22" s="7" t="s">
        <v>263</v>
      </c>
      <c r="I22" s="7" t="s">
        <v>264</v>
      </c>
      <c r="J22" s="7" t="s">
        <v>927</v>
      </c>
      <c r="K22" s="8" t="n">
        <v>3262.5</v>
      </c>
      <c r="L22" s="8" t="n">
        <v>0</v>
      </c>
      <c r="M22" s="7" t="s">
        <v>2684</v>
      </c>
      <c r="N22" s="20" t="n">
        <v>45105</v>
      </c>
      <c r="O22" s="20"/>
      <c r="P22" s="16" t="n">
        <v>30</v>
      </c>
      <c r="Q22" s="16" t="n">
        <v>0</v>
      </c>
    </row>
    <row r="23" customFormat="false" ht="15" hidden="false" customHeight="false" outlineLevel="0" collapsed="false">
      <c r="A23" s="8" t="n">
        <v>1800</v>
      </c>
      <c r="B23" s="7" t="s">
        <v>137</v>
      </c>
      <c r="C23" s="7" t="s">
        <v>934</v>
      </c>
      <c r="D23" s="7" t="s">
        <v>563</v>
      </c>
      <c r="E23" s="7" t="s">
        <v>141</v>
      </c>
      <c r="F23" s="20" t="n">
        <v>45080</v>
      </c>
      <c r="G23" s="20" t="n">
        <v>45110</v>
      </c>
      <c r="H23" s="7" t="s">
        <v>263</v>
      </c>
      <c r="I23" s="7" t="s">
        <v>264</v>
      </c>
      <c r="J23" s="7" t="s">
        <v>927</v>
      </c>
      <c r="K23" s="8" t="n">
        <v>1800</v>
      </c>
      <c r="L23" s="8" t="n">
        <v>0</v>
      </c>
      <c r="M23" s="7" t="s">
        <v>2684</v>
      </c>
      <c r="N23" s="20" t="n">
        <v>45110</v>
      </c>
      <c r="O23" s="20"/>
      <c r="P23" s="16" t="n">
        <v>30</v>
      </c>
      <c r="Q23" s="16" t="n">
        <v>0</v>
      </c>
    </row>
    <row r="24" customFormat="false" ht="15" hidden="false" customHeight="false" outlineLevel="0" collapsed="false">
      <c r="A24" s="8" t="n">
        <v>5576</v>
      </c>
      <c r="B24" s="7" t="s">
        <v>137</v>
      </c>
      <c r="C24" s="7" t="s">
        <v>937</v>
      </c>
      <c r="D24" s="7" t="s">
        <v>538</v>
      </c>
      <c r="E24" s="7" t="s">
        <v>149</v>
      </c>
      <c r="F24" s="20" t="n">
        <v>45083</v>
      </c>
      <c r="G24" s="20" t="n">
        <v>45113</v>
      </c>
      <c r="H24" s="7" t="s">
        <v>260</v>
      </c>
      <c r="I24" s="7" t="s">
        <v>261</v>
      </c>
      <c r="J24" s="7" t="s">
        <v>936</v>
      </c>
      <c r="K24" s="8" t="n">
        <v>5576</v>
      </c>
      <c r="L24" s="8" t="n">
        <v>0</v>
      </c>
      <c r="M24" s="7" t="s">
        <v>2684</v>
      </c>
      <c r="N24" s="20" t="n">
        <v>45113</v>
      </c>
      <c r="O24" s="20"/>
      <c r="P24" s="16" t="n">
        <v>30</v>
      </c>
      <c r="Q24" s="16" t="n">
        <v>0</v>
      </c>
    </row>
    <row r="25" customFormat="false" ht="15" hidden="false" customHeight="false" outlineLevel="0" collapsed="false">
      <c r="A25" s="8" t="n">
        <v>4406.25</v>
      </c>
      <c r="B25" s="7" t="s">
        <v>137</v>
      </c>
      <c r="C25" s="7" t="s">
        <v>954</v>
      </c>
      <c r="D25" s="7" t="s">
        <v>547</v>
      </c>
      <c r="E25" s="7" t="s">
        <v>141</v>
      </c>
      <c r="F25" s="20" t="n">
        <v>45095</v>
      </c>
      <c r="G25" s="20" t="n">
        <v>45110</v>
      </c>
      <c r="H25" s="7" t="s">
        <v>275</v>
      </c>
      <c r="I25" s="7" t="s">
        <v>276</v>
      </c>
      <c r="J25" s="7" t="s">
        <v>953</v>
      </c>
      <c r="K25" s="8" t="n">
        <v>4406.25</v>
      </c>
      <c r="L25" s="8" t="n">
        <v>0</v>
      </c>
      <c r="M25" s="7" t="s">
        <v>2684</v>
      </c>
      <c r="N25" s="20" t="n">
        <v>45110</v>
      </c>
      <c r="O25" s="20"/>
      <c r="P25" s="16" t="n">
        <v>15</v>
      </c>
      <c r="Q25" s="16" t="n">
        <v>0</v>
      </c>
    </row>
    <row r="26" customFormat="false" ht="15" hidden="false" customHeight="false" outlineLevel="0" collapsed="false">
      <c r="A26" s="8" t="n">
        <v>864</v>
      </c>
      <c r="B26" s="7" t="s">
        <v>137</v>
      </c>
      <c r="C26" s="7" t="s">
        <v>965</v>
      </c>
      <c r="D26" s="7" t="s">
        <v>589</v>
      </c>
      <c r="E26" s="7" t="s">
        <v>136</v>
      </c>
      <c r="F26" s="20" t="n">
        <v>45101</v>
      </c>
      <c r="G26" s="20" t="n">
        <v>45131</v>
      </c>
      <c r="H26" s="7" t="s">
        <v>222</v>
      </c>
      <c r="I26" s="7" t="s">
        <v>223</v>
      </c>
      <c r="J26" s="7" t="s">
        <v>964</v>
      </c>
      <c r="K26" s="8" t="n">
        <v>864</v>
      </c>
      <c r="L26" s="8" t="n">
        <v>0</v>
      </c>
      <c r="M26" s="7" t="s">
        <v>2684</v>
      </c>
      <c r="N26" s="20" t="n">
        <v>45135</v>
      </c>
      <c r="O26" s="20"/>
      <c r="P26" s="16" t="n">
        <v>34</v>
      </c>
      <c r="Q26" s="16" t="n">
        <v>4</v>
      </c>
    </row>
    <row r="27" customFormat="false" ht="15" hidden="false" customHeight="false" outlineLevel="0" collapsed="false">
      <c r="A27" s="8" t="n">
        <v>1344</v>
      </c>
      <c r="B27" s="7" t="s">
        <v>137</v>
      </c>
      <c r="C27" s="7" t="s">
        <v>962</v>
      </c>
      <c r="D27" s="7" t="s">
        <v>591</v>
      </c>
      <c r="E27" s="7" t="s">
        <v>136</v>
      </c>
      <c r="F27" s="20" t="n">
        <v>45101</v>
      </c>
      <c r="G27" s="20" t="n">
        <v>45131</v>
      </c>
      <c r="H27" s="7" t="s">
        <v>263</v>
      </c>
      <c r="I27" s="7" t="s">
        <v>264</v>
      </c>
      <c r="J27" s="7" t="s">
        <v>961</v>
      </c>
      <c r="K27" s="8" t="n">
        <v>1344</v>
      </c>
      <c r="L27" s="8" t="n">
        <v>0</v>
      </c>
      <c r="M27" s="7" t="s">
        <v>2684</v>
      </c>
      <c r="N27" s="20" t="n">
        <v>45135</v>
      </c>
      <c r="O27" s="20"/>
      <c r="P27" s="16" t="n">
        <v>34</v>
      </c>
      <c r="Q27" s="16" t="n">
        <v>4</v>
      </c>
    </row>
    <row r="28" customFormat="false" ht="15" hidden="false" customHeight="false" outlineLevel="0" collapsed="false">
      <c r="A28" s="8" t="n">
        <v>660.44</v>
      </c>
      <c r="B28" s="7" t="s">
        <v>137</v>
      </c>
      <c r="C28" s="7" t="s">
        <v>979</v>
      </c>
      <c r="D28" s="7" t="s">
        <v>563</v>
      </c>
      <c r="E28" s="7" t="s">
        <v>146</v>
      </c>
      <c r="F28" s="20" t="n">
        <v>45103</v>
      </c>
      <c r="G28" s="20" t="n">
        <v>45133</v>
      </c>
      <c r="H28" s="7" t="s">
        <v>267</v>
      </c>
      <c r="I28" s="7" t="s">
        <v>268</v>
      </c>
      <c r="J28" s="7" t="s">
        <v>978</v>
      </c>
      <c r="K28" s="8" t="n">
        <v>660.44</v>
      </c>
      <c r="L28" s="8" t="n">
        <v>0</v>
      </c>
      <c r="M28" s="7" t="s">
        <v>2684</v>
      </c>
      <c r="N28" s="20" t="n">
        <v>45133</v>
      </c>
      <c r="O28" s="20"/>
      <c r="P28" s="16" t="n">
        <v>30</v>
      </c>
      <c r="Q28" s="16" t="n">
        <v>0</v>
      </c>
    </row>
    <row r="29" customFormat="false" ht="15" hidden="false" customHeight="false" outlineLevel="0" collapsed="false">
      <c r="A29" s="8" t="n">
        <v>1280</v>
      </c>
      <c r="B29" s="7" t="s">
        <v>137</v>
      </c>
      <c r="C29" s="7" t="s">
        <v>1007</v>
      </c>
      <c r="D29" s="7" t="s">
        <v>538</v>
      </c>
      <c r="E29" s="7" t="s">
        <v>146</v>
      </c>
      <c r="F29" s="20" t="n">
        <v>45108</v>
      </c>
      <c r="G29" s="20" t="n">
        <v>45138</v>
      </c>
      <c r="H29" s="7" t="s">
        <v>260</v>
      </c>
      <c r="I29" s="7" t="s">
        <v>261</v>
      </c>
      <c r="J29" s="7" t="s">
        <v>1006</v>
      </c>
      <c r="K29" s="8" t="n">
        <v>1280</v>
      </c>
      <c r="L29" s="8" t="n">
        <v>0</v>
      </c>
      <c r="M29" s="7" t="s">
        <v>2684</v>
      </c>
      <c r="N29" s="20" t="n">
        <v>45138</v>
      </c>
      <c r="O29" s="20"/>
      <c r="P29" s="16" t="n">
        <v>30</v>
      </c>
      <c r="Q29" s="16" t="n">
        <v>0</v>
      </c>
    </row>
    <row r="30" customFormat="false" ht="15" hidden="false" customHeight="false" outlineLevel="0" collapsed="false">
      <c r="A30" s="8" t="n">
        <v>8745.3</v>
      </c>
      <c r="B30" s="7" t="s">
        <v>137</v>
      </c>
      <c r="C30" s="7" t="s">
        <v>1023</v>
      </c>
      <c r="D30" s="7" t="s">
        <v>563</v>
      </c>
      <c r="E30" s="7" t="s">
        <v>149</v>
      </c>
      <c r="F30" s="20" t="n">
        <v>45113</v>
      </c>
      <c r="G30" s="20" t="n">
        <v>45143</v>
      </c>
      <c r="H30" s="7" t="s">
        <v>267</v>
      </c>
      <c r="I30" s="7" t="s">
        <v>268</v>
      </c>
      <c r="J30" s="7" t="s">
        <v>1022</v>
      </c>
      <c r="K30" s="8" t="n">
        <v>8745.3</v>
      </c>
      <c r="L30" s="8" t="n">
        <v>0</v>
      </c>
      <c r="M30" s="7" t="s">
        <v>2684</v>
      </c>
      <c r="N30" s="20" t="n">
        <v>45145</v>
      </c>
      <c r="O30" s="20"/>
      <c r="P30" s="16" t="n">
        <v>32</v>
      </c>
      <c r="Q30" s="16" t="n">
        <v>2</v>
      </c>
    </row>
    <row r="31" customFormat="false" ht="15" hidden="false" customHeight="false" outlineLevel="0" collapsed="false">
      <c r="A31" s="8" t="n">
        <v>548.95</v>
      </c>
      <c r="B31" s="7" t="s">
        <v>137</v>
      </c>
      <c r="C31" s="7" t="s">
        <v>1026</v>
      </c>
      <c r="D31" s="7" t="s">
        <v>563</v>
      </c>
      <c r="E31" s="7" t="s">
        <v>149</v>
      </c>
      <c r="F31" s="20" t="n">
        <v>45113</v>
      </c>
      <c r="G31" s="20" t="n">
        <v>45143</v>
      </c>
      <c r="H31" s="7" t="s">
        <v>267</v>
      </c>
      <c r="I31" s="7" t="s">
        <v>268</v>
      </c>
      <c r="J31" s="7" t="s">
        <v>1025</v>
      </c>
      <c r="K31" s="8" t="n">
        <v>548.95</v>
      </c>
      <c r="L31" s="8" t="n">
        <v>0</v>
      </c>
      <c r="M31" s="7" t="s">
        <v>2684</v>
      </c>
      <c r="N31" s="20" t="n">
        <v>45145</v>
      </c>
      <c r="O31" s="20"/>
      <c r="P31" s="16" t="n">
        <v>32</v>
      </c>
      <c r="Q31" s="16" t="n">
        <v>2</v>
      </c>
    </row>
    <row r="32" customFormat="false" ht="15" hidden="false" customHeight="false" outlineLevel="0" collapsed="false">
      <c r="A32" s="8" t="n">
        <v>7931.25</v>
      </c>
      <c r="B32" s="7" t="s">
        <v>137</v>
      </c>
      <c r="C32" s="7" t="s">
        <v>1038</v>
      </c>
      <c r="D32" s="7" t="s">
        <v>547</v>
      </c>
      <c r="E32" s="7" t="s">
        <v>141</v>
      </c>
      <c r="F32" s="20" t="n">
        <v>45125</v>
      </c>
      <c r="G32" s="20" t="n">
        <v>45140</v>
      </c>
      <c r="H32" s="7" t="s">
        <v>275</v>
      </c>
      <c r="I32" s="7" t="s">
        <v>276</v>
      </c>
      <c r="J32" s="7" t="s">
        <v>1037</v>
      </c>
      <c r="K32" s="8" t="n">
        <v>7931.25</v>
      </c>
      <c r="L32" s="8" t="n">
        <v>0</v>
      </c>
      <c r="M32" s="7" t="s">
        <v>2684</v>
      </c>
      <c r="N32" s="20" t="n">
        <v>45140</v>
      </c>
      <c r="O32" s="20"/>
      <c r="P32" s="16" t="n">
        <v>15</v>
      </c>
      <c r="Q32" s="16" t="n">
        <v>0</v>
      </c>
    </row>
    <row r="33" customFormat="false" ht="15" hidden="false" customHeight="false" outlineLevel="0" collapsed="false">
      <c r="A33" s="8" t="n">
        <v>3500</v>
      </c>
      <c r="B33" s="7" t="s">
        <v>137</v>
      </c>
      <c r="C33" s="7" t="s">
        <v>1045</v>
      </c>
      <c r="D33" s="7" t="s">
        <v>563</v>
      </c>
      <c r="E33" s="7" t="s">
        <v>141</v>
      </c>
      <c r="F33" s="20" t="n">
        <v>45129</v>
      </c>
      <c r="G33" s="20" t="n">
        <v>45159</v>
      </c>
      <c r="H33" s="7" t="s">
        <v>263</v>
      </c>
      <c r="I33" s="7" t="s">
        <v>264</v>
      </c>
      <c r="J33" s="7" t="s">
        <v>1044</v>
      </c>
      <c r="K33" s="8" t="n">
        <v>3500</v>
      </c>
      <c r="L33" s="8" t="n">
        <v>0</v>
      </c>
      <c r="M33" s="7" t="s">
        <v>2684</v>
      </c>
      <c r="N33" s="20" t="n">
        <v>45159</v>
      </c>
      <c r="O33" s="20"/>
      <c r="P33" s="16" t="n">
        <v>30</v>
      </c>
      <c r="Q33" s="16" t="n">
        <v>0</v>
      </c>
    </row>
    <row r="34" customFormat="false" ht="15" hidden="false" customHeight="false" outlineLevel="0" collapsed="false">
      <c r="A34" s="8" t="n">
        <v>5287.5</v>
      </c>
      <c r="B34" s="7" t="s">
        <v>137</v>
      </c>
      <c r="C34" s="7" t="s">
        <v>1066</v>
      </c>
      <c r="D34" s="7" t="s">
        <v>547</v>
      </c>
      <c r="E34" s="7" t="s">
        <v>141</v>
      </c>
      <c r="F34" s="20" t="n">
        <v>45156</v>
      </c>
      <c r="G34" s="20" t="n">
        <v>45171</v>
      </c>
      <c r="H34" s="7" t="s">
        <v>275</v>
      </c>
      <c r="I34" s="7" t="s">
        <v>276</v>
      </c>
      <c r="J34" s="7" t="s">
        <v>1065</v>
      </c>
      <c r="K34" s="8" t="n">
        <v>5287.5</v>
      </c>
      <c r="L34" s="8" t="n">
        <v>0</v>
      </c>
      <c r="M34" s="7" t="s">
        <v>2684</v>
      </c>
      <c r="N34" s="20" t="n">
        <v>45173</v>
      </c>
      <c r="O34" s="20"/>
      <c r="P34" s="16" t="n">
        <v>17</v>
      </c>
      <c r="Q34" s="16" t="n">
        <v>2</v>
      </c>
    </row>
    <row r="35" customFormat="false" ht="15" hidden="false" customHeight="false" outlineLevel="0" collapsed="false">
      <c r="A35" s="8" t="n">
        <v>3740</v>
      </c>
      <c r="B35" s="7" t="s">
        <v>137</v>
      </c>
      <c r="C35" s="7" t="s">
        <v>1070</v>
      </c>
      <c r="D35" s="7" t="s">
        <v>538</v>
      </c>
      <c r="E35" s="7" t="s">
        <v>149</v>
      </c>
      <c r="F35" s="20" t="n">
        <v>45162</v>
      </c>
      <c r="G35" s="20" t="n">
        <v>45192</v>
      </c>
      <c r="H35" s="7" t="s">
        <v>260</v>
      </c>
      <c r="I35" s="7" t="s">
        <v>261</v>
      </c>
      <c r="J35" s="7" t="s">
        <v>1069</v>
      </c>
      <c r="K35" s="8" t="n">
        <v>3740</v>
      </c>
      <c r="L35" s="8" t="n">
        <v>0</v>
      </c>
      <c r="M35" s="7" t="s">
        <v>2684</v>
      </c>
      <c r="N35" s="20" t="n">
        <v>45197</v>
      </c>
      <c r="O35" s="20"/>
      <c r="P35" s="16" t="n">
        <v>35</v>
      </c>
      <c r="Q35" s="16" t="n">
        <v>5</v>
      </c>
    </row>
    <row r="36" customFormat="false" ht="15" hidden="false" customHeight="false" outlineLevel="0" collapsed="false">
      <c r="A36" s="8" t="n">
        <v>510</v>
      </c>
      <c r="B36" s="7" t="s">
        <v>137</v>
      </c>
      <c r="C36" s="7" t="s">
        <v>1073</v>
      </c>
      <c r="D36" s="7" t="s">
        <v>538</v>
      </c>
      <c r="E36" s="7" t="s">
        <v>141</v>
      </c>
      <c r="F36" s="20" t="n">
        <v>45162</v>
      </c>
      <c r="G36" s="20" t="n">
        <v>45192</v>
      </c>
      <c r="H36" s="7" t="s">
        <v>260</v>
      </c>
      <c r="I36" s="7" t="s">
        <v>261</v>
      </c>
      <c r="J36" s="7" t="s">
        <v>1072</v>
      </c>
      <c r="K36" s="8" t="n">
        <v>510</v>
      </c>
      <c r="L36" s="8" t="n">
        <v>0</v>
      </c>
      <c r="M36" s="7" t="s">
        <v>2684</v>
      </c>
      <c r="N36" s="20" t="n">
        <v>45197</v>
      </c>
      <c r="O36" s="20"/>
      <c r="P36" s="16" t="n">
        <v>35</v>
      </c>
      <c r="Q36" s="16" t="n">
        <v>5</v>
      </c>
    </row>
    <row r="37" customFormat="false" ht="15" hidden="false" customHeight="false" outlineLevel="0" collapsed="false">
      <c r="A37" s="8" t="n">
        <v>5244</v>
      </c>
      <c r="B37" s="7" t="s">
        <v>137</v>
      </c>
      <c r="C37" s="7" t="s">
        <v>1082</v>
      </c>
      <c r="D37" s="7" t="s">
        <v>538</v>
      </c>
      <c r="E37" s="7" t="s">
        <v>149</v>
      </c>
      <c r="F37" s="20" t="n">
        <v>45171</v>
      </c>
      <c r="G37" s="20" t="n">
        <v>45201</v>
      </c>
      <c r="H37" s="7" t="s">
        <v>260</v>
      </c>
      <c r="I37" s="7" t="s">
        <v>261</v>
      </c>
      <c r="J37" s="7" t="s">
        <v>539</v>
      </c>
      <c r="K37" s="8" t="n">
        <v>5244</v>
      </c>
      <c r="L37" s="8" t="n">
        <v>0</v>
      </c>
      <c r="M37" s="7" t="s">
        <v>2684</v>
      </c>
      <c r="N37" s="20" t="n">
        <v>45201</v>
      </c>
      <c r="O37" s="20"/>
      <c r="P37" s="16" t="n">
        <v>30</v>
      </c>
      <c r="Q37" s="16" t="n">
        <v>0</v>
      </c>
    </row>
    <row r="38" customFormat="false" ht="15" hidden="false" customHeight="false" outlineLevel="0" collapsed="false">
      <c r="A38" s="8" t="n">
        <v>973.28</v>
      </c>
      <c r="B38" s="7" t="s">
        <v>137</v>
      </c>
      <c r="C38" s="7" t="s">
        <v>1093</v>
      </c>
      <c r="D38" s="7" t="s">
        <v>563</v>
      </c>
      <c r="E38" s="7" t="s">
        <v>141</v>
      </c>
      <c r="F38" s="20" t="n">
        <v>45183</v>
      </c>
      <c r="G38" s="20" t="n">
        <v>45213</v>
      </c>
      <c r="H38" s="7" t="s">
        <v>267</v>
      </c>
      <c r="I38" s="7" t="s">
        <v>268</v>
      </c>
      <c r="J38" s="7" t="s">
        <v>564</v>
      </c>
      <c r="K38" s="8" t="n">
        <v>973.28</v>
      </c>
      <c r="L38" s="8" t="n">
        <v>0</v>
      </c>
      <c r="M38" s="7" t="s">
        <v>2684</v>
      </c>
      <c r="N38" s="20" t="n">
        <v>45215</v>
      </c>
      <c r="O38" s="20"/>
      <c r="P38" s="16" t="n">
        <v>32</v>
      </c>
      <c r="Q38" s="16" t="n">
        <v>2</v>
      </c>
    </row>
    <row r="39" customFormat="false" ht="15" hidden="false" customHeight="false" outlineLevel="0" collapsed="false">
      <c r="A39" s="8" t="n">
        <v>5031</v>
      </c>
      <c r="B39" s="7" t="s">
        <v>137</v>
      </c>
      <c r="C39" s="7" t="s">
        <v>1100</v>
      </c>
      <c r="D39" s="7" t="s">
        <v>538</v>
      </c>
      <c r="E39" s="7" t="s">
        <v>149</v>
      </c>
      <c r="F39" s="20" t="n">
        <v>45185</v>
      </c>
      <c r="G39" s="20" t="n">
        <v>45215</v>
      </c>
      <c r="H39" s="7" t="s">
        <v>260</v>
      </c>
      <c r="I39" s="7" t="s">
        <v>261</v>
      </c>
      <c r="J39" s="7" t="s">
        <v>553</v>
      </c>
      <c r="K39" s="8" t="n">
        <v>5031</v>
      </c>
      <c r="L39" s="8" t="n">
        <v>0</v>
      </c>
      <c r="M39" s="7" t="s">
        <v>2684</v>
      </c>
      <c r="N39" s="20" t="n">
        <v>45215</v>
      </c>
      <c r="O39" s="20"/>
      <c r="P39" s="16" t="n">
        <v>30</v>
      </c>
      <c r="Q39" s="16" t="n">
        <v>0</v>
      </c>
    </row>
    <row r="40" customFormat="false" ht="15" hidden="false" customHeight="false" outlineLevel="0" collapsed="false">
      <c r="A40" s="8" t="n">
        <v>1920</v>
      </c>
      <c r="B40" s="7" t="s">
        <v>137</v>
      </c>
      <c r="C40" s="7" t="s">
        <v>1105</v>
      </c>
      <c r="D40" s="7" t="s">
        <v>538</v>
      </c>
      <c r="E40" s="7" t="s">
        <v>141</v>
      </c>
      <c r="F40" s="20" t="n">
        <v>45188</v>
      </c>
      <c r="G40" s="20" t="n">
        <v>45218</v>
      </c>
      <c r="H40" s="7" t="s">
        <v>260</v>
      </c>
      <c r="I40" s="7" t="s">
        <v>261</v>
      </c>
      <c r="J40" s="7" t="s">
        <v>565</v>
      </c>
      <c r="K40" s="8" t="n">
        <v>1920</v>
      </c>
      <c r="L40" s="8" t="n">
        <v>0</v>
      </c>
      <c r="M40" s="7" t="s">
        <v>2684</v>
      </c>
      <c r="N40" s="20" t="n">
        <v>45218</v>
      </c>
      <c r="O40" s="20"/>
      <c r="P40" s="16" t="n">
        <v>30</v>
      </c>
      <c r="Q40" s="16" t="n">
        <v>0</v>
      </c>
    </row>
    <row r="41" customFormat="false" ht="15" hidden="false" customHeight="false" outlineLevel="0" collapsed="false">
      <c r="A41" s="8" t="n">
        <v>2296</v>
      </c>
      <c r="B41" s="7" t="s">
        <v>137</v>
      </c>
      <c r="C41" s="7" t="s">
        <v>1118</v>
      </c>
      <c r="D41" s="7" t="s">
        <v>563</v>
      </c>
      <c r="E41" s="7" t="s">
        <v>146</v>
      </c>
      <c r="F41" s="20" t="n">
        <v>45201</v>
      </c>
      <c r="G41" s="20" t="n">
        <v>45231</v>
      </c>
      <c r="H41" s="7" t="s">
        <v>265</v>
      </c>
      <c r="I41" s="7" t="s">
        <v>266</v>
      </c>
      <c r="J41" s="7" t="s">
        <v>580</v>
      </c>
      <c r="K41" s="8" t="n">
        <v>2296</v>
      </c>
      <c r="L41" s="8" t="n">
        <v>0</v>
      </c>
      <c r="M41" s="7" t="s">
        <v>2684</v>
      </c>
      <c r="N41" s="20" t="n">
        <v>45231</v>
      </c>
      <c r="O41" s="20"/>
      <c r="P41" s="16" t="n">
        <v>30</v>
      </c>
      <c r="Q41" s="16" t="n">
        <v>0</v>
      </c>
    </row>
    <row r="42" customFormat="false" ht="15" hidden="false" customHeight="false" outlineLevel="0" collapsed="false">
      <c r="A42" s="8" t="n">
        <v>1976</v>
      </c>
      <c r="B42" s="7" t="s">
        <v>137</v>
      </c>
      <c r="C42" s="7" t="s">
        <v>1120</v>
      </c>
      <c r="D42" s="7" t="s">
        <v>563</v>
      </c>
      <c r="E42" s="7" t="s">
        <v>146</v>
      </c>
      <c r="F42" s="20" t="n">
        <v>45201</v>
      </c>
      <c r="G42" s="20" t="n">
        <v>45231</v>
      </c>
      <c r="H42" s="7" t="s">
        <v>254</v>
      </c>
      <c r="I42" s="7" t="s">
        <v>255</v>
      </c>
      <c r="J42" s="7" t="s">
        <v>581</v>
      </c>
      <c r="K42" s="8" t="n">
        <v>1976</v>
      </c>
      <c r="L42" s="8" t="n">
        <v>0</v>
      </c>
      <c r="M42" s="7" t="s">
        <v>2684</v>
      </c>
      <c r="N42" s="20" t="n">
        <v>45231</v>
      </c>
      <c r="O42" s="20"/>
      <c r="P42" s="16" t="n">
        <v>30</v>
      </c>
      <c r="Q42" s="16" t="n">
        <v>0</v>
      </c>
    </row>
    <row r="43" customFormat="false" ht="15" hidden="false" customHeight="false" outlineLevel="0" collapsed="false">
      <c r="A43" s="8" t="n">
        <v>505.6</v>
      </c>
      <c r="B43" s="7" t="s">
        <v>137</v>
      </c>
      <c r="C43" s="7" t="s">
        <v>1122</v>
      </c>
      <c r="D43" s="7" t="s">
        <v>563</v>
      </c>
      <c r="E43" s="7" t="s">
        <v>146</v>
      </c>
      <c r="F43" s="20" t="n">
        <v>45201</v>
      </c>
      <c r="G43" s="20" t="n">
        <v>45231</v>
      </c>
      <c r="H43" s="7" t="s">
        <v>267</v>
      </c>
      <c r="I43" s="7" t="s">
        <v>268</v>
      </c>
      <c r="J43" s="7" t="s">
        <v>582</v>
      </c>
      <c r="K43" s="8" t="n">
        <v>505.6</v>
      </c>
      <c r="L43" s="8" t="n">
        <v>0</v>
      </c>
      <c r="M43" s="7" t="s">
        <v>2684</v>
      </c>
      <c r="N43" s="20" t="n">
        <v>45231</v>
      </c>
      <c r="O43" s="20"/>
      <c r="P43" s="16" t="n">
        <v>30</v>
      </c>
      <c r="Q43" s="16" t="n">
        <v>0</v>
      </c>
    </row>
    <row r="44" customFormat="false" ht="15" hidden="false" customHeight="false" outlineLevel="0" collapsed="false">
      <c r="A44" s="8" t="n">
        <v>266.4</v>
      </c>
      <c r="B44" s="7" t="s">
        <v>137</v>
      </c>
      <c r="C44" s="7" t="s">
        <v>1125</v>
      </c>
      <c r="D44" s="7" t="s">
        <v>563</v>
      </c>
      <c r="E44" s="7" t="s">
        <v>141</v>
      </c>
      <c r="F44" s="20" t="n">
        <v>45203</v>
      </c>
      <c r="G44" s="20" t="n">
        <v>45233</v>
      </c>
      <c r="H44" s="7" t="s">
        <v>260</v>
      </c>
      <c r="I44" s="7" t="s">
        <v>261</v>
      </c>
      <c r="J44" s="7" t="s">
        <v>1124</v>
      </c>
      <c r="K44" s="8" t="n">
        <v>266.4</v>
      </c>
      <c r="L44" s="8" t="n">
        <v>0</v>
      </c>
      <c r="M44" s="7" t="s">
        <v>2684</v>
      </c>
      <c r="N44" s="20" t="n">
        <v>45233</v>
      </c>
      <c r="O44" s="20"/>
      <c r="P44" s="16" t="n">
        <v>30</v>
      </c>
      <c r="Q44" s="16" t="n">
        <v>0</v>
      </c>
    </row>
    <row r="45" customFormat="false" ht="15" hidden="false" customHeight="false" outlineLevel="0" collapsed="false">
      <c r="A45" s="8" t="n">
        <v>1520.75</v>
      </c>
      <c r="B45" s="7" t="s">
        <v>137</v>
      </c>
      <c r="C45" s="7" t="s">
        <v>1138</v>
      </c>
      <c r="D45" s="7" t="s">
        <v>563</v>
      </c>
      <c r="E45" s="7" t="s">
        <v>141</v>
      </c>
      <c r="F45" s="20" t="n">
        <v>45208</v>
      </c>
      <c r="G45" s="20" t="n">
        <v>45238</v>
      </c>
      <c r="H45" s="7" t="s">
        <v>267</v>
      </c>
      <c r="I45" s="7" t="s">
        <v>268</v>
      </c>
      <c r="J45" s="7" t="s">
        <v>564</v>
      </c>
      <c r="K45" s="8" t="n">
        <v>1520.75</v>
      </c>
      <c r="L45" s="8" t="n">
        <v>0</v>
      </c>
      <c r="M45" s="7" t="s">
        <v>2684</v>
      </c>
      <c r="N45" s="20" t="n">
        <v>45238</v>
      </c>
      <c r="O45" s="20"/>
      <c r="P45" s="16" t="n">
        <v>30</v>
      </c>
      <c r="Q45" s="16" t="n">
        <v>0</v>
      </c>
    </row>
    <row r="46" customFormat="false" ht="15" hidden="false" customHeight="false" outlineLevel="0" collapsed="false">
      <c r="A46" s="8" t="n">
        <v>3000</v>
      </c>
      <c r="B46" s="7" t="s">
        <v>137</v>
      </c>
      <c r="C46" s="7" t="s">
        <v>1182</v>
      </c>
      <c r="D46" s="7" t="s">
        <v>538</v>
      </c>
      <c r="E46" s="7" t="s">
        <v>141</v>
      </c>
      <c r="F46" s="20" t="n">
        <v>45213</v>
      </c>
      <c r="G46" s="20" t="n">
        <v>45243</v>
      </c>
      <c r="H46" s="7" t="s">
        <v>260</v>
      </c>
      <c r="I46" s="7" t="s">
        <v>261</v>
      </c>
      <c r="J46" s="7" t="s">
        <v>565</v>
      </c>
      <c r="K46" s="8" t="n">
        <v>3000</v>
      </c>
      <c r="L46" s="8" t="n">
        <v>0</v>
      </c>
      <c r="M46" s="7" t="s">
        <v>2684</v>
      </c>
      <c r="N46" s="20" t="n">
        <v>45243</v>
      </c>
      <c r="O46" s="20"/>
      <c r="P46" s="16" t="n">
        <v>30</v>
      </c>
      <c r="Q46" s="16" t="n">
        <v>0</v>
      </c>
    </row>
    <row r="47" customFormat="false" ht="15" hidden="false" customHeight="false" outlineLevel="0" collapsed="false">
      <c r="A47" s="8" t="n">
        <v>6878.93</v>
      </c>
      <c r="B47" s="7" t="s">
        <v>137</v>
      </c>
      <c r="C47" s="7" t="s">
        <v>1203</v>
      </c>
      <c r="D47" s="7" t="s">
        <v>563</v>
      </c>
      <c r="E47" s="7" t="s">
        <v>149</v>
      </c>
      <c r="F47" s="20" t="n">
        <v>45224</v>
      </c>
      <c r="G47" s="20" t="n">
        <v>45254</v>
      </c>
      <c r="H47" s="7" t="s">
        <v>267</v>
      </c>
      <c r="I47" s="7" t="s">
        <v>268</v>
      </c>
      <c r="J47" s="7" t="s">
        <v>1202</v>
      </c>
      <c r="K47" s="8" t="n">
        <v>6878.93</v>
      </c>
      <c r="L47" s="8" t="n">
        <v>0</v>
      </c>
      <c r="M47" s="7" t="s">
        <v>2684</v>
      </c>
      <c r="N47" s="20" t="n">
        <v>45254</v>
      </c>
      <c r="O47" s="20"/>
      <c r="P47" s="16" t="n">
        <v>30</v>
      </c>
      <c r="Q47" s="16" t="n">
        <v>0</v>
      </c>
    </row>
    <row r="48" customFormat="false" ht="15" hidden="false" customHeight="false" outlineLevel="0" collapsed="false">
      <c r="A48" s="8" t="n">
        <v>846.42</v>
      </c>
      <c r="B48" s="7" t="s">
        <v>137</v>
      </c>
      <c r="C48" s="7" t="s">
        <v>1205</v>
      </c>
      <c r="D48" s="7" t="s">
        <v>563</v>
      </c>
      <c r="E48" s="7" t="s">
        <v>149</v>
      </c>
      <c r="F48" s="20" t="n">
        <v>45224</v>
      </c>
      <c r="G48" s="20" t="n">
        <v>45254</v>
      </c>
      <c r="H48" s="7" t="s">
        <v>267</v>
      </c>
      <c r="I48" s="7" t="s">
        <v>268</v>
      </c>
      <c r="J48" s="7" t="s">
        <v>597</v>
      </c>
      <c r="K48" s="8" t="n">
        <v>846.42</v>
      </c>
      <c r="L48" s="8" t="n">
        <v>0</v>
      </c>
      <c r="M48" s="7" t="s">
        <v>2684</v>
      </c>
      <c r="N48" s="20" t="n">
        <v>45254</v>
      </c>
      <c r="O48" s="20"/>
      <c r="P48" s="16" t="n">
        <v>30</v>
      </c>
      <c r="Q48" s="16" t="n">
        <v>0</v>
      </c>
    </row>
    <row r="49" customFormat="false" ht="15" hidden="false" customHeight="false" outlineLevel="0" collapsed="false">
      <c r="A49" s="8" t="n">
        <v>1164.38</v>
      </c>
      <c r="B49" s="7" t="s">
        <v>137</v>
      </c>
      <c r="C49" s="7" t="s">
        <v>1227</v>
      </c>
      <c r="D49" s="7" t="s">
        <v>563</v>
      </c>
      <c r="E49" s="7" t="s">
        <v>141</v>
      </c>
      <c r="F49" s="20" t="n">
        <v>45228</v>
      </c>
      <c r="G49" s="20" t="n">
        <v>45258</v>
      </c>
      <c r="H49" s="7" t="s">
        <v>260</v>
      </c>
      <c r="I49" s="7" t="s">
        <v>261</v>
      </c>
      <c r="J49" s="7" t="s">
        <v>1226</v>
      </c>
      <c r="K49" s="8" t="n">
        <v>1164.38</v>
      </c>
      <c r="L49" s="8" t="n">
        <v>0</v>
      </c>
      <c r="M49" s="7" t="s">
        <v>2684</v>
      </c>
      <c r="N49" s="20" t="n">
        <v>45258</v>
      </c>
      <c r="O49" s="20"/>
      <c r="P49" s="16" t="n">
        <v>30</v>
      </c>
      <c r="Q49" s="16" t="n">
        <v>0</v>
      </c>
    </row>
    <row r="50" customFormat="false" ht="15" hidden="false" customHeight="false" outlineLevel="0" collapsed="false">
      <c r="A50" s="8" t="n">
        <v>6079.05</v>
      </c>
      <c r="B50" s="7" t="s">
        <v>137</v>
      </c>
      <c r="C50" s="7" t="s">
        <v>1239</v>
      </c>
      <c r="D50" s="7" t="s">
        <v>563</v>
      </c>
      <c r="E50" s="7" t="s">
        <v>149</v>
      </c>
      <c r="F50" s="20" t="n">
        <v>45239</v>
      </c>
      <c r="G50" s="20" t="n">
        <v>45269</v>
      </c>
      <c r="H50" s="7" t="s">
        <v>267</v>
      </c>
      <c r="I50" s="7" t="s">
        <v>268</v>
      </c>
      <c r="J50" s="7" t="s">
        <v>1238</v>
      </c>
      <c r="K50" s="8" t="n">
        <v>6079.05</v>
      </c>
      <c r="L50" s="8" t="n">
        <v>0</v>
      </c>
      <c r="M50" s="7" t="s">
        <v>2684</v>
      </c>
      <c r="N50" s="20" t="n">
        <v>45271</v>
      </c>
      <c r="O50" s="20"/>
      <c r="P50" s="16" t="n">
        <v>32</v>
      </c>
      <c r="Q50" s="16" t="n">
        <v>2</v>
      </c>
    </row>
    <row r="51" customFormat="false" ht="15" hidden="false" customHeight="false" outlineLevel="0" collapsed="false">
      <c r="A51" s="8" t="n">
        <v>2683.04</v>
      </c>
      <c r="B51" s="7" t="s">
        <v>137</v>
      </c>
      <c r="C51" s="7" t="s">
        <v>1241</v>
      </c>
      <c r="D51" s="7" t="s">
        <v>563</v>
      </c>
      <c r="E51" s="7" t="s">
        <v>149</v>
      </c>
      <c r="F51" s="20" t="n">
        <v>45239</v>
      </c>
      <c r="G51" s="20" t="n">
        <v>45269</v>
      </c>
      <c r="H51" s="7" t="s">
        <v>267</v>
      </c>
      <c r="I51" s="7" t="s">
        <v>268</v>
      </c>
      <c r="J51" s="7" t="s">
        <v>618</v>
      </c>
      <c r="K51" s="8" t="n">
        <v>2683.04</v>
      </c>
      <c r="L51" s="8" t="n">
        <v>0</v>
      </c>
      <c r="M51" s="7" t="s">
        <v>2684</v>
      </c>
      <c r="N51" s="20" t="n">
        <v>45271</v>
      </c>
      <c r="O51" s="20"/>
      <c r="P51" s="16" t="n">
        <v>32</v>
      </c>
      <c r="Q51" s="16" t="n">
        <v>2</v>
      </c>
    </row>
    <row r="52" customFormat="false" ht="15" hidden="false" customHeight="false" outlineLevel="0" collapsed="false">
      <c r="A52" s="8" t="n">
        <v>6720</v>
      </c>
      <c r="B52" s="7" t="s">
        <v>137</v>
      </c>
      <c r="C52" s="7" t="s">
        <v>1260</v>
      </c>
      <c r="D52" s="7" t="s">
        <v>1259</v>
      </c>
      <c r="E52" s="7" t="s">
        <v>136</v>
      </c>
      <c r="F52" s="20" t="n">
        <v>45244</v>
      </c>
      <c r="G52" s="20" t="n">
        <v>45304</v>
      </c>
      <c r="H52" s="7" t="s">
        <v>289</v>
      </c>
      <c r="I52" s="7" t="s">
        <v>290</v>
      </c>
      <c r="J52" s="7" t="s">
        <v>1258</v>
      </c>
      <c r="K52" s="8" t="n">
        <v>6720</v>
      </c>
      <c r="L52" s="8" t="n">
        <v>0</v>
      </c>
      <c r="M52" s="7" t="s">
        <v>2684</v>
      </c>
      <c r="N52" s="20" t="n">
        <v>45314</v>
      </c>
      <c r="O52" s="20"/>
      <c r="P52" s="16" t="n">
        <v>70</v>
      </c>
      <c r="Q52" s="16" t="n">
        <v>10</v>
      </c>
    </row>
    <row r="53" customFormat="false" ht="15" hidden="false" customHeight="false" outlineLevel="0" collapsed="false">
      <c r="A53" s="8" t="n">
        <v>1991.24</v>
      </c>
      <c r="B53" s="7" t="s">
        <v>137</v>
      </c>
      <c r="C53" s="7" t="s">
        <v>1256</v>
      </c>
      <c r="D53" s="7" t="s">
        <v>538</v>
      </c>
      <c r="E53" s="7" t="s">
        <v>153</v>
      </c>
      <c r="F53" s="20" t="n">
        <v>45244</v>
      </c>
      <c r="G53" s="20" t="n">
        <v>45274</v>
      </c>
      <c r="H53" s="7" t="s">
        <v>260</v>
      </c>
      <c r="I53" s="7" t="s">
        <v>261</v>
      </c>
      <c r="J53" s="7" t="s">
        <v>623</v>
      </c>
      <c r="K53" s="8" t="n">
        <v>1991.24</v>
      </c>
      <c r="L53" s="8" t="n">
        <v>0</v>
      </c>
      <c r="M53" s="7" t="s">
        <v>2684</v>
      </c>
      <c r="N53" s="20" t="n">
        <v>45274</v>
      </c>
      <c r="O53" s="20"/>
      <c r="P53" s="16" t="n">
        <v>30</v>
      </c>
      <c r="Q53" s="16" t="n">
        <v>0</v>
      </c>
    </row>
    <row r="54" customFormat="false" ht="15" hidden="false" customHeight="false" outlineLevel="0" collapsed="false">
      <c r="A54" s="8" t="n">
        <v>3576.96</v>
      </c>
      <c r="B54" s="7" t="s">
        <v>137</v>
      </c>
      <c r="C54" s="7" t="s">
        <v>1280</v>
      </c>
      <c r="D54" s="7" t="s">
        <v>1278</v>
      </c>
      <c r="E54" s="7" t="s">
        <v>136</v>
      </c>
      <c r="F54" s="20" t="n">
        <v>45278</v>
      </c>
      <c r="G54" s="20" t="n">
        <v>45323</v>
      </c>
      <c r="H54" s="7" t="s">
        <v>289</v>
      </c>
      <c r="I54" s="7" t="s">
        <v>296</v>
      </c>
      <c r="J54" s="7" t="s">
        <v>1277</v>
      </c>
      <c r="K54" s="8" t="n">
        <v>3576.96</v>
      </c>
      <c r="L54" s="8" t="n">
        <v>0</v>
      </c>
      <c r="M54" s="7" t="s">
        <v>2684</v>
      </c>
      <c r="N54" s="20" t="n">
        <v>45323</v>
      </c>
      <c r="O54" s="20"/>
      <c r="P54" s="16" t="n">
        <v>45</v>
      </c>
      <c r="Q54" s="16" t="n">
        <v>0</v>
      </c>
    </row>
    <row r="55" customFormat="false" ht="15" hidden="false" customHeight="false" outlineLevel="0" collapsed="false">
      <c r="A55" s="8" t="n">
        <v>1384.32</v>
      </c>
      <c r="B55" s="7" t="s">
        <v>137</v>
      </c>
      <c r="C55" s="7" t="s">
        <v>1319</v>
      </c>
      <c r="D55" s="7" t="s">
        <v>589</v>
      </c>
      <c r="E55" s="7" t="s">
        <v>136</v>
      </c>
      <c r="F55" s="20" t="n">
        <v>45311</v>
      </c>
      <c r="G55" s="20" t="n">
        <v>45341</v>
      </c>
      <c r="H55" s="7" t="s">
        <v>222</v>
      </c>
      <c r="I55" s="7" t="s">
        <v>223</v>
      </c>
      <c r="J55" s="7" t="s">
        <v>800</v>
      </c>
      <c r="K55" s="8" t="n">
        <v>1384.32</v>
      </c>
      <c r="L55" s="8" t="n">
        <v>0</v>
      </c>
      <c r="M55" s="7" t="s">
        <v>2684</v>
      </c>
      <c r="N55" s="20" t="n">
        <v>45345</v>
      </c>
      <c r="O55" s="20"/>
      <c r="P55" s="16" t="n">
        <v>34</v>
      </c>
      <c r="Q55" s="16" t="n">
        <v>4</v>
      </c>
    </row>
    <row r="56" customFormat="false" ht="15" hidden="false" customHeight="false" outlineLevel="0" collapsed="false">
      <c r="A56" s="8" t="n">
        <v>3200</v>
      </c>
      <c r="B56" s="7" t="s">
        <v>137</v>
      </c>
      <c r="C56" s="7" t="s">
        <v>1338</v>
      </c>
      <c r="D56" s="7" t="s">
        <v>563</v>
      </c>
      <c r="E56" s="7" t="s">
        <v>146</v>
      </c>
      <c r="F56" s="20" t="n">
        <v>45353</v>
      </c>
      <c r="G56" s="20" t="n">
        <v>45383</v>
      </c>
      <c r="H56" s="7" t="s">
        <v>254</v>
      </c>
      <c r="I56" s="7" t="s">
        <v>255</v>
      </c>
      <c r="J56" s="7" t="s">
        <v>825</v>
      </c>
      <c r="K56" s="8" t="n">
        <v>3200</v>
      </c>
      <c r="L56" s="8" t="n">
        <v>0</v>
      </c>
      <c r="M56" s="7" t="s">
        <v>2684</v>
      </c>
      <c r="N56" s="20" t="n">
        <v>45383</v>
      </c>
      <c r="O56" s="20"/>
      <c r="P56" s="16" t="n">
        <v>30</v>
      </c>
      <c r="Q56" s="16" t="n">
        <v>0</v>
      </c>
    </row>
    <row r="57" customFormat="false" ht="15" hidden="false" customHeight="false" outlineLevel="0" collapsed="false">
      <c r="A57" s="8" t="n">
        <v>2373.12</v>
      </c>
      <c r="B57" s="7" t="s">
        <v>137</v>
      </c>
      <c r="C57" s="7" t="s">
        <v>1340</v>
      </c>
      <c r="D57" s="7" t="s">
        <v>589</v>
      </c>
      <c r="E57" s="7" t="s">
        <v>136</v>
      </c>
      <c r="F57" s="20" t="n">
        <v>45357</v>
      </c>
      <c r="G57" s="20" t="n">
        <v>45387</v>
      </c>
      <c r="H57" s="7" t="s">
        <v>222</v>
      </c>
      <c r="I57" s="7" t="s">
        <v>223</v>
      </c>
      <c r="J57" s="7" t="s">
        <v>828</v>
      </c>
      <c r="K57" s="8" t="n">
        <v>2373.12</v>
      </c>
      <c r="L57" s="8" t="n">
        <v>0</v>
      </c>
      <c r="M57" s="7" t="s">
        <v>2684</v>
      </c>
      <c r="N57" s="20" t="n">
        <v>45391</v>
      </c>
      <c r="O57" s="20"/>
      <c r="P57" s="16" t="n">
        <v>34</v>
      </c>
      <c r="Q57" s="16" t="n">
        <v>4</v>
      </c>
    </row>
    <row r="58" customFormat="false" ht="15" hidden="false" customHeight="false" outlineLevel="0" collapsed="false">
      <c r="A58" s="8" t="n">
        <v>1755.35</v>
      </c>
      <c r="B58" s="7" t="s">
        <v>137</v>
      </c>
      <c r="C58" s="7" t="s">
        <v>1351</v>
      </c>
      <c r="D58" s="7" t="s">
        <v>538</v>
      </c>
      <c r="E58" s="7" t="s">
        <v>153</v>
      </c>
      <c r="F58" s="20" t="n">
        <v>45365</v>
      </c>
      <c r="G58" s="20" t="n">
        <v>45395</v>
      </c>
      <c r="H58" s="7" t="s">
        <v>260</v>
      </c>
      <c r="I58" s="7" t="s">
        <v>261</v>
      </c>
      <c r="J58" s="7" t="s">
        <v>623</v>
      </c>
      <c r="K58" s="8" t="n">
        <v>1755.35</v>
      </c>
      <c r="L58" s="8" t="n">
        <v>0</v>
      </c>
      <c r="M58" s="7" t="s">
        <v>2684</v>
      </c>
      <c r="N58" s="20" t="n">
        <v>45397</v>
      </c>
      <c r="O58" s="20"/>
      <c r="P58" s="16" t="n">
        <v>32</v>
      </c>
      <c r="Q58" s="16" t="n">
        <v>2</v>
      </c>
    </row>
    <row r="59" customFormat="false" ht="15" hidden="false" customHeight="false" outlineLevel="0" collapsed="false">
      <c r="A59" s="8" t="n">
        <v>1148</v>
      </c>
      <c r="B59" s="7" t="s">
        <v>137</v>
      </c>
      <c r="C59" s="7" t="s">
        <v>1358</v>
      </c>
      <c r="D59" s="7" t="s">
        <v>563</v>
      </c>
      <c r="E59" s="7" t="s">
        <v>146</v>
      </c>
      <c r="F59" s="20" t="n">
        <v>45379</v>
      </c>
      <c r="G59" s="20" t="n">
        <v>45409</v>
      </c>
      <c r="H59" s="7" t="s">
        <v>263</v>
      </c>
      <c r="I59" s="7" t="s">
        <v>264</v>
      </c>
      <c r="J59" s="7" t="s">
        <v>847</v>
      </c>
      <c r="K59" s="8" t="n">
        <v>1148</v>
      </c>
      <c r="L59" s="8" t="n">
        <v>0</v>
      </c>
      <c r="M59" s="7" t="s">
        <v>2684</v>
      </c>
      <c r="N59" s="20" t="n">
        <v>45411</v>
      </c>
      <c r="O59" s="20"/>
      <c r="P59" s="16" t="n">
        <v>32</v>
      </c>
      <c r="Q59" s="16" t="n">
        <v>2</v>
      </c>
    </row>
    <row r="60" customFormat="false" ht="15" hidden="false" customHeight="false" outlineLevel="0" collapsed="false">
      <c r="A60" s="8" t="n">
        <v>889.92</v>
      </c>
      <c r="B60" s="7" t="s">
        <v>137</v>
      </c>
      <c r="C60" s="7" t="s">
        <v>1371</v>
      </c>
      <c r="D60" s="7" t="s">
        <v>589</v>
      </c>
      <c r="E60" s="7" t="s">
        <v>136</v>
      </c>
      <c r="F60" s="20" t="n">
        <v>45394</v>
      </c>
      <c r="G60" s="20" t="n">
        <v>45424</v>
      </c>
      <c r="H60" s="7" t="s">
        <v>222</v>
      </c>
      <c r="I60" s="7" t="s">
        <v>223</v>
      </c>
      <c r="J60" s="7" t="s">
        <v>875</v>
      </c>
      <c r="K60" s="8" t="n">
        <v>889.92</v>
      </c>
      <c r="L60" s="8" t="n">
        <v>0</v>
      </c>
      <c r="M60" s="7" t="s">
        <v>2684</v>
      </c>
      <c r="N60" s="20" t="n">
        <v>45428</v>
      </c>
      <c r="O60" s="20"/>
      <c r="P60" s="16" t="n">
        <v>34</v>
      </c>
      <c r="Q60" s="16" t="n">
        <v>4</v>
      </c>
    </row>
    <row r="61" customFormat="false" ht="15" hidden="false" customHeight="false" outlineLevel="0" collapsed="false">
      <c r="A61" s="8" t="n">
        <v>2175.36</v>
      </c>
      <c r="B61" s="7" t="s">
        <v>137</v>
      </c>
      <c r="C61" s="7" t="s">
        <v>1369</v>
      </c>
      <c r="D61" s="7" t="s">
        <v>591</v>
      </c>
      <c r="E61" s="7" t="s">
        <v>136</v>
      </c>
      <c r="F61" s="20" t="n">
        <v>45394</v>
      </c>
      <c r="G61" s="20" t="n">
        <v>45424</v>
      </c>
      <c r="H61" s="7" t="s">
        <v>263</v>
      </c>
      <c r="I61" s="7" t="s">
        <v>264</v>
      </c>
      <c r="J61" s="7" t="s">
        <v>872</v>
      </c>
      <c r="K61" s="8" t="n">
        <v>2175.36</v>
      </c>
      <c r="L61" s="8" t="n">
        <v>0</v>
      </c>
      <c r="M61" s="7" t="s">
        <v>2684</v>
      </c>
      <c r="N61" s="20" t="n">
        <v>45428</v>
      </c>
      <c r="O61" s="20"/>
      <c r="P61" s="16" t="n">
        <v>34</v>
      </c>
      <c r="Q61" s="16" t="n">
        <v>4</v>
      </c>
    </row>
    <row r="62" customFormat="false" ht="15" hidden="false" customHeight="false" outlineLevel="0" collapsed="false">
      <c r="A62" s="8" t="n">
        <v>3562.5</v>
      </c>
      <c r="B62" s="7" t="s">
        <v>137</v>
      </c>
      <c r="C62" s="7" t="s">
        <v>1375</v>
      </c>
      <c r="D62" s="7" t="s">
        <v>563</v>
      </c>
      <c r="E62" s="7" t="s">
        <v>144</v>
      </c>
      <c r="F62" s="20" t="n">
        <v>45406</v>
      </c>
      <c r="G62" s="20" t="n">
        <v>45436</v>
      </c>
      <c r="H62" s="7" t="s">
        <v>254</v>
      </c>
      <c r="I62" s="7" t="s">
        <v>255</v>
      </c>
      <c r="J62" s="7" t="s">
        <v>850</v>
      </c>
      <c r="K62" s="8" t="n">
        <v>3562.5</v>
      </c>
      <c r="L62" s="8" t="n">
        <v>0</v>
      </c>
      <c r="M62" s="7" t="s">
        <v>2684</v>
      </c>
      <c r="N62" s="20" t="n">
        <v>45436</v>
      </c>
      <c r="O62" s="20"/>
      <c r="P62" s="16" t="n">
        <v>30</v>
      </c>
      <c r="Q62" s="16" t="n">
        <v>0</v>
      </c>
    </row>
    <row r="63" customFormat="false" ht="15" hidden="false" customHeight="false" outlineLevel="0" collapsed="false">
      <c r="A63" s="8" t="n">
        <v>3470.4</v>
      </c>
      <c r="B63" s="7" t="s">
        <v>137</v>
      </c>
      <c r="C63" s="7" t="s">
        <v>1377</v>
      </c>
      <c r="D63" s="7" t="s">
        <v>591</v>
      </c>
      <c r="E63" s="7" t="s">
        <v>136</v>
      </c>
      <c r="F63" s="20" t="n">
        <v>45407</v>
      </c>
      <c r="G63" s="20" t="n">
        <v>45437</v>
      </c>
      <c r="H63" s="7" t="s">
        <v>254</v>
      </c>
      <c r="I63" s="7" t="s">
        <v>255</v>
      </c>
      <c r="J63" s="7" t="s">
        <v>892</v>
      </c>
      <c r="K63" s="8" t="n">
        <v>3470.4</v>
      </c>
      <c r="L63" s="8" t="n">
        <v>0</v>
      </c>
      <c r="M63" s="7" t="s">
        <v>2684</v>
      </c>
      <c r="N63" s="20" t="n">
        <v>45441</v>
      </c>
      <c r="O63" s="20"/>
      <c r="P63" s="16" t="n">
        <v>34</v>
      </c>
      <c r="Q63" s="16" t="n">
        <v>4</v>
      </c>
    </row>
    <row r="64" customFormat="false" ht="15" hidden="false" customHeight="false" outlineLevel="0" collapsed="false">
      <c r="A64" s="8" t="n">
        <v>4756</v>
      </c>
      <c r="B64" s="7" t="s">
        <v>137</v>
      </c>
      <c r="C64" s="7" t="s">
        <v>1394</v>
      </c>
      <c r="D64" s="7" t="s">
        <v>628</v>
      </c>
      <c r="E64" s="7" t="s">
        <v>144</v>
      </c>
      <c r="F64" s="20" t="n">
        <v>45422</v>
      </c>
      <c r="G64" s="20" t="n">
        <v>45467</v>
      </c>
      <c r="H64" s="7" t="s">
        <v>265</v>
      </c>
      <c r="I64" s="7" t="s">
        <v>266</v>
      </c>
      <c r="J64" s="7" t="s">
        <v>1393</v>
      </c>
      <c r="K64" s="8" t="n">
        <v>4756</v>
      </c>
      <c r="L64" s="8" t="n">
        <v>0</v>
      </c>
      <c r="M64" s="7" t="s">
        <v>2684</v>
      </c>
      <c r="N64" s="20" t="n">
        <v>45467</v>
      </c>
      <c r="O64" s="20"/>
      <c r="P64" s="16" t="n">
        <v>45</v>
      </c>
      <c r="Q64" s="16" t="n">
        <v>0</v>
      </c>
    </row>
    <row r="65" customFormat="false" ht="15" hidden="false" customHeight="false" outlineLevel="0" collapsed="false">
      <c r="A65" s="8" t="n">
        <v>838.69</v>
      </c>
      <c r="B65" s="7" t="s">
        <v>137</v>
      </c>
      <c r="C65" s="7" t="s">
        <v>1398</v>
      </c>
      <c r="D65" s="7" t="s">
        <v>563</v>
      </c>
      <c r="E65" s="7" t="s">
        <v>144</v>
      </c>
      <c r="F65" s="20" t="n">
        <v>45426</v>
      </c>
      <c r="G65" s="20" t="n">
        <v>45456</v>
      </c>
      <c r="H65" s="7" t="s">
        <v>267</v>
      </c>
      <c r="I65" s="7" t="s">
        <v>268</v>
      </c>
      <c r="J65" s="7" t="s">
        <v>1397</v>
      </c>
      <c r="K65" s="8" t="n">
        <v>838.69</v>
      </c>
      <c r="L65" s="8" t="n">
        <v>0</v>
      </c>
      <c r="M65" s="7" t="s">
        <v>2684</v>
      </c>
      <c r="N65" s="20" t="n">
        <v>45456</v>
      </c>
      <c r="O65" s="20"/>
      <c r="P65" s="16" t="n">
        <v>30</v>
      </c>
      <c r="Q65" s="16" t="n">
        <v>0</v>
      </c>
    </row>
    <row r="66" customFormat="false" ht="15" hidden="false" customHeight="false" outlineLevel="0" collapsed="false">
      <c r="A66" s="8" t="n">
        <v>3382.5</v>
      </c>
      <c r="B66" s="7" t="s">
        <v>137</v>
      </c>
      <c r="C66" s="7" t="s">
        <v>1400</v>
      </c>
      <c r="D66" s="7" t="s">
        <v>563</v>
      </c>
      <c r="E66" s="7" t="s">
        <v>144</v>
      </c>
      <c r="F66" s="20" t="n">
        <v>45428</v>
      </c>
      <c r="G66" s="20" t="n">
        <v>45458</v>
      </c>
      <c r="H66" s="7" t="s">
        <v>263</v>
      </c>
      <c r="I66" s="7" t="s">
        <v>264</v>
      </c>
      <c r="J66" s="7" t="s">
        <v>885</v>
      </c>
      <c r="K66" s="8" t="n">
        <v>3382.5</v>
      </c>
      <c r="L66" s="8" t="n">
        <v>0</v>
      </c>
      <c r="M66" s="7" t="s">
        <v>2684</v>
      </c>
      <c r="N66" s="20" t="n">
        <v>45460</v>
      </c>
      <c r="O66" s="20"/>
      <c r="P66" s="16" t="n">
        <v>32</v>
      </c>
      <c r="Q66" s="16" t="n">
        <v>2</v>
      </c>
    </row>
    <row r="67" customFormat="false" ht="15" hidden="false" customHeight="false" outlineLevel="0" collapsed="false">
      <c r="A67" s="8" t="n">
        <v>2373.12</v>
      </c>
      <c r="B67" s="7" t="s">
        <v>137</v>
      </c>
      <c r="C67" s="7" t="s">
        <v>1407</v>
      </c>
      <c r="D67" s="7" t="s">
        <v>589</v>
      </c>
      <c r="E67" s="7" t="s">
        <v>136</v>
      </c>
      <c r="F67" s="20" t="n">
        <v>45430</v>
      </c>
      <c r="G67" s="20" t="n">
        <v>45460</v>
      </c>
      <c r="H67" s="7" t="s">
        <v>222</v>
      </c>
      <c r="I67" s="7" t="s">
        <v>223</v>
      </c>
      <c r="J67" s="7" t="s">
        <v>915</v>
      </c>
      <c r="K67" s="8" t="n">
        <v>2373.12</v>
      </c>
      <c r="L67" s="8" t="n">
        <v>0</v>
      </c>
      <c r="M67" s="7" t="s">
        <v>2684</v>
      </c>
      <c r="N67" s="20" t="n">
        <v>45464</v>
      </c>
      <c r="O67" s="20"/>
      <c r="P67" s="16" t="n">
        <v>34</v>
      </c>
      <c r="Q67" s="16" t="n">
        <v>4</v>
      </c>
    </row>
    <row r="68" customFormat="false" ht="15" hidden="false" customHeight="false" outlineLevel="0" collapsed="false">
      <c r="A68" s="8" t="n">
        <v>8108.16</v>
      </c>
      <c r="B68" s="7" t="s">
        <v>137</v>
      </c>
      <c r="C68" s="7" t="s">
        <v>1405</v>
      </c>
      <c r="D68" s="7" t="s">
        <v>591</v>
      </c>
      <c r="E68" s="7" t="s">
        <v>136</v>
      </c>
      <c r="F68" s="20" t="n">
        <v>45430</v>
      </c>
      <c r="G68" s="20" t="n">
        <v>45460</v>
      </c>
      <c r="H68" s="7" t="s">
        <v>265</v>
      </c>
      <c r="I68" s="7" t="s">
        <v>266</v>
      </c>
      <c r="J68" s="7" t="s">
        <v>912</v>
      </c>
      <c r="K68" s="8" t="n">
        <v>8108.16</v>
      </c>
      <c r="L68" s="8" t="n">
        <v>0</v>
      </c>
      <c r="M68" s="7" t="s">
        <v>2684</v>
      </c>
      <c r="N68" s="20" t="n">
        <v>45464</v>
      </c>
      <c r="O68" s="20"/>
      <c r="P68" s="16" t="n">
        <v>34</v>
      </c>
      <c r="Q68" s="16" t="n">
        <v>4</v>
      </c>
    </row>
    <row r="69" customFormat="false" ht="15" hidden="false" customHeight="false" outlineLevel="0" collapsed="false">
      <c r="A69" s="8" t="n">
        <v>536.76</v>
      </c>
      <c r="B69" s="7" t="s">
        <v>137</v>
      </c>
      <c r="C69" s="7" t="s">
        <v>1409</v>
      </c>
      <c r="D69" s="7" t="s">
        <v>563</v>
      </c>
      <c r="E69" s="7" t="s">
        <v>144</v>
      </c>
      <c r="F69" s="20" t="n">
        <v>45432</v>
      </c>
      <c r="G69" s="20" t="n">
        <v>45462</v>
      </c>
      <c r="H69" s="7" t="s">
        <v>267</v>
      </c>
      <c r="I69" s="7" t="s">
        <v>268</v>
      </c>
      <c r="J69" s="7" t="s">
        <v>1397</v>
      </c>
      <c r="K69" s="8" t="n">
        <v>536.76</v>
      </c>
      <c r="L69" s="8" t="n">
        <v>0</v>
      </c>
      <c r="M69" s="7" t="s">
        <v>2684</v>
      </c>
      <c r="N69" s="20" t="n">
        <v>45462</v>
      </c>
      <c r="O69" s="20"/>
      <c r="P69" s="16" t="n">
        <v>30</v>
      </c>
      <c r="Q69" s="16" t="n">
        <v>0</v>
      </c>
    </row>
    <row r="70" customFormat="false" ht="15" hidden="false" customHeight="false" outlineLevel="0" collapsed="false">
      <c r="A70" s="8" t="n">
        <v>1779.84</v>
      </c>
      <c r="B70" s="7" t="s">
        <v>137</v>
      </c>
      <c r="C70" s="7" t="s">
        <v>1411</v>
      </c>
      <c r="D70" s="7" t="s">
        <v>591</v>
      </c>
      <c r="E70" s="7" t="s">
        <v>136</v>
      </c>
      <c r="F70" s="20" t="n">
        <v>45432</v>
      </c>
      <c r="G70" s="20" t="n">
        <v>45462</v>
      </c>
      <c r="H70" s="7" t="s">
        <v>263</v>
      </c>
      <c r="I70" s="7" t="s">
        <v>264</v>
      </c>
      <c r="J70" s="7" t="s">
        <v>918</v>
      </c>
      <c r="K70" s="8" t="n">
        <v>1779.84</v>
      </c>
      <c r="L70" s="8" t="n">
        <v>0</v>
      </c>
      <c r="M70" s="7" t="s">
        <v>2684</v>
      </c>
      <c r="N70" s="20" t="n">
        <v>45467</v>
      </c>
      <c r="O70" s="20"/>
      <c r="P70" s="16" t="n">
        <v>35</v>
      </c>
      <c r="Q70" s="16" t="n">
        <v>5</v>
      </c>
    </row>
    <row r="71" customFormat="false" ht="15" hidden="false" customHeight="false" outlineLevel="0" collapsed="false">
      <c r="A71" s="8" t="n">
        <v>2029.5</v>
      </c>
      <c r="B71" s="7" t="s">
        <v>137</v>
      </c>
      <c r="C71" s="7" t="s">
        <v>1413</v>
      </c>
      <c r="D71" s="7" t="s">
        <v>563</v>
      </c>
      <c r="E71" s="7" t="s">
        <v>144</v>
      </c>
      <c r="F71" s="20" t="n">
        <v>45434</v>
      </c>
      <c r="G71" s="20" t="n">
        <v>45464</v>
      </c>
      <c r="H71" s="7" t="s">
        <v>263</v>
      </c>
      <c r="I71" s="7" t="s">
        <v>264</v>
      </c>
      <c r="J71" s="7" t="s">
        <v>885</v>
      </c>
      <c r="K71" s="8" t="n">
        <v>2029.5</v>
      </c>
      <c r="L71" s="8" t="n">
        <v>0</v>
      </c>
      <c r="M71" s="7" t="s">
        <v>2684</v>
      </c>
      <c r="N71" s="20" t="n">
        <v>45464</v>
      </c>
      <c r="O71" s="20"/>
      <c r="P71" s="16" t="n">
        <v>30</v>
      </c>
      <c r="Q71" s="16" t="n">
        <v>0</v>
      </c>
    </row>
    <row r="72" customFormat="false" ht="15" hidden="false" customHeight="false" outlineLevel="0" collapsed="false">
      <c r="A72" s="8" t="n">
        <v>6054.4</v>
      </c>
      <c r="B72" s="7" t="s">
        <v>137</v>
      </c>
      <c r="C72" s="7" t="s">
        <v>1417</v>
      </c>
      <c r="D72" s="7" t="s">
        <v>538</v>
      </c>
      <c r="E72" s="7" t="s">
        <v>149</v>
      </c>
      <c r="F72" s="20" t="n">
        <v>45442</v>
      </c>
      <c r="G72" s="20" t="n">
        <v>45472</v>
      </c>
      <c r="H72" s="7" t="s">
        <v>260</v>
      </c>
      <c r="I72" s="7" t="s">
        <v>261</v>
      </c>
      <c r="J72" s="7" t="s">
        <v>1416</v>
      </c>
      <c r="K72" s="8" t="n">
        <v>6054.4</v>
      </c>
      <c r="L72" s="8" t="n">
        <v>0</v>
      </c>
      <c r="M72" s="7" t="s">
        <v>2684</v>
      </c>
      <c r="N72" s="20" t="n">
        <v>45477</v>
      </c>
      <c r="O72" s="20"/>
      <c r="P72" s="16" t="n">
        <v>35</v>
      </c>
      <c r="Q72" s="16" t="n">
        <v>5</v>
      </c>
    </row>
    <row r="73" customFormat="false" ht="15" hidden="false" customHeight="false" outlineLevel="0" collapsed="false">
      <c r="A73" s="8" t="n">
        <v>825.6</v>
      </c>
      <c r="B73" s="7" t="s">
        <v>137</v>
      </c>
      <c r="C73" s="7" t="s">
        <v>1420</v>
      </c>
      <c r="D73" s="7" t="s">
        <v>538</v>
      </c>
      <c r="E73" s="7" t="s">
        <v>141</v>
      </c>
      <c r="F73" s="20" t="n">
        <v>45442</v>
      </c>
      <c r="G73" s="20" t="n">
        <v>45472</v>
      </c>
      <c r="H73" s="7" t="s">
        <v>260</v>
      </c>
      <c r="I73" s="7" t="s">
        <v>261</v>
      </c>
      <c r="J73" s="7" t="s">
        <v>1419</v>
      </c>
      <c r="K73" s="8" t="n">
        <v>825.6</v>
      </c>
      <c r="L73" s="8" t="n">
        <v>0</v>
      </c>
      <c r="M73" s="7" t="s">
        <v>2684</v>
      </c>
      <c r="N73" s="20" t="n">
        <v>45477</v>
      </c>
      <c r="O73" s="20"/>
      <c r="P73" s="16" t="n">
        <v>35</v>
      </c>
      <c r="Q73" s="16" t="n">
        <v>5</v>
      </c>
    </row>
    <row r="74" customFormat="false" ht="15" hidden="false" customHeight="false" outlineLevel="0" collapsed="false">
      <c r="A74" s="8" t="n">
        <v>6753.76</v>
      </c>
      <c r="B74" s="7" t="s">
        <v>137</v>
      </c>
      <c r="C74" s="7" t="s">
        <v>1428</v>
      </c>
      <c r="D74" s="7" t="s">
        <v>538</v>
      </c>
      <c r="E74" s="7" t="s">
        <v>149</v>
      </c>
      <c r="F74" s="20" t="n">
        <v>45449</v>
      </c>
      <c r="G74" s="20" t="n">
        <v>45479</v>
      </c>
      <c r="H74" s="7" t="s">
        <v>260</v>
      </c>
      <c r="I74" s="7" t="s">
        <v>261</v>
      </c>
      <c r="J74" s="7" t="s">
        <v>936</v>
      </c>
      <c r="K74" s="8" t="n">
        <v>6753.76</v>
      </c>
      <c r="L74" s="8" t="n">
        <v>0</v>
      </c>
      <c r="M74" s="7" t="s">
        <v>2684</v>
      </c>
      <c r="N74" s="20" t="n">
        <v>45481</v>
      </c>
      <c r="O74" s="20"/>
      <c r="P74" s="16" t="n">
        <v>32</v>
      </c>
      <c r="Q74" s="16" t="n">
        <v>2</v>
      </c>
    </row>
    <row r="75" customFormat="false" ht="15" hidden="false" customHeight="false" outlineLevel="0" collapsed="false">
      <c r="A75" s="8" t="n">
        <v>2767.5</v>
      </c>
      <c r="B75" s="7" t="s">
        <v>137</v>
      </c>
      <c r="C75" s="7" t="s">
        <v>1443</v>
      </c>
      <c r="D75" s="7" t="s">
        <v>563</v>
      </c>
      <c r="E75" s="7" t="s">
        <v>144</v>
      </c>
      <c r="F75" s="20" t="n">
        <v>45466</v>
      </c>
      <c r="G75" s="20" t="n">
        <v>45496</v>
      </c>
      <c r="H75" s="7" t="s">
        <v>263</v>
      </c>
      <c r="I75" s="7" t="s">
        <v>264</v>
      </c>
      <c r="J75" s="7" t="s">
        <v>927</v>
      </c>
      <c r="K75" s="8" t="n">
        <v>2767.5</v>
      </c>
      <c r="L75" s="8" t="n">
        <v>0</v>
      </c>
      <c r="M75" s="7" t="s">
        <v>2684</v>
      </c>
      <c r="N75" s="20" t="n">
        <v>45496</v>
      </c>
      <c r="O75" s="20"/>
      <c r="P75" s="16" t="n">
        <v>30</v>
      </c>
      <c r="Q75" s="16" t="n">
        <v>0</v>
      </c>
    </row>
    <row r="76" customFormat="false" ht="15" hidden="false" customHeight="false" outlineLevel="0" collapsed="false">
      <c r="A76" s="8" t="n">
        <v>593.56</v>
      </c>
      <c r="B76" s="7" t="s">
        <v>137</v>
      </c>
      <c r="C76" s="7" t="s">
        <v>1450</v>
      </c>
      <c r="D76" s="7" t="s">
        <v>563</v>
      </c>
      <c r="E76" s="7" t="s">
        <v>146</v>
      </c>
      <c r="F76" s="20" t="n">
        <v>45467</v>
      </c>
      <c r="G76" s="20" t="n">
        <v>45497</v>
      </c>
      <c r="H76" s="7" t="s">
        <v>267</v>
      </c>
      <c r="I76" s="7" t="s">
        <v>268</v>
      </c>
      <c r="J76" s="7" t="s">
        <v>978</v>
      </c>
      <c r="K76" s="8" t="n">
        <v>593.56</v>
      </c>
      <c r="L76" s="8" t="n">
        <v>0</v>
      </c>
      <c r="M76" s="7" t="s">
        <v>2684</v>
      </c>
      <c r="N76" s="20" t="n">
        <v>45497</v>
      </c>
      <c r="O76" s="20"/>
      <c r="P76" s="16" t="n">
        <v>30</v>
      </c>
      <c r="Q76" s="16" t="n">
        <v>0</v>
      </c>
    </row>
    <row r="77" customFormat="false" ht="15" hidden="false" customHeight="false" outlineLevel="0" collapsed="false">
      <c r="A77" s="8" t="n">
        <v>889.92</v>
      </c>
      <c r="B77" s="7" t="s">
        <v>137</v>
      </c>
      <c r="C77" s="7" t="s">
        <v>1454</v>
      </c>
      <c r="D77" s="7" t="s">
        <v>589</v>
      </c>
      <c r="E77" s="7" t="s">
        <v>136</v>
      </c>
      <c r="F77" s="20" t="n">
        <v>45467</v>
      </c>
      <c r="G77" s="20" t="n">
        <v>45497</v>
      </c>
      <c r="H77" s="7" t="s">
        <v>222</v>
      </c>
      <c r="I77" s="7" t="s">
        <v>223</v>
      </c>
      <c r="J77" s="7" t="s">
        <v>964</v>
      </c>
      <c r="K77" s="8" t="n">
        <v>889.92</v>
      </c>
      <c r="L77" s="8" t="n">
        <v>0</v>
      </c>
      <c r="M77" s="7" t="s">
        <v>2684</v>
      </c>
      <c r="N77" s="20" t="n">
        <v>45502</v>
      </c>
      <c r="O77" s="20"/>
      <c r="P77" s="16" t="n">
        <v>35</v>
      </c>
      <c r="Q77" s="16" t="n">
        <v>5</v>
      </c>
    </row>
    <row r="78" customFormat="false" ht="15" hidden="false" customHeight="false" outlineLevel="0" collapsed="false">
      <c r="A78" s="8" t="n">
        <v>1384.32</v>
      </c>
      <c r="B78" s="7" t="s">
        <v>137</v>
      </c>
      <c r="C78" s="7" t="s">
        <v>1452</v>
      </c>
      <c r="D78" s="7" t="s">
        <v>591</v>
      </c>
      <c r="E78" s="7" t="s">
        <v>136</v>
      </c>
      <c r="F78" s="20" t="n">
        <v>45467</v>
      </c>
      <c r="G78" s="20" t="n">
        <v>45497</v>
      </c>
      <c r="H78" s="7" t="s">
        <v>263</v>
      </c>
      <c r="I78" s="7" t="s">
        <v>264</v>
      </c>
      <c r="J78" s="7" t="s">
        <v>961</v>
      </c>
      <c r="K78" s="8" t="n">
        <v>1384.32</v>
      </c>
      <c r="L78" s="8" t="n">
        <v>0</v>
      </c>
      <c r="M78" s="7" t="s">
        <v>2684</v>
      </c>
      <c r="N78" s="20" t="n">
        <v>45502</v>
      </c>
      <c r="O78" s="20"/>
      <c r="P78" s="16" t="n">
        <v>35</v>
      </c>
      <c r="Q78" s="16" t="n">
        <v>5</v>
      </c>
    </row>
    <row r="79" customFormat="false" ht="15" hidden="false" customHeight="false" outlineLevel="0" collapsed="false">
      <c r="A79" s="8" t="n">
        <v>1318.4</v>
      </c>
      <c r="B79" s="7" t="s">
        <v>137</v>
      </c>
      <c r="C79" s="7" t="s">
        <v>1481</v>
      </c>
      <c r="D79" s="7" t="s">
        <v>538</v>
      </c>
      <c r="E79" s="7" t="s">
        <v>146</v>
      </c>
      <c r="F79" s="20" t="n">
        <v>45472</v>
      </c>
      <c r="G79" s="20" t="n">
        <v>45502</v>
      </c>
      <c r="H79" s="7" t="s">
        <v>260</v>
      </c>
      <c r="I79" s="7" t="s">
        <v>261</v>
      </c>
      <c r="J79" s="7" t="s">
        <v>1006</v>
      </c>
      <c r="K79" s="8" t="n">
        <v>1318.4</v>
      </c>
      <c r="L79" s="8" t="n">
        <v>0</v>
      </c>
      <c r="M79" s="7" t="s">
        <v>2684</v>
      </c>
      <c r="N79" s="20" t="n">
        <v>45502</v>
      </c>
      <c r="O79" s="20"/>
      <c r="P79" s="16" t="n">
        <v>30</v>
      </c>
      <c r="Q79" s="16" t="n">
        <v>0</v>
      </c>
    </row>
    <row r="80" customFormat="false" ht="15" hidden="false" customHeight="false" outlineLevel="0" collapsed="false">
      <c r="A80" s="8" t="n">
        <v>1660.5</v>
      </c>
      <c r="B80" s="7" t="s">
        <v>137</v>
      </c>
      <c r="C80" s="7" t="s">
        <v>1479</v>
      </c>
      <c r="D80" s="7" t="s">
        <v>563</v>
      </c>
      <c r="E80" s="7" t="s">
        <v>144</v>
      </c>
      <c r="F80" s="20" t="n">
        <v>45472</v>
      </c>
      <c r="G80" s="20" t="n">
        <v>45502</v>
      </c>
      <c r="H80" s="7" t="s">
        <v>263</v>
      </c>
      <c r="I80" s="7" t="s">
        <v>264</v>
      </c>
      <c r="J80" s="7" t="s">
        <v>927</v>
      </c>
      <c r="K80" s="8" t="n">
        <v>1660.5</v>
      </c>
      <c r="L80" s="8" t="n">
        <v>0</v>
      </c>
      <c r="M80" s="7" t="s">
        <v>2684</v>
      </c>
      <c r="N80" s="20" t="n">
        <v>45502</v>
      </c>
      <c r="O80" s="20"/>
      <c r="P80" s="16" t="n">
        <v>30</v>
      </c>
      <c r="Q80" s="16" t="n">
        <v>0</v>
      </c>
    </row>
    <row r="81" customFormat="false" ht="15" hidden="false" customHeight="false" outlineLevel="0" collapsed="false">
      <c r="A81" s="8" t="n">
        <v>9153.67</v>
      </c>
      <c r="B81" s="7" t="s">
        <v>137</v>
      </c>
      <c r="C81" s="7" t="s">
        <v>1497</v>
      </c>
      <c r="D81" s="7" t="s">
        <v>563</v>
      </c>
      <c r="E81" s="7" t="s">
        <v>149</v>
      </c>
      <c r="F81" s="20" t="n">
        <v>45479</v>
      </c>
      <c r="G81" s="20" t="n">
        <v>45509</v>
      </c>
      <c r="H81" s="7" t="s">
        <v>267</v>
      </c>
      <c r="I81" s="7" t="s">
        <v>268</v>
      </c>
      <c r="J81" s="7" t="s">
        <v>1496</v>
      </c>
      <c r="K81" s="8" t="n">
        <v>9153.67</v>
      </c>
      <c r="L81" s="8" t="n">
        <v>0</v>
      </c>
      <c r="M81" s="7" t="s">
        <v>2684</v>
      </c>
      <c r="N81" s="20" t="n">
        <v>45509</v>
      </c>
      <c r="O81" s="20"/>
      <c r="P81" s="16" t="n">
        <v>30</v>
      </c>
      <c r="Q81" s="16" t="n">
        <v>0</v>
      </c>
    </row>
    <row r="82" customFormat="false" ht="15" hidden="false" customHeight="false" outlineLevel="0" collapsed="false">
      <c r="A82" s="8" t="n">
        <v>574.58</v>
      </c>
      <c r="B82" s="7" t="s">
        <v>137</v>
      </c>
      <c r="C82" s="7" t="s">
        <v>1499</v>
      </c>
      <c r="D82" s="7" t="s">
        <v>563</v>
      </c>
      <c r="E82" s="7" t="s">
        <v>149</v>
      </c>
      <c r="F82" s="20" t="n">
        <v>45479</v>
      </c>
      <c r="G82" s="20" t="n">
        <v>45509</v>
      </c>
      <c r="H82" s="7" t="s">
        <v>267</v>
      </c>
      <c r="I82" s="7" t="s">
        <v>268</v>
      </c>
      <c r="J82" s="7" t="s">
        <v>1025</v>
      </c>
      <c r="K82" s="8" t="n">
        <v>574.58</v>
      </c>
      <c r="L82" s="8" t="n">
        <v>0</v>
      </c>
      <c r="M82" s="7" t="s">
        <v>2684</v>
      </c>
      <c r="N82" s="20" t="n">
        <v>45509</v>
      </c>
      <c r="O82" s="20"/>
      <c r="P82" s="16" t="n">
        <v>30</v>
      </c>
      <c r="Q82" s="16" t="n">
        <v>0</v>
      </c>
    </row>
    <row r="83" customFormat="false" ht="15" hidden="false" customHeight="false" outlineLevel="0" collapsed="false">
      <c r="A83" s="8" t="n">
        <v>3995</v>
      </c>
      <c r="B83" s="7" t="s">
        <v>137</v>
      </c>
      <c r="C83" s="7" t="s">
        <v>1521</v>
      </c>
      <c r="D83" s="7" t="s">
        <v>547</v>
      </c>
      <c r="E83" s="7" t="s">
        <v>144</v>
      </c>
      <c r="F83" s="20" t="n">
        <v>45491</v>
      </c>
      <c r="G83" s="20" t="n">
        <v>45506</v>
      </c>
      <c r="H83" s="7" t="s">
        <v>275</v>
      </c>
      <c r="I83" s="7" t="s">
        <v>276</v>
      </c>
      <c r="J83" s="7" t="s">
        <v>1520</v>
      </c>
      <c r="K83" s="8" t="n">
        <v>3995</v>
      </c>
      <c r="L83" s="8" t="n">
        <v>0</v>
      </c>
      <c r="M83" s="7" t="s">
        <v>2684</v>
      </c>
      <c r="N83" s="20" t="n">
        <v>45506</v>
      </c>
      <c r="O83" s="20"/>
      <c r="P83" s="16" t="n">
        <v>15</v>
      </c>
      <c r="Q83" s="16" t="n">
        <v>0</v>
      </c>
    </row>
    <row r="84" customFormat="false" ht="15" hidden="false" customHeight="false" outlineLevel="0" collapsed="false">
      <c r="A84" s="8" t="n">
        <v>2818.75</v>
      </c>
      <c r="B84" s="7" t="s">
        <v>137</v>
      </c>
      <c r="C84" s="7" t="s">
        <v>1523</v>
      </c>
      <c r="D84" s="7" t="s">
        <v>563</v>
      </c>
      <c r="E84" s="7" t="s">
        <v>144</v>
      </c>
      <c r="F84" s="20" t="n">
        <v>45495</v>
      </c>
      <c r="G84" s="20" t="n">
        <v>45525</v>
      </c>
      <c r="H84" s="7" t="s">
        <v>263</v>
      </c>
      <c r="I84" s="7" t="s">
        <v>264</v>
      </c>
      <c r="J84" s="7" t="s">
        <v>1044</v>
      </c>
      <c r="K84" s="8" t="n">
        <v>2818.75</v>
      </c>
      <c r="L84" s="8" t="n">
        <v>0</v>
      </c>
      <c r="M84" s="7" t="s">
        <v>2684</v>
      </c>
      <c r="N84" s="20" t="n">
        <v>45525</v>
      </c>
      <c r="O84" s="20"/>
      <c r="P84" s="16" t="n">
        <v>30</v>
      </c>
      <c r="Q84" s="16" t="n">
        <v>0</v>
      </c>
    </row>
    <row r="85" customFormat="false" ht="15" hidden="false" customHeight="false" outlineLevel="0" collapsed="false">
      <c r="A85" s="8" t="n">
        <v>889.92</v>
      </c>
      <c r="B85" s="7" t="s">
        <v>137</v>
      </c>
      <c r="C85" s="7" t="s">
        <v>1529</v>
      </c>
      <c r="D85" s="7" t="s">
        <v>589</v>
      </c>
      <c r="E85" s="7" t="s">
        <v>136</v>
      </c>
      <c r="F85" s="20" t="n">
        <v>45495</v>
      </c>
      <c r="G85" s="20" t="n">
        <v>45525</v>
      </c>
      <c r="H85" s="7" t="s">
        <v>222</v>
      </c>
      <c r="I85" s="7" t="s">
        <v>223</v>
      </c>
      <c r="J85" s="7" t="s">
        <v>1528</v>
      </c>
      <c r="K85" s="8" t="n">
        <v>889.92</v>
      </c>
      <c r="L85" s="8" t="n">
        <v>0</v>
      </c>
      <c r="M85" s="7" t="s">
        <v>2684</v>
      </c>
      <c r="N85" s="20" t="n">
        <v>45530</v>
      </c>
      <c r="O85" s="20"/>
      <c r="P85" s="16" t="n">
        <v>35</v>
      </c>
      <c r="Q85" s="16" t="n">
        <v>5</v>
      </c>
    </row>
    <row r="86" customFormat="false" ht="15" hidden="false" customHeight="false" outlineLevel="0" collapsed="false">
      <c r="A86" s="8" t="n">
        <v>1384.32</v>
      </c>
      <c r="B86" s="7" t="s">
        <v>137</v>
      </c>
      <c r="C86" s="7" t="s">
        <v>1526</v>
      </c>
      <c r="D86" s="7" t="s">
        <v>591</v>
      </c>
      <c r="E86" s="7" t="s">
        <v>136</v>
      </c>
      <c r="F86" s="20" t="n">
        <v>45495</v>
      </c>
      <c r="G86" s="20" t="n">
        <v>45525</v>
      </c>
      <c r="H86" s="7" t="s">
        <v>263</v>
      </c>
      <c r="I86" s="7" t="s">
        <v>264</v>
      </c>
      <c r="J86" s="7" t="s">
        <v>1525</v>
      </c>
      <c r="K86" s="8" t="n">
        <v>1384.32</v>
      </c>
      <c r="L86" s="8" t="n">
        <v>0</v>
      </c>
      <c r="M86" s="7" t="s">
        <v>2684</v>
      </c>
      <c r="N86" s="20" t="n">
        <v>45530</v>
      </c>
      <c r="O86" s="20"/>
      <c r="P86" s="16" t="n">
        <v>35</v>
      </c>
      <c r="Q86" s="16" t="n">
        <v>5</v>
      </c>
    </row>
    <row r="87" customFormat="false" ht="15" hidden="false" customHeight="false" outlineLevel="0" collapsed="false">
      <c r="A87" s="8" t="n">
        <v>3995</v>
      </c>
      <c r="B87" s="7" t="s">
        <v>137</v>
      </c>
      <c r="C87" s="7" t="s">
        <v>1563</v>
      </c>
      <c r="D87" s="7" t="s">
        <v>547</v>
      </c>
      <c r="E87" s="7" t="s">
        <v>144</v>
      </c>
      <c r="F87" s="20" t="n">
        <v>45522</v>
      </c>
      <c r="G87" s="20" t="n">
        <v>45537</v>
      </c>
      <c r="H87" s="7" t="s">
        <v>275</v>
      </c>
      <c r="I87" s="7" t="s">
        <v>276</v>
      </c>
      <c r="J87" s="7" t="s">
        <v>1520</v>
      </c>
      <c r="K87" s="8" t="n">
        <v>3995</v>
      </c>
      <c r="L87" s="8" t="n">
        <v>0</v>
      </c>
      <c r="M87" s="7" t="s">
        <v>2684</v>
      </c>
      <c r="N87" s="20" t="n">
        <v>45537</v>
      </c>
      <c r="O87" s="20"/>
      <c r="P87" s="16" t="n">
        <v>15</v>
      </c>
      <c r="Q87" s="16" t="n">
        <v>0</v>
      </c>
    </row>
    <row r="88" customFormat="false" ht="15" hidden="false" customHeight="false" outlineLevel="0" collapsed="false">
      <c r="A88" s="8" t="n">
        <v>6027.84</v>
      </c>
      <c r="B88" s="7" t="s">
        <v>137</v>
      </c>
      <c r="C88" s="7" t="s">
        <v>1573</v>
      </c>
      <c r="D88" s="7" t="s">
        <v>538</v>
      </c>
      <c r="E88" s="7" t="s">
        <v>149</v>
      </c>
      <c r="F88" s="20" t="n">
        <v>45537</v>
      </c>
      <c r="G88" s="20" t="n">
        <v>45567</v>
      </c>
      <c r="H88" s="7" t="s">
        <v>260</v>
      </c>
      <c r="I88" s="7" t="s">
        <v>261</v>
      </c>
      <c r="J88" s="7" t="s">
        <v>539</v>
      </c>
      <c r="K88" s="8" t="n">
        <v>6027.84</v>
      </c>
      <c r="L88" s="8" t="n">
        <v>0</v>
      </c>
      <c r="M88" s="7" t="s">
        <v>2684</v>
      </c>
      <c r="N88" s="20" t="n">
        <v>45567</v>
      </c>
      <c r="O88" s="20"/>
      <c r="P88" s="16" t="n">
        <v>30</v>
      </c>
      <c r="Q88" s="16" t="n">
        <v>0</v>
      </c>
    </row>
    <row r="89" customFormat="false" ht="15" hidden="false" customHeight="false" outlineLevel="0" collapsed="false">
      <c r="A89" s="8" t="n">
        <v>5718.96</v>
      </c>
      <c r="B89" s="7" t="s">
        <v>137</v>
      </c>
      <c r="C89" s="7" t="s">
        <v>1595</v>
      </c>
      <c r="D89" s="7" t="s">
        <v>538</v>
      </c>
      <c r="E89" s="7" t="s">
        <v>149</v>
      </c>
      <c r="F89" s="20" t="n">
        <v>45551</v>
      </c>
      <c r="G89" s="20" t="n">
        <v>45581</v>
      </c>
      <c r="H89" s="7" t="s">
        <v>260</v>
      </c>
      <c r="I89" s="7" t="s">
        <v>261</v>
      </c>
      <c r="J89" s="7" t="s">
        <v>553</v>
      </c>
      <c r="K89" s="8" t="n">
        <v>5718.96</v>
      </c>
      <c r="L89" s="8" t="n">
        <v>0</v>
      </c>
      <c r="M89" s="7" t="s">
        <v>2684</v>
      </c>
      <c r="N89" s="20" t="n">
        <v>45581</v>
      </c>
      <c r="O89" s="20"/>
      <c r="P89" s="16" t="n">
        <v>30</v>
      </c>
      <c r="Q89" s="16" t="n">
        <v>0</v>
      </c>
    </row>
    <row r="90" customFormat="false" ht="15" hidden="false" customHeight="false" outlineLevel="0" collapsed="false">
      <c r="A90" s="8" t="n">
        <v>1025.06</v>
      </c>
      <c r="B90" s="7" t="s">
        <v>137</v>
      </c>
      <c r="C90" s="7" t="s">
        <v>1606</v>
      </c>
      <c r="D90" s="7" t="s">
        <v>563</v>
      </c>
      <c r="E90" s="7" t="s">
        <v>144</v>
      </c>
      <c r="F90" s="20" t="n">
        <v>45568</v>
      </c>
      <c r="G90" s="20" t="n">
        <v>45598</v>
      </c>
      <c r="H90" s="7" t="s">
        <v>267</v>
      </c>
      <c r="I90" s="7" t="s">
        <v>268</v>
      </c>
      <c r="J90" s="7" t="s">
        <v>577</v>
      </c>
      <c r="K90" s="8" t="n">
        <v>1025.06</v>
      </c>
      <c r="L90" s="8" t="n">
        <v>0</v>
      </c>
      <c r="M90" s="7" t="s">
        <v>2684</v>
      </c>
      <c r="N90" s="20" t="n">
        <v>45600</v>
      </c>
      <c r="O90" s="20"/>
      <c r="P90" s="16" t="n">
        <v>32</v>
      </c>
      <c r="Q90" s="16" t="n">
        <v>2</v>
      </c>
    </row>
    <row r="91" customFormat="false" ht="15" hidden="false" customHeight="false" outlineLevel="0" collapsed="false">
      <c r="A91" s="8" t="n">
        <v>1697.32</v>
      </c>
      <c r="B91" s="7" t="s">
        <v>137</v>
      </c>
      <c r="C91" s="7" t="s">
        <v>1612</v>
      </c>
      <c r="D91" s="7" t="s">
        <v>538</v>
      </c>
      <c r="E91" s="7" t="s">
        <v>149</v>
      </c>
      <c r="F91" s="20" t="n">
        <v>45571</v>
      </c>
      <c r="G91" s="20" t="n">
        <v>45601</v>
      </c>
      <c r="H91" s="7" t="s">
        <v>260</v>
      </c>
      <c r="I91" s="7" t="s">
        <v>261</v>
      </c>
      <c r="J91" s="7" t="s">
        <v>579</v>
      </c>
      <c r="K91" s="8" t="n">
        <v>1697.32</v>
      </c>
      <c r="L91" s="8" t="n">
        <v>0</v>
      </c>
      <c r="M91" s="7" t="s">
        <v>2684</v>
      </c>
      <c r="N91" s="20" t="n">
        <v>45601</v>
      </c>
      <c r="O91" s="20"/>
      <c r="P91" s="16" t="n">
        <v>30</v>
      </c>
      <c r="Q91" s="16" t="n">
        <v>0</v>
      </c>
    </row>
    <row r="92" customFormat="false" ht="15" hidden="false" customHeight="false" outlineLevel="0" collapsed="false">
      <c r="A92" s="8" t="n">
        <v>2317.5</v>
      </c>
      <c r="B92" s="7" t="s">
        <v>137</v>
      </c>
      <c r="C92" s="7" t="s">
        <v>1622</v>
      </c>
      <c r="D92" s="7" t="s">
        <v>538</v>
      </c>
      <c r="E92" s="7" t="s">
        <v>144</v>
      </c>
      <c r="F92" s="20" t="n">
        <v>45573</v>
      </c>
      <c r="G92" s="20" t="n">
        <v>45603</v>
      </c>
      <c r="H92" s="7" t="s">
        <v>260</v>
      </c>
      <c r="I92" s="7" t="s">
        <v>261</v>
      </c>
      <c r="J92" s="7" t="s">
        <v>578</v>
      </c>
      <c r="K92" s="8" t="n">
        <v>2317.5</v>
      </c>
      <c r="L92" s="8" t="n">
        <v>0</v>
      </c>
      <c r="M92" s="7" t="s">
        <v>2684</v>
      </c>
      <c r="N92" s="20" t="n">
        <v>45603</v>
      </c>
      <c r="O92" s="20"/>
      <c r="P92" s="16" t="n">
        <v>30</v>
      </c>
      <c r="Q92" s="16" t="n">
        <v>0</v>
      </c>
    </row>
    <row r="93" customFormat="false" ht="15" hidden="false" customHeight="false" outlineLevel="0" collapsed="false">
      <c r="A93" s="8" t="n">
        <v>656.04</v>
      </c>
      <c r="B93" s="7" t="s">
        <v>137</v>
      </c>
      <c r="C93" s="7" t="s">
        <v>1629</v>
      </c>
      <c r="D93" s="7" t="s">
        <v>563</v>
      </c>
      <c r="E93" s="7" t="s">
        <v>144</v>
      </c>
      <c r="F93" s="20" t="n">
        <v>45575</v>
      </c>
      <c r="G93" s="20" t="n">
        <v>45605</v>
      </c>
      <c r="H93" s="7" t="s">
        <v>267</v>
      </c>
      <c r="I93" s="7" t="s">
        <v>268</v>
      </c>
      <c r="J93" s="7" t="s">
        <v>577</v>
      </c>
      <c r="K93" s="8" t="n">
        <v>656.04</v>
      </c>
      <c r="L93" s="8" t="n">
        <v>0</v>
      </c>
      <c r="M93" s="7" t="s">
        <v>2684</v>
      </c>
      <c r="N93" s="20" t="n">
        <v>45607</v>
      </c>
      <c r="O93" s="20"/>
      <c r="P93" s="16" t="n">
        <v>32</v>
      </c>
      <c r="Q93" s="16" t="n">
        <v>2</v>
      </c>
    </row>
    <row r="94" customFormat="false" ht="15" hidden="false" customHeight="false" outlineLevel="0" collapsed="false">
      <c r="A94" s="8" t="n">
        <v>1483.2</v>
      </c>
      <c r="B94" s="7" t="s">
        <v>137</v>
      </c>
      <c r="C94" s="7" t="s">
        <v>1645</v>
      </c>
      <c r="D94" s="7" t="s">
        <v>538</v>
      </c>
      <c r="E94" s="7" t="s">
        <v>144</v>
      </c>
      <c r="F94" s="20" t="n">
        <v>45580</v>
      </c>
      <c r="G94" s="20" t="n">
        <v>45610</v>
      </c>
      <c r="H94" s="7" t="s">
        <v>260</v>
      </c>
      <c r="I94" s="7" t="s">
        <v>261</v>
      </c>
      <c r="J94" s="7" t="s">
        <v>578</v>
      </c>
      <c r="K94" s="8" t="n">
        <v>1483.2</v>
      </c>
      <c r="L94" s="8" t="n">
        <v>0</v>
      </c>
      <c r="M94" s="7" t="s">
        <v>2684</v>
      </c>
      <c r="N94" s="20" t="n">
        <v>45610</v>
      </c>
      <c r="O94" s="20"/>
      <c r="P94" s="16" t="n">
        <v>30</v>
      </c>
      <c r="Q94" s="16" t="n">
        <v>0</v>
      </c>
    </row>
    <row r="95" customFormat="false" ht="15" hidden="false" customHeight="false" outlineLevel="0" collapsed="false">
      <c r="A95" s="8" t="n">
        <v>2352</v>
      </c>
      <c r="B95" s="7" t="s">
        <v>137</v>
      </c>
      <c r="C95" s="7" t="s">
        <v>1665</v>
      </c>
      <c r="D95" s="7" t="s">
        <v>563</v>
      </c>
      <c r="E95" s="7" t="s">
        <v>146</v>
      </c>
      <c r="F95" s="20" t="n">
        <v>45583</v>
      </c>
      <c r="G95" s="20" t="n">
        <v>45613</v>
      </c>
      <c r="H95" s="7" t="s">
        <v>265</v>
      </c>
      <c r="I95" s="7" t="s">
        <v>266</v>
      </c>
      <c r="J95" s="7" t="s">
        <v>580</v>
      </c>
      <c r="K95" s="8" t="n">
        <v>2352</v>
      </c>
      <c r="L95" s="8" t="n">
        <v>0</v>
      </c>
      <c r="M95" s="7" t="s">
        <v>2684</v>
      </c>
      <c r="N95" s="20" t="n">
        <v>45614</v>
      </c>
      <c r="O95" s="20"/>
      <c r="P95" s="16" t="n">
        <v>31</v>
      </c>
      <c r="Q95" s="16" t="n">
        <v>1</v>
      </c>
    </row>
    <row r="96" customFormat="false" ht="15" hidden="false" customHeight="false" outlineLevel="0" collapsed="false">
      <c r="A96" s="8" t="n">
        <v>2080</v>
      </c>
      <c r="B96" s="7" t="s">
        <v>137</v>
      </c>
      <c r="C96" s="7" t="s">
        <v>1667</v>
      </c>
      <c r="D96" s="7" t="s">
        <v>563</v>
      </c>
      <c r="E96" s="7" t="s">
        <v>146</v>
      </c>
      <c r="F96" s="20" t="n">
        <v>45583</v>
      </c>
      <c r="G96" s="20" t="n">
        <v>45613</v>
      </c>
      <c r="H96" s="7" t="s">
        <v>254</v>
      </c>
      <c r="I96" s="7" t="s">
        <v>255</v>
      </c>
      <c r="J96" s="7" t="s">
        <v>581</v>
      </c>
      <c r="K96" s="8" t="n">
        <v>2080</v>
      </c>
      <c r="L96" s="8" t="n">
        <v>0</v>
      </c>
      <c r="M96" s="7" t="s">
        <v>2684</v>
      </c>
      <c r="N96" s="20" t="n">
        <v>45614</v>
      </c>
      <c r="O96" s="20"/>
      <c r="P96" s="16" t="n">
        <v>31</v>
      </c>
      <c r="Q96" s="16" t="n">
        <v>1</v>
      </c>
    </row>
    <row r="97" customFormat="false" ht="15" hidden="false" customHeight="false" outlineLevel="0" collapsed="false">
      <c r="A97" s="8" t="n">
        <v>454.4</v>
      </c>
      <c r="B97" s="7" t="s">
        <v>137</v>
      </c>
      <c r="C97" s="7" t="s">
        <v>1669</v>
      </c>
      <c r="D97" s="7" t="s">
        <v>563</v>
      </c>
      <c r="E97" s="7" t="s">
        <v>146</v>
      </c>
      <c r="F97" s="20" t="n">
        <v>45583</v>
      </c>
      <c r="G97" s="20" t="n">
        <v>45613</v>
      </c>
      <c r="H97" s="7" t="s">
        <v>267</v>
      </c>
      <c r="I97" s="7" t="s">
        <v>268</v>
      </c>
      <c r="J97" s="7" t="s">
        <v>582</v>
      </c>
      <c r="K97" s="8" t="n">
        <v>454.4</v>
      </c>
      <c r="L97" s="8" t="n">
        <v>0</v>
      </c>
      <c r="M97" s="7" t="s">
        <v>2684</v>
      </c>
      <c r="N97" s="20" t="n">
        <v>45614</v>
      </c>
      <c r="O97" s="20"/>
      <c r="P97" s="16" t="n">
        <v>31</v>
      </c>
      <c r="Q97" s="16" t="n">
        <v>1</v>
      </c>
    </row>
    <row r="98" customFormat="false" ht="15" hidden="false" customHeight="false" outlineLevel="0" collapsed="false">
      <c r="A98" s="8" t="n">
        <v>889.92</v>
      </c>
      <c r="B98" s="7" t="s">
        <v>137</v>
      </c>
      <c r="C98" s="7" t="s">
        <v>1673</v>
      </c>
      <c r="D98" s="7" t="s">
        <v>589</v>
      </c>
      <c r="E98" s="7" t="s">
        <v>136</v>
      </c>
      <c r="F98" s="20" t="n">
        <v>45583</v>
      </c>
      <c r="G98" s="20" t="n">
        <v>45613</v>
      </c>
      <c r="H98" s="7" t="s">
        <v>222</v>
      </c>
      <c r="I98" s="7" t="s">
        <v>223</v>
      </c>
      <c r="J98" s="7" t="s">
        <v>590</v>
      </c>
      <c r="K98" s="8" t="n">
        <v>889.92</v>
      </c>
      <c r="L98" s="8" t="n">
        <v>0</v>
      </c>
      <c r="M98" s="7" t="s">
        <v>2684</v>
      </c>
      <c r="N98" s="20" t="n">
        <v>45617</v>
      </c>
      <c r="O98" s="20"/>
      <c r="P98" s="16" t="n">
        <v>34</v>
      </c>
      <c r="Q98" s="16" t="n">
        <v>4</v>
      </c>
    </row>
    <row r="99" customFormat="false" ht="15" hidden="false" customHeight="false" outlineLevel="0" collapsed="false">
      <c r="A99" s="8" t="n">
        <v>1779.84</v>
      </c>
      <c r="B99" s="7" t="s">
        <v>137</v>
      </c>
      <c r="C99" s="7" t="s">
        <v>1671</v>
      </c>
      <c r="D99" s="7" t="s">
        <v>591</v>
      </c>
      <c r="E99" s="7" t="s">
        <v>136</v>
      </c>
      <c r="F99" s="20" t="n">
        <v>45583</v>
      </c>
      <c r="G99" s="20" t="n">
        <v>45613</v>
      </c>
      <c r="H99" s="7" t="s">
        <v>263</v>
      </c>
      <c r="I99" s="7" t="s">
        <v>264</v>
      </c>
      <c r="J99" s="7" t="s">
        <v>592</v>
      </c>
      <c r="K99" s="8" t="n">
        <v>1779.84</v>
      </c>
      <c r="L99" s="8" t="n">
        <v>0</v>
      </c>
      <c r="M99" s="7" t="s">
        <v>2684</v>
      </c>
      <c r="N99" s="20" t="n">
        <v>45617</v>
      </c>
      <c r="O99" s="20"/>
      <c r="P99" s="16" t="n">
        <v>34</v>
      </c>
      <c r="Q99" s="16" t="n">
        <v>4</v>
      </c>
    </row>
    <row r="100" customFormat="false" ht="15" hidden="false" customHeight="false" outlineLevel="0" collapsed="false">
      <c r="A100" s="8" t="n">
        <v>6757.43</v>
      </c>
      <c r="B100" s="7" t="s">
        <v>137</v>
      </c>
      <c r="C100" s="7" t="s">
        <v>1683</v>
      </c>
      <c r="D100" s="7" t="s">
        <v>563</v>
      </c>
      <c r="E100" s="7" t="s">
        <v>149</v>
      </c>
      <c r="F100" s="20" t="n">
        <v>45590</v>
      </c>
      <c r="G100" s="20" t="n">
        <v>45620</v>
      </c>
      <c r="H100" s="7" t="s">
        <v>267</v>
      </c>
      <c r="I100" s="7" t="s">
        <v>268</v>
      </c>
      <c r="J100" s="7" t="s">
        <v>1682</v>
      </c>
      <c r="K100" s="8" t="n">
        <v>6757.43</v>
      </c>
      <c r="L100" s="8" t="n">
        <v>0</v>
      </c>
      <c r="M100" s="7" t="s">
        <v>2684</v>
      </c>
      <c r="N100" s="20" t="n">
        <v>45621</v>
      </c>
      <c r="O100" s="20"/>
      <c r="P100" s="16" t="n">
        <v>31</v>
      </c>
      <c r="Q100" s="16" t="n">
        <v>1</v>
      </c>
    </row>
    <row r="101" customFormat="false" ht="15" hidden="false" customHeight="false" outlineLevel="0" collapsed="false">
      <c r="A101" s="8" t="n">
        <v>831.47</v>
      </c>
      <c r="B101" s="7" t="s">
        <v>137</v>
      </c>
      <c r="C101" s="7" t="s">
        <v>1685</v>
      </c>
      <c r="D101" s="7" t="s">
        <v>563</v>
      </c>
      <c r="E101" s="7" t="s">
        <v>149</v>
      </c>
      <c r="F101" s="20" t="n">
        <v>45590</v>
      </c>
      <c r="G101" s="20" t="n">
        <v>45620</v>
      </c>
      <c r="H101" s="7" t="s">
        <v>267</v>
      </c>
      <c r="I101" s="7" t="s">
        <v>268</v>
      </c>
      <c r="J101" s="7" t="s">
        <v>597</v>
      </c>
      <c r="K101" s="8" t="n">
        <v>831.47</v>
      </c>
      <c r="L101" s="8" t="n">
        <v>0</v>
      </c>
      <c r="M101" s="7" t="s">
        <v>2684</v>
      </c>
      <c r="N101" s="20" t="n">
        <v>45621</v>
      </c>
      <c r="O101" s="20"/>
      <c r="P101" s="16" t="n">
        <v>31</v>
      </c>
      <c r="Q101" s="16" t="n">
        <v>1</v>
      </c>
    </row>
    <row r="102" customFormat="false" ht="15" hidden="false" customHeight="false" outlineLevel="0" collapsed="false">
      <c r="A102" s="8" t="n">
        <v>6038.55</v>
      </c>
      <c r="B102" s="7" t="s">
        <v>137</v>
      </c>
      <c r="C102" s="7" t="s">
        <v>1741</v>
      </c>
      <c r="D102" s="7" t="s">
        <v>563</v>
      </c>
      <c r="E102" s="7" t="s">
        <v>149</v>
      </c>
      <c r="F102" s="20" t="n">
        <v>45605</v>
      </c>
      <c r="G102" s="20" t="n">
        <v>45635</v>
      </c>
      <c r="H102" s="7" t="s">
        <v>267</v>
      </c>
      <c r="I102" s="7" t="s">
        <v>268</v>
      </c>
      <c r="J102" s="7" t="s">
        <v>1740</v>
      </c>
      <c r="K102" s="8" t="n">
        <v>6038.55</v>
      </c>
      <c r="L102" s="8" t="n">
        <v>0</v>
      </c>
      <c r="M102" s="7" t="s">
        <v>2684</v>
      </c>
      <c r="N102" s="20" t="n">
        <v>45635</v>
      </c>
      <c r="O102" s="20"/>
      <c r="P102" s="16" t="n">
        <v>30</v>
      </c>
      <c r="Q102" s="16" t="n">
        <v>0</v>
      </c>
    </row>
    <row r="103" customFormat="false" ht="15" hidden="false" customHeight="false" outlineLevel="0" collapsed="false">
      <c r="A103" s="8" t="n">
        <v>2665.16</v>
      </c>
      <c r="B103" s="7" t="s">
        <v>137</v>
      </c>
      <c r="C103" s="7" t="s">
        <v>1743</v>
      </c>
      <c r="D103" s="7" t="s">
        <v>563</v>
      </c>
      <c r="E103" s="7" t="s">
        <v>149</v>
      </c>
      <c r="F103" s="20" t="n">
        <v>45605</v>
      </c>
      <c r="G103" s="20" t="n">
        <v>45635</v>
      </c>
      <c r="H103" s="7" t="s">
        <v>267</v>
      </c>
      <c r="I103" s="7" t="s">
        <v>268</v>
      </c>
      <c r="J103" s="7" t="s">
        <v>618</v>
      </c>
      <c r="K103" s="8" t="n">
        <v>2665.16</v>
      </c>
      <c r="L103" s="8" t="n">
        <v>0</v>
      </c>
      <c r="M103" s="7" t="s">
        <v>2684</v>
      </c>
      <c r="N103" s="20" t="n">
        <v>45635</v>
      </c>
      <c r="O103" s="20"/>
      <c r="P103" s="16" t="n">
        <v>30</v>
      </c>
      <c r="Q103" s="16" t="n">
        <v>0</v>
      </c>
    </row>
    <row r="104" customFormat="false" ht="15" hidden="false" customHeight="false" outlineLevel="0" collapsed="false">
      <c r="A104" s="8" t="n">
        <v>6912</v>
      </c>
      <c r="B104" s="7" t="s">
        <v>137</v>
      </c>
      <c r="C104" s="7" t="s">
        <v>1758</v>
      </c>
      <c r="D104" s="7" t="s">
        <v>1259</v>
      </c>
      <c r="E104" s="7" t="s">
        <v>136</v>
      </c>
      <c r="F104" s="20" t="n">
        <v>45610</v>
      </c>
      <c r="G104" s="20" t="n">
        <v>45670</v>
      </c>
      <c r="H104" s="7" t="s">
        <v>289</v>
      </c>
      <c r="I104" s="7" t="s">
        <v>290</v>
      </c>
      <c r="J104" s="7" t="s">
        <v>1757</v>
      </c>
      <c r="K104" s="8" t="n">
        <v>6912</v>
      </c>
      <c r="L104" s="8" t="n">
        <v>0</v>
      </c>
      <c r="M104" s="7" t="s">
        <v>2684</v>
      </c>
      <c r="N104" s="20" t="n">
        <v>45680</v>
      </c>
      <c r="O104" s="20"/>
      <c r="P104" s="16" t="n">
        <v>70</v>
      </c>
      <c r="Q104" s="16" t="n">
        <v>10</v>
      </c>
    </row>
    <row r="105" customFormat="false" ht="15" hidden="false" customHeight="false" outlineLevel="0" collapsed="false">
      <c r="A105" s="8" t="n">
        <v>1644.71</v>
      </c>
      <c r="B105" s="7" t="s">
        <v>137</v>
      </c>
      <c r="C105" s="7" t="s">
        <v>1755</v>
      </c>
      <c r="D105" s="7" t="s">
        <v>538</v>
      </c>
      <c r="E105" s="7" t="s">
        <v>153</v>
      </c>
      <c r="F105" s="20" t="n">
        <v>45610</v>
      </c>
      <c r="G105" s="20" t="n">
        <v>45640</v>
      </c>
      <c r="H105" s="7" t="s">
        <v>260</v>
      </c>
      <c r="I105" s="7" t="s">
        <v>261</v>
      </c>
      <c r="J105" s="7" t="s">
        <v>623</v>
      </c>
      <c r="K105" s="8" t="n">
        <v>1644.71</v>
      </c>
      <c r="L105" s="8" t="n">
        <v>0</v>
      </c>
      <c r="M105" s="7" t="s">
        <v>2684</v>
      </c>
      <c r="N105" s="20" t="n">
        <v>45642</v>
      </c>
      <c r="O105" s="20"/>
      <c r="P105" s="16" t="n">
        <v>32</v>
      </c>
      <c r="Q105" s="16" t="n">
        <v>2</v>
      </c>
    </row>
    <row r="106" customFormat="false" ht="15" hidden="false" customHeight="false" outlineLevel="0" collapsed="false">
      <c r="A106" s="8" t="n">
        <v>6200.06</v>
      </c>
      <c r="B106" s="7" t="s">
        <v>137</v>
      </c>
      <c r="C106" s="7" t="s">
        <v>1787</v>
      </c>
      <c r="D106" s="7" t="s">
        <v>1278</v>
      </c>
      <c r="E106" s="7" t="s">
        <v>136</v>
      </c>
      <c r="F106" s="20" t="n">
        <v>45644</v>
      </c>
      <c r="G106" s="20" t="n">
        <v>45689</v>
      </c>
      <c r="H106" s="7" t="s">
        <v>289</v>
      </c>
      <c r="I106" s="7" t="s">
        <v>296</v>
      </c>
      <c r="J106" s="7" t="s">
        <v>1786</v>
      </c>
      <c r="K106" s="8" t="n">
        <v>6200.06</v>
      </c>
      <c r="L106" s="8" t="n">
        <v>0</v>
      </c>
      <c r="M106" s="7" t="s">
        <v>2684</v>
      </c>
      <c r="N106" s="20" t="n">
        <v>45691</v>
      </c>
      <c r="O106" s="20"/>
      <c r="P106" s="16" t="n">
        <v>47</v>
      </c>
      <c r="Q106" s="16" t="n">
        <v>2</v>
      </c>
    </row>
    <row r="107" customFormat="false" ht="15" hidden="false" customHeight="false" outlineLevel="0" collapsed="false">
      <c r="A107" s="8" t="n">
        <v>1424.64</v>
      </c>
      <c r="B107" s="7" t="s">
        <v>137</v>
      </c>
      <c r="C107" s="7" t="s">
        <v>1831</v>
      </c>
      <c r="D107" s="7" t="s">
        <v>589</v>
      </c>
      <c r="E107" s="7" t="s">
        <v>136</v>
      </c>
      <c r="F107" s="20" t="n">
        <v>45677</v>
      </c>
      <c r="G107" s="20" t="n">
        <v>45707</v>
      </c>
      <c r="H107" s="7" t="s">
        <v>222</v>
      </c>
      <c r="I107" s="7" t="s">
        <v>223</v>
      </c>
      <c r="J107" s="7" t="s">
        <v>800</v>
      </c>
      <c r="K107" s="8" t="n">
        <v>1424.64</v>
      </c>
      <c r="L107" s="8" t="n">
        <v>0</v>
      </c>
      <c r="M107" s="7" t="s">
        <v>2684</v>
      </c>
      <c r="N107" s="20" t="n">
        <v>45712</v>
      </c>
      <c r="O107" s="20"/>
      <c r="P107" s="16" t="n">
        <v>35</v>
      </c>
      <c r="Q107" s="16" t="n">
        <v>5</v>
      </c>
    </row>
    <row r="108" customFormat="false" ht="15" hidden="false" customHeight="false" outlineLevel="0" collapsed="false">
      <c r="A108" s="8" t="n">
        <v>3008</v>
      </c>
      <c r="B108" s="7" t="s">
        <v>137</v>
      </c>
      <c r="C108" s="7" t="s">
        <v>1855</v>
      </c>
      <c r="D108" s="7" t="s">
        <v>563</v>
      </c>
      <c r="E108" s="7" t="s">
        <v>146</v>
      </c>
      <c r="F108" s="20" t="n">
        <v>45718</v>
      </c>
      <c r="G108" s="20" t="n">
        <v>45748</v>
      </c>
      <c r="H108" s="7" t="s">
        <v>254</v>
      </c>
      <c r="I108" s="7" t="s">
        <v>255</v>
      </c>
      <c r="J108" s="7" t="s">
        <v>825</v>
      </c>
      <c r="K108" s="8" t="n">
        <v>3008</v>
      </c>
      <c r="L108" s="8" t="n">
        <v>0</v>
      </c>
      <c r="M108" s="7" t="s">
        <v>2684</v>
      </c>
      <c r="N108" s="20" t="n">
        <v>45748</v>
      </c>
      <c r="O108" s="20"/>
      <c r="P108" s="16" t="n">
        <v>30</v>
      </c>
      <c r="Q108" s="16" t="n">
        <v>0</v>
      </c>
    </row>
    <row r="109" customFormat="false" ht="15" hidden="false" customHeight="false" outlineLevel="0" collapsed="false">
      <c r="A109" s="8" t="n">
        <v>2442.24</v>
      </c>
      <c r="B109" s="7" t="s">
        <v>137</v>
      </c>
      <c r="C109" s="7" t="s">
        <v>1857</v>
      </c>
      <c r="D109" s="7" t="s">
        <v>589</v>
      </c>
      <c r="E109" s="7" t="s">
        <v>136</v>
      </c>
      <c r="F109" s="20" t="n">
        <v>45722</v>
      </c>
      <c r="G109" s="20" t="n">
        <v>45752</v>
      </c>
      <c r="H109" s="7" t="s">
        <v>222</v>
      </c>
      <c r="I109" s="7" t="s">
        <v>223</v>
      </c>
      <c r="J109" s="7" t="s">
        <v>828</v>
      </c>
      <c r="K109" s="8" t="n">
        <v>2442.24</v>
      </c>
      <c r="L109" s="8" t="n">
        <v>0</v>
      </c>
      <c r="M109" s="7" t="s">
        <v>2684</v>
      </c>
      <c r="N109" s="20" t="n">
        <v>45756</v>
      </c>
      <c r="O109" s="20"/>
      <c r="P109" s="16" t="n">
        <v>34</v>
      </c>
      <c r="Q109" s="16" t="n">
        <v>4</v>
      </c>
    </row>
    <row r="110" customFormat="false" ht="15" hidden="false" customHeight="false" outlineLevel="0" collapsed="false">
      <c r="A110" s="8" t="n">
        <v>1500.64</v>
      </c>
      <c r="B110" s="7" t="s">
        <v>137</v>
      </c>
      <c r="C110" s="7" t="s">
        <v>1876</v>
      </c>
      <c r="D110" s="7" t="s">
        <v>538</v>
      </c>
      <c r="E110" s="7" t="s">
        <v>153</v>
      </c>
      <c r="F110" s="20" t="n">
        <v>45730</v>
      </c>
      <c r="G110" s="20" t="n">
        <v>45760</v>
      </c>
      <c r="H110" s="7" t="s">
        <v>260</v>
      </c>
      <c r="I110" s="7" t="s">
        <v>261</v>
      </c>
      <c r="J110" s="7" t="s">
        <v>623</v>
      </c>
      <c r="K110" s="8" t="n">
        <v>1500.64</v>
      </c>
      <c r="L110" s="8" t="n">
        <v>0</v>
      </c>
      <c r="M110" s="7" t="s">
        <v>2684</v>
      </c>
      <c r="N110" s="20" t="n">
        <v>45761</v>
      </c>
      <c r="O110" s="20"/>
      <c r="P110" s="16" t="n">
        <v>31</v>
      </c>
      <c r="Q110" s="16" t="n">
        <v>1</v>
      </c>
    </row>
    <row r="111" customFormat="false" ht="15" hidden="false" customHeight="false" outlineLevel="0" collapsed="false">
      <c r="A111" s="8" t="n">
        <v>1176</v>
      </c>
      <c r="B111" s="7" t="s">
        <v>137</v>
      </c>
      <c r="C111" s="7" t="s">
        <v>1886</v>
      </c>
      <c r="D111" s="7" t="s">
        <v>563</v>
      </c>
      <c r="E111" s="7" t="s">
        <v>146</v>
      </c>
      <c r="F111" s="20" t="n">
        <v>45744</v>
      </c>
      <c r="G111" s="20" t="n">
        <v>45774</v>
      </c>
      <c r="H111" s="7" t="s">
        <v>263</v>
      </c>
      <c r="I111" s="7" t="s">
        <v>264</v>
      </c>
      <c r="J111" s="7" t="s">
        <v>847</v>
      </c>
      <c r="K111" s="8" t="n">
        <v>1176</v>
      </c>
      <c r="L111" s="8" t="n">
        <v>0</v>
      </c>
      <c r="M111" s="7" t="s">
        <v>2684</v>
      </c>
      <c r="N111" s="20" t="n">
        <v>45775</v>
      </c>
      <c r="O111" s="20"/>
      <c r="P111" s="16" t="n">
        <v>31</v>
      </c>
      <c r="Q111" s="16" t="n">
        <v>1</v>
      </c>
    </row>
    <row r="112" customFormat="false" ht="15" hidden="false" customHeight="false" outlineLevel="0" collapsed="false">
      <c r="A112" s="8" t="n">
        <v>6875</v>
      </c>
      <c r="B112" s="7" t="s">
        <v>137</v>
      </c>
      <c r="C112" s="7" t="s">
        <v>1891</v>
      </c>
      <c r="D112" s="7" t="s">
        <v>563</v>
      </c>
      <c r="E112" s="7" t="s">
        <v>141</v>
      </c>
      <c r="F112" s="20" t="n">
        <v>45748</v>
      </c>
      <c r="G112" s="20" t="n">
        <v>45778</v>
      </c>
      <c r="H112" s="7" t="s">
        <v>254</v>
      </c>
      <c r="I112" s="7" t="s">
        <v>255</v>
      </c>
      <c r="J112" s="7" t="s">
        <v>850</v>
      </c>
      <c r="K112" s="8" t="n">
        <v>6875</v>
      </c>
      <c r="L112" s="8" t="n">
        <v>0</v>
      </c>
      <c r="M112" s="7" t="s">
        <v>2684</v>
      </c>
      <c r="N112" s="20" t="n">
        <v>45778</v>
      </c>
      <c r="O112" s="20"/>
      <c r="P112" s="16" t="n">
        <v>30</v>
      </c>
      <c r="Q112" s="16" t="n">
        <v>0</v>
      </c>
    </row>
    <row r="113" customFormat="false" ht="15" hidden="false" customHeight="false" outlineLevel="0" collapsed="false">
      <c r="A113" s="8" t="n">
        <v>1334.81</v>
      </c>
      <c r="B113" s="7" t="s">
        <v>137</v>
      </c>
      <c r="C113" s="7" t="s">
        <v>1900</v>
      </c>
      <c r="D113" s="7" t="s">
        <v>538</v>
      </c>
      <c r="E113" s="7" t="s">
        <v>149</v>
      </c>
      <c r="F113" s="20" t="n">
        <v>45753</v>
      </c>
      <c r="G113" s="20" t="n">
        <v>45783</v>
      </c>
      <c r="H113" s="7" t="s">
        <v>260</v>
      </c>
      <c r="I113" s="7" t="s">
        <v>261</v>
      </c>
      <c r="J113" s="7" t="s">
        <v>579</v>
      </c>
      <c r="K113" s="8" t="n">
        <v>1334.81</v>
      </c>
      <c r="L113" s="8" t="n">
        <v>0</v>
      </c>
      <c r="M113" s="7" t="s">
        <v>2684</v>
      </c>
      <c r="N113" s="20" t="n">
        <v>45783</v>
      </c>
      <c r="O113" s="20"/>
      <c r="P113" s="16" t="n">
        <v>30</v>
      </c>
      <c r="Q113" s="16" t="n">
        <v>0</v>
      </c>
    </row>
    <row r="114" customFormat="false" ht="15" hidden="false" customHeight="false" outlineLevel="0" collapsed="false">
      <c r="A114" s="8" t="n">
        <v>915.84</v>
      </c>
      <c r="B114" s="7" t="s">
        <v>137</v>
      </c>
      <c r="C114" s="7" t="s">
        <v>1911</v>
      </c>
      <c r="D114" s="7" t="s">
        <v>589</v>
      </c>
      <c r="E114" s="7" t="s">
        <v>136</v>
      </c>
      <c r="F114" s="20" t="n">
        <v>45759</v>
      </c>
      <c r="G114" s="20" t="n">
        <v>45789</v>
      </c>
      <c r="H114" s="7" t="s">
        <v>222</v>
      </c>
      <c r="I114" s="7" t="s">
        <v>223</v>
      </c>
      <c r="J114" s="7" t="s">
        <v>875</v>
      </c>
      <c r="K114" s="8" t="n">
        <v>915.84</v>
      </c>
      <c r="L114" s="8" t="n">
        <v>0</v>
      </c>
      <c r="M114" s="7" t="s">
        <v>2684</v>
      </c>
      <c r="N114" s="20" t="n">
        <v>45793</v>
      </c>
      <c r="O114" s="20"/>
      <c r="P114" s="16" t="n">
        <v>34</v>
      </c>
      <c r="Q114" s="16" t="n">
        <v>4</v>
      </c>
    </row>
    <row r="115" customFormat="false" ht="15" hidden="false" customHeight="false" outlineLevel="0" collapsed="false">
      <c r="A115" s="8" t="n">
        <v>2238.72</v>
      </c>
      <c r="B115" s="7" t="s">
        <v>137</v>
      </c>
      <c r="C115" s="7" t="s">
        <v>1909</v>
      </c>
      <c r="D115" s="7" t="s">
        <v>591</v>
      </c>
      <c r="E115" s="7" t="s">
        <v>136</v>
      </c>
      <c r="F115" s="20" t="n">
        <v>45759</v>
      </c>
      <c r="G115" s="20" t="n">
        <v>45789</v>
      </c>
      <c r="H115" s="7" t="s">
        <v>263</v>
      </c>
      <c r="I115" s="7" t="s">
        <v>264</v>
      </c>
      <c r="J115" s="7" t="s">
        <v>872</v>
      </c>
      <c r="K115" s="8" t="n">
        <v>2238.72</v>
      </c>
      <c r="L115" s="8" t="n">
        <v>0</v>
      </c>
      <c r="M115" s="7" t="s">
        <v>2684</v>
      </c>
      <c r="N115" s="20" t="n">
        <v>45793</v>
      </c>
      <c r="O115" s="20"/>
      <c r="P115" s="16" t="n">
        <v>34</v>
      </c>
      <c r="Q115" s="16" t="n">
        <v>4</v>
      </c>
    </row>
    <row r="116" customFormat="false" ht="15" hidden="false" customHeight="false" outlineLevel="0" collapsed="false">
      <c r="A116" s="8" t="n">
        <v>1071</v>
      </c>
      <c r="B116" s="7" t="s">
        <v>137</v>
      </c>
      <c r="C116" s="7" t="s">
        <v>1918</v>
      </c>
      <c r="D116" s="7" t="s">
        <v>563</v>
      </c>
      <c r="E116" s="7" t="s">
        <v>141</v>
      </c>
      <c r="F116" s="20" t="n">
        <v>45768</v>
      </c>
      <c r="G116" s="20" t="n">
        <v>45798</v>
      </c>
      <c r="H116" s="7" t="s">
        <v>267</v>
      </c>
      <c r="I116" s="7" t="s">
        <v>268</v>
      </c>
      <c r="J116" s="7" t="s">
        <v>882</v>
      </c>
      <c r="K116" s="8" t="n">
        <v>1071</v>
      </c>
      <c r="L116" s="8" t="n">
        <v>0</v>
      </c>
      <c r="M116" s="7" t="s">
        <v>2684</v>
      </c>
      <c r="N116" s="20" t="n">
        <v>45798</v>
      </c>
      <c r="O116" s="20"/>
      <c r="P116" s="16" t="n">
        <v>30</v>
      </c>
      <c r="Q116" s="16" t="n">
        <v>0</v>
      </c>
    </row>
    <row r="117" customFormat="false" ht="15" hidden="false" customHeight="false" outlineLevel="0" collapsed="false">
      <c r="A117" s="8" t="n">
        <v>4186.88</v>
      </c>
      <c r="B117" s="7" t="s">
        <v>137</v>
      </c>
      <c r="C117" s="7" t="s">
        <v>1921</v>
      </c>
      <c r="D117" s="7" t="s">
        <v>563</v>
      </c>
      <c r="E117" s="7" t="s">
        <v>141</v>
      </c>
      <c r="F117" s="20" t="n">
        <v>45770</v>
      </c>
      <c r="G117" s="20" t="n">
        <v>45800</v>
      </c>
      <c r="H117" s="7" t="s">
        <v>263</v>
      </c>
      <c r="I117" s="7" t="s">
        <v>264</v>
      </c>
      <c r="J117" s="7" t="s">
        <v>885</v>
      </c>
      <c r="K117" s="8" t="n">
        <v>4186.88</v>
      </c>
      <c r="L117" s="8" t="n">
        <v>0</v>
      </c>
      <c r="M117" s="7" t="s">
        <v>2684</v>
      </c>
      <c r="N117" s="20" t="n">
        <v>45800</v>
      </c>
      <c r="O117" s="20"/>
      <c r="P117" s="16" t="n">
        <v>30</v>
      </c>
      <c r="Q117" s="16" t="n">
        <v>0</v>
      </c>
    </row>
    <row r="118" customFormat="false" ht="15" hidden="false" customHeight="false" outlineLevel="0" collapsed="false">
      <c r="A118" s="8" t="n">
        <v>3436.8</v>
      </c>
      <c r="B118" s="7" t="s">
        <v>137</v>
      </c>
      <c r="C118" s="7" t="s">
        <v>1923</v>
      </c>
      <c r="D118" s="7" t="s">
        <v>591</v>
      </c>
      <c r="E118" s="7" t="s">
        <v>136</v>
      </c>
      <c r="F118" s="20" t="n">
        <v>45772</v>
      </c>
      <c r="G118" s="20" t="n">
        <v>45802</v>
      </c>
      <c r="H118" s="7" t="s">
        <v>254</v>
      </c>
      <c r="I118" s="7" t="s">
        <v>255</v>
      </c>
      <c r="J118" s="7" t="s">
        <v>892</v>
      </c>
      <c r="K118" s="8" t="n">
        <v>3436.8</v>
      </c>
      <c r="L118" s="8" t="n">
        <v>0</v>
      </c>
      <c r="M118" s="7" t="s">
        <v>2684</v>
      </c>
      <c r="N118" s="20" t="n">
        <v>45806</v>
      </c>
      <c r="O118" s="20"/>
      <c r="P118" s="16" t="n">
        <v>34</v>
      </c>
      <c r="Q118" s="16" t="n">
        <v>4</v>
      </c>
    </row>
    <row r="119" customFormat="false" ht="15" hidden="false" customHeight="false" outlineLevel="0" collapsed="false">
      <c r="A119" s="8" t="n">
        <v>1480</v>
      </c>
      <c r="B119" s="7" t="s">
        <v>137</v>
      </c>
      <c r="C119" s="7" t="s">
        <v>1929</v>
      </c>
      <c r="D119" s="7" t="s">
        <v>563</v>
      </c>
      <c r="E119" s="7" t="s">
        <v>146</v>
      </c>
      <c r="F119" s="20" t="n">
        <v>45779</v>
      </c>
      <c r="G119" s="20" t="n">
        <v>45809</v>
      </c>
      <c r="H119" s="7" t="s">
        <v>263</v>
      </c>
      <c r="I119" s="7" t="s">
        <v>264</v>
      </c>
      <c r="J119" s="7" t="s">
        <v>1928</v>
      </c>
      <c r="K119" s="8" t="n">
        <v>1480</v>
      </c>
      <c r="L119" s="8" t="n">
        <v>0</v>
      </c>
      <c r="M119" s="7" t="s">
        <v>2684</v>
      </c>
      <c r="N119" s="20" t="n">
        <v>45810</v>
      </c>
      <c r="O119" s="20"/>
      <c r="P119" s="16" t="n">
        <v>31</v>
      </c>
      <c r="Q119" s="16" t="n">
        <v>1</v>
      </c>
    </row>
    <row r="120" customFormat="false" ht="15" hidden="false" customHeight="false" outlineLevel="0" collapsed="false">
      <c r="A120" s="8" t="n">
        <v>4872</v>
      </c>
      <c r="B120" s="7" t="s">
        <v>137</v>
      </c>
      <c r="C120" s="7" t="s">
        <v>1932</v>
      </c>
      <c r="D120" s="7" t="s">
        <v>628</v>
      </c>
      <c r="E120" s="7" t="s">
        <v>144</v>
      </c>
      <c r="F120" s="20" t="n">
        <v>45786</v>
      </c>
      <c r="G120" s="20" t="n">
        <v>45831</v>
      </c>
      <c r="H120" s="7" t="s">
        <v>265</v>
      </c>
      <c r="I120" s="7" t="s">
        <v>266</v>
      </c>
      <c r="J120" s="7" t="s">
        <v>1393</v>
      </c>
      <c r="K120" s="8" t="n">
        <v>4872</v>
      </c>
      <c r="L120" s="8" t="n">
        <v>0</v>
      </c>
      <c r="M120" s="7" t="s">
        <v>2684</v>
      </c>
      <c r="N120" s="20" t="n">
        <v>45831</v>
      </c>
      <c r="O120" s="20"/>
      <c r="P120" s="16" t="n">
        <v>45</v>
      </c>
      <c r="Q120" s="16" t="n">
        <v>0</v>
      </c>
    </row>
    <row r="121" customFormat="false" ht="15" hidden="false" customHeight="false" outlineLevel="0" collapsed="false">
      <c r="A121" s="8" t="n">
        <v>2442.24</v>
      </c>
      <c r="B121" s="7" t="s">
        <v>137</v>
      </c>
      <c r="C121" s="7" t="s">
        <v>1949</v>
      </c>
      <c r="D121" s="7" t="s">
        <v>589</v>
      </c>
      <c r="E121" s="7" t="s">
        <v>136</v>
      </c>
      <c r="F121" s="20" t="n">
        <v>45795</v>
      </c>
      <c r="G121" s="20" t="n">
        <v>45825</v>
      </c>
      <c r="H121" s="7" t="s">
        <v>222</v>
      </c>
      <c r="I121" s="7" t="s">
        <v>223</v>
      </c>
      <c r="J121" s="7" t="s">
        <v>915</v>
      </c>
      <c r="K121" s="8" t="n">
        <v>2442.24</v>
      </c>
      <c r="L121" s="8" t="n">
        <v>0</v>
      </c>
      <c r="M121" s="7" t="s">
        <v>2684</v>
      </c>
      <c r="N121" s="20" t="n">
        <v>45845</v>
      </c>
      <c r="O121" s="20"/>
      <c r="P121" s="16" t="n">
        <v>50</v>
      </c>
      <c r="Q121" s="16" t="n">
        <v>20</v>
      </c>
    </row>
    <row r="122" customFormat="false" ht="15" hidden="false" customHeight="false" outlineLevel="0" collapsed="false">
      <c r="A122" s="8" t="n">
        <v>8344.32</v>
      </c>
      <c r="B122" s="7" t="s">
        <v>137</v>
      </c>
      <c r="C122" s="7" t="s">
        <v>1947</v>
      </c>
      <c r="D122" s="7" t="s">
        <v>591</v>
      </c>
      <c r="E122" s="7" t="s">
        <v>136</v>
      </c>
      <c r="F122" s="20" t="n">
        <v>45795</v>
      </c>
      <c r="G122" s="20" t="n">
        <v>45825</v>
      </c>
      <c r="H122" s="7" t="s">
        <v>265</v>
      </c>
      <c r="I122" s="7" t="s">
        <v>266</v>
      </c>
      <c r="J122" s="7" t="s">
        <v>912</v>
      </c>
      <c r="K122" s="8" t="n">
        <v>8344.32</v>
      </c>
      <c r="L122" s="8" t="n">
        <v>0</v>
      </c>
      <c r="M122" s="7" t="s">
        <v>2684</v>
      </c>
      <c r="N122" s="20" t="n">
        <v>45845</v>
      </c>
      <c r="O122" s="20"/>
      <c r="P122" s="16" t="n">
        <v>50</v>
      </c>
      <c r="Q122" s="16" t="n">
        <v>20</v>
      </c>
    </row>
    <row r="123" customFormat="false" ht="15" hidden="false" customHeight="false" outlineLevel="0" collapsed="false">
      <c r="A123" s="8" t="n">
        <v>514.08</v>
      </c>
      <c r="B123" s="7" t="s">
        <v>137</v>
      </c>
      <c r="C123" s="7" t="s">
        <v>1951</v>
      </c>
      <c r="D123" s="7" t="s">
        <v>563</v>
      </c>
      <c r="E123" s="7" t="s">
        <v>144</v>
      </c>
      <c r="F123" s="20" t="n">
        <v>45796</v>
      </c>
      <c r="G123" s="20" t="n">
        <v>45826</v>
      </c>
      <c r="H123" s="7" t="s">
        <v>267</v>
      </c>
      <c r="I123" s="7" t="s">
        <v>268</v>
      </c>
      <c r="J123" s="7" t="s">
        <v>1397</v>
      </c>
      <c r="K123" s="8" t="n">
        <v>514.08</v>
      </c>
      <c r="L123" s="8" t="n">
        <v>0</v>
      </c>
      <c r="M123" s="7" t="s">
        <v>2684</v>
      </c>
      <c r="N123" s="20" t="n">
        <v>45826</v>
      </c>
      <c r="O123" s="20"/>
      <c r="P123" s="16" t="n">
        <v>30</v>
      </c>
      <c r="Q123" s="16" t="n">
        <v>0</v>
      </c>
    </row>
    <row r="124" customFormat="false" ht="15" hidden="false" customHeight="false" outlineLevel="0" collapsed="false">
      <c r="A124" s="8" t="n">
        <v>1831.68</v>
      </c>
      <c r="B124" s="7" t="s">
        <v>137</v>
      </c>
      <c r="C124" s="7" t="s">
        <v>1953</v>
      </c>
      <c r="D124" s="7" t="s">
        <v>591</v>
      </c>
      <c r="E124" s="7" t="s">
        <v>136</v>
      </c>
      <c r="F124" s="20" t="n">
        <v>45797</v>
      </c>
      <c r="G124" s="20" t="n">
        <v>45827</v>
      </c>
      <c r="H124" s="7" t="s">
        <v>263</v>
      </c>
      <c r="I124" s="7" t="s">
        <v>264</v>
      </c>
      <c r="J124" s="7" t="s">
        <v>918</v>
      </c>
      <c r="K124" s="8" t="n">
        <v>1831.68</v>
      </c>
      <c r="L124" s="8" t="n">
        <v>0</v>
      </c>
      <c r="M124" s="7" t="s">
        <v>2684</v>
      </c>
      <c r="N124" s="20" t="n">
        <v>45845</v>
      </c>
      <c r="O124" s="20"/>
      <c r="P124" s="16" t="n">
        <v>48</v>
      </c>
      <c r="Q124" s="16" t="n">
        <v>18</v>
      </c>
    </row>
    <row r="125" customFormat="false" ht="15" hidden="false" customHeight="false" outlineLevel="0" collapsed="false">
      <c r="A125" s="8" t="n">
        <v>2079</v>
      </c>
      <c r="B125" s="7" t="s">
        <v>137</v>
      </c>
      <c r="C125" s="7" t="s">
        <v>1955</v>
      </c>
      <c r="D125" s="7" t="s">
        <v>563</v>
      </c>
      <c r="E125" s="7" t="s">
        <v>144</v>
      </c>
      <c r="F125" s="20" t="n">
        <v>45798</v>
      </c>
      <c r="G125" s="20" t="n">
        <v>45828</v>
      </c>
      <c r="H125" s="7" t="s">
        <v>263</v>
      </c>
      <c r="I125" s="7" t="s">
        <v>264</v>
      </c>
      <c r="J125" s="7" t="s">
        <v>885</v>
      </c>
      <c r="K125" s="8" t="n">
        <v>2079</v>
      </c>
      <c r="L125" s="8" t="n">
        <v>0</v>
      </c>
      <c r="M125" s="7" t="s">
        <v>2684</v>
      </c>
      <c r="N125" s="20" t="n">
        <v>45828</v>
      </c>
      <c r="O125" s="20"/>
      <c r="P125" s="16" t="n">
        <v>30</v>
      </c>
      <c r="Q125" s="16" t="n">
        <v>0</v>
      </c>
    </row>
    <row r="126" customFormat="false" ht="15" hidden="false" customHeight="false" outlineLevel="0" collapsed="false">
      <c r="A126" s="8" t="n">
        <v>3425.62</v>
      </c>
      <c r="B126" s="7" t="s">
        <v>137</v>
      </c>
      <c r="C126" s="7" t="s">
        <v>1962</v>
      </c>
      <c r="D126" s="7" t="s">
        <v>563</v>
      </c>
      <c r="E126" s="7" t="s">
        <v>141</v>
      </c>
      <c r="F126" s="20" t="n">
        <v>45808</v>
      </c>
      <c r="G126" s="20" t="n">
        <v>45838</v>
      </c>
      <c r="H126" s="7" t="s">
        <v>263</v>
      </c>
      <c r="I126" s="7" t="s">
        <v>264</v>
      </c>
      <c r="J126" s="7" t="s">
        <v>927</v>
      </c>
      <c r="K126" s="8" t="n">
        <v>3425.62</v>
      </c>
      <c r="L126" s="8" t="n">
        <v>0</v>
      </c>
      <c r="M126" s="7" t="s">
        <v>2684</v>
      </c>
      <c r="N126" s="20" t="n">
        <v>45838</v>
      </c>
      <c r="O126" s="20"/>
      <c r="P126" s="16" t="n">
        <v>30</v>
      </c>
      <c r="Q126" s="16" t="n">
        <v>0</v>
      </c>
    </row>
    <row r="127" customFormat="false" ht="15" hidden="false" customHeight="false" outlineLevel="0" collapsed="false">
      <c r="A127" s="8" t="n">
        <v>7417.44</v>
      </c>
      <c r="B127" s="7" t="s">
        <v>137</v>
      </c>
      <c r="C127" s="7" t="s">
        <v>1966</v>
      </c>
      <c r="D127" s="7" t="s">
        <v>538</v>
      </c>
      <c r="E127" s="7" t="s">
        <v>149</v>
      </c>
      <c r="F127" s="20" t="n">
        <v>45814</v>
      </c>
      <c r="G127" s="20" t="n">
        <v>45844</v>
      </c>
      <c r="H127" s="7" t="s">
        <v>260</v>
      </c>
      <c r="I127" s="7" t="s">
        <v>261</v>
      </c>
      <c r="J127" s="7" t="s">
        <v>936</v>
      </c>
      <c r="K127" s="8" t="n">
        <v>7417.44</v>
      </c>
      <c r="L127" s="8" t="n">
        <v>0</v>
      </c>
      <c r="M127" s="7" t="s">
        <v>2684</v>
      </c>
      <c r="N127" s="20" t="n">
        <v>45845</v>
      </c>
      <c r="O127" s="20"/>
      <c r="P127" s="16" t="n">
        <v>31</v>
      </c>
      <c r="Q127" s="16" t="n">
        <v>1</v>
      </c>
    </row>
    <row r="128" customFormat="false" ht="15" hidden="false" customHeight="false" outlineLevel="0" collapsed="false">
      <c r="A128" s="8" t="n">
        <v>3525</v>
      </c>
      <c r="B128" s="7" t="s">
        <v>137</v>
      </c>
      <c r="C128" s="7" t="s">
        <v>1985</v>
      </c>
      <c r="D128" s="7" t="s">
        <v>547</v>
      </c>
      <c r="E128" s="7" t="s">
        <v>141</v>
      </c>
      <c r="F128" s="20" t="n">
        <v>45826</v>
      </c>
      <c r="G128" s="20" t="n">
        <v>45841</v>
      </c>
      <c r="H128" s="7" t="s">
        <v>275</v>
      </c>
      <c r="I128" s="7" t="s">
        <v>276</v>
      </c>
      <c r="J128" s="7" t="s">
        <v>1984</v>
      </c>
      <c r="K128" s="8" t="n">
        <v>3525</v>
      </c>
      <c r="L128" s="8" t="n">
        <v>0</v>
      </c>
      <c r="M128" s="7" t="s">
        <v>2684</v>
      </c>
      <c r="N128" s="20" t="n">
        <v>45841</v>
      </c>
      <c r="O128" s="20"/>
      <c r="P128" s="16" t="n">
        <v>15</v>
      </c>
      <c r="Q128" s="16" t="n">
        <v>0</v>
      </c>
    </row>
    <row r="129" customFormat="false" ht="15" hidden="false" customHeight="false" outlineLevel="0" collapsed="false">
      <c r="A129" s="8" t="n">
        <v>568.48</v>
      </c>
      <c r="B129" s="7" t="s">
        <v>137</v>
      </c>
      <c r="C129" s="7" t="s">
        <v>1988</v>
      </c>
      <c r="D129" s="7" t="s">
        <v>563</v>
      </c>
      <c r="E129" s="7" t="s">
        <v>146</v>
      </c>
      <c r="F129" s="20" t="n">
        <v>45831</v>
      </c>
      <c r="G129" s="20" t="n">
        <v>45861</v>
      </c>
      <c r="H129" s="7" t="s">
        <v>267</v>
      </c>
      <c r="I129" s="7" t="s">
        <v>268</v>
      </c>
      <c r="J129" s="7" t="s">
        <v>978</v>
      </c>
      <c r="K129" s="8" t="n">
        <v>568.48</v>
      </c>
      <c r="L129" s="8" t="n">
        <v>0</v>
      </c>
      <c r="M129" s="7" t="s">
        <v>2684</v>
      </c>
      <c r="N129" s="20" t="n">
        <v>45861</v>
      </c>
      <c r="O129" s="20"/>
      <c r="P129" s="16" t="n">
        <v>30</v>
      </c>
      <c r="Q129" s="16" t="n">
        <v>0</v>
      </c>
    </row>
    <row r="130" customFormat="false" ht="15" hidden="false" customHeight="false" outlineLevel="0" collapsed="false">
      <c r="A130" s="8" t="n">
        <v>915.84</v>
      </c>
      <c r="B130" s="7" t="s">
        <v>137</v>
      </c>
      <c r="C130" s="7" t="s">
        <v>1997</v>
      </c>
      <c r="D130" s="7" t="s">
        <v>589</v>
      </c>
      <c r="E130" s="7" t="s">
        <v>136</v>
      </c>
      <c r="F130" s="20" t="n">
        <v>45832</v>
      </c>
      <c r="G130" s="20" t="n">
        <v>45862</v>
      </c>
      <c r="H130" s="7" t="s">
        <v>222</v>
      </c>
      <c r="I130" s="7" t="s">
        <v>223</v>
      </c>
      <c r="J130" s="7" t="s">
        <v>964</v>
      </c>
      <c r="K130" s="8" t="n">
        <v>915.84</v>
      </c>
      <c r="L130" s="8" t="n">
        <v>0</v>
      </c>
      <c r="M130" s="7" t="s">
        <v>2684</v>
      </c>
      <c r="N130" s="20" t="n">
        <v>45880</v>
      </c>
      <c r="O130" s="20"/>
      <c r="P130" s="16" t="n">
        <v>48</v>
      </c>
      <c r="Q130" s="16" t="n">
        <v>18</v>
      </c>
    </row>
    <row r="131" customFormat="false" ht="15" hidden="false" customHeight="false" outlineLevel="0" collapsed="false">
      <c r="A131" s="8" t="n">
        <v>1424.64</v>
      </c>
      <c r="B131" s="7" t="s">
        <v>137</v>
      </c>
      <c r="C131" s="7" t="s">
        <v>1995</v>
      </c>
      <c r="D131" s="7" t="s">
        <v>591</v>
      </c>
      <c r="E131" s="7" t="s">
        <v>136</v>
      </c>
      <c r="F131" s="20" t="n">
        <v>45832</v>
      </c>
      <c r="G131" s="20" t="n">
        <v>45862</v>
      </c>
      <c r="H131" s="7" t="s">
        <v>263</v>
      </c>
      <c r="I131" s="7" t="s">
        <v>264</v>
      </c>
      <c r="J131" s="7" t="s">
        <v>961</v>
      </c>
      <c r="K131" s="8" t="n">
        <v>1424.64</v>
      </c>
      <c r="L131" s="8" t="n">
        <v>0</v>
      </c>
      <c r="M131" s="7" t="s">
        <v>2684</v>
      </c>
      <c r="N131" s="20" t="n">
        <v>45880</v>
      </c>
      <c r="O131" s="20"/>
      <c r="P131" s="16" t="n">
        <v>48</v>
      </c>
      <c r="Q131" s="16" t="n">
        <v>18</v>
      </c>
    </row>
    <row r="132" customFormat="false" ht="15" hidden="false" customHeight="false" outlineLevel="0" collapsed="false">
      <c r="A132" s="8" t="n">
        <v>1356.8</v>
      </c>
      <c r="B132" s="7" t="s">
        <v>137</v>
      </c>
      <c r="C132" s="7" t="s">
        <v>2018</v>
      </c>
      <c r="D132" s="7" t="s">
        <v>538</v>
      </c>
      <c r="E132" s="7" t="s">
        <v>146</v>
      </c>
      <c r="F132" s="20" t="n">
        <v>45836</v>
      </c>
      <c r="G132" s="20" t="n">
        <v>45866</v>
      </c>
      <c r="H132" s="7" t="s">
        <v>260</v>
      </c>
      <c r="I132" s="7" t="s">
        <v>261</v>
      </c>
      <c r="J132" s="7" t="s">
        <v>1006</v>
      </c>
      <c r="K132" s="8" t="n">
        <v>1356.8</v>
      </c>
      <c r="L132" s="8" t="n">
        <v>0</v>
      </c>
      <c r="M132" s="7" t="s">
        <v>2684</v>
      </c>
      <c r="N132" s="20" t="n">
        <v>45866</v>
      </c>
      <c r="O132" s="20"/>
      <c r="P132" s="16" t="n">
        <v>30</v>
      </c>
      <c r="Q132" s="16" t="n">
        <v>0</v>
      </c>
    </row>
    <row r="133" customFormat="false" ht="15" hidden="false" customHeight="false" outlineLevel="0" collapsed="false">
      <c r="A133" s="8" t="n">
        <v>1701</v>
      </c>
      <c r="B133" s="7" t="s">
        <v>137</v>
      </c>
      <c r="C133" s="7" t="s">
        <v>2016</v>
      </c>
      <c r="D133" s="7" t="s">
        <v>563</v>
      </c>
      <c r="E133" s="7" t="s">
        <v>144</v>
      </c>
      <c r="F133" s="20" t="n">
        <v>45836</v>
      </c>
      <c r="G133" s="20" t="n">
        <v>45866</v>
      </c>
      <c r="H133" s="7" t="s">
        <v>263</v>
      </c>
      <c r="I133" s="7" t="s">
        <v>264</v>
      </c>
      <c r="J133" s="7" t="s">
        <v>927</v>
      </c>
      <c r="K133" s="8" t="n">
        <v>1701</v>
      </c>
      <c r="L133" s="8" t="n">
        <v>0</v>
      </c>
      <c r="M133" s="7" t="s">
        <v>2684</v>
      </c>
      <c r="N133" s="20" t="n">
        <v>45866</v>
      </c>
      <c r="O133" s="20"/>
      <c r="P133" s="16" t="n">
        <v>30</v>
      </c>
      <c r="Q133" s="16" t="n">
        <v>0</v>
      </c>
    </row>
    <row r="134" customFormat="false" ht="15" hidden="false" customHeight="false" outlineLevel="0" collapsed="false">
      <c r="A134" s="8" t="n">
        <v>9271.8</v>
      </c>
      <c r="B134" s="7" t="s">
        <v>137</v>
      </c>
      <c r="C134" s="7" t="s">
        <v>2034</v>
      </c>
      <c r="D134" s="7" t="s">
        <v>563</v>
      </c>
      <c r="E134" s="7" t="s">
        <v>149</v>
      </c>
      <c r="F134" s="20" t="n">
        <v>45844</v>
      </c>
      <c r="G134" s="20" t="n">
        <v>45874</v>
      </c>
      <c r="H134" s="7" t="s">
        <v>267</v>
      </c>
      <c r="I134" s="7" t="s">
        <v>268</v>
      </c>
      <c r="J134" s="7" t="s">
        <v>2033</v>
      </c>
      <c r="K134" s="8" t="n">
        <v>9271.8</v>
      </c>
      <c r="L134" s="8" t="n">
        <v>0</v>
      </c>
      <c r="M134" s="7" t="s">
        <v>2684</v>
      </c>
      <c r="N134" s="20" t="n">
        <v>45874</v>
      </c>
      <c r="O134" s="20"/>
      <c r="P134" s="16" t="n">
        <v>30</v>
      </c>
      <c r="Q134" s="16" t="n">
        <v>0</v>
      </c>
    </row>
    <row r="135" customFormat="false" ht="15" hidden="false" customHeight="false" outlineLevel="0" collapsed="false">
      <c r="A135" s="8" t="n">
        <v>1091.25</v>
      </c>
      <c r="B135" s="7" t="s">
        <v>137</v>
      </c>
      <c r="C135" s="7" t="s">
        <v>2036</v>
      </c>
      <c r="D135" s="7" t="s">
        <v>563</v>
      </c>
      <c r="E135" s="7" t="s">
        <v>149</v>
      </c>
      <c r="F135" s="20" t="n">
        <v>45844</v>
      </c>
      <c r="G135" s="20" t="n">
        <v>45874</v>
      </c>
      <c r="H135" s="7" t="s">
        <v>267</v>
      </c>
      <c r="I135" s="7" t="s">
        <v>268</v>
      </c>
      <c r="J135" s="7" t="s">
        <v>1025</v>
      </c>
      <c r="K135" s="8" t="n">
        <v>1091.25</v>
      </c>
      <c r="L135" s="8" t="n">
        <v>0</v>
      </c>
      <c r="M135" s="7" t="s">
        <v>2684</v>
      </c>
      <c r="N135" s="20" t="n">
        <v>45874</v>
      </c>
      <c r="O135" s="20"/>
      <c r="P135" s="16" t="n">
        <v>30</v>
      </c>
      <c r="Q135" s="16" t="n">
        <v>0</v>
      </c>
    </row>
    <row r="136" customFormat="false" ht="15" hidden="false" customHeight="false" outlineLevel="0" collapsed="false">
      <c r="A136" s="8" t="n">
        <v>6345</v>
      </c>
      <c r="B136" s="7" t="s">
        <v>137</v>
      </c>
      <c r="C136" s="7" t="s">
        <v>2069</v>
      </c>
      <c r="D136" s="7" t="s">
        <v>547</v>
      </c>
      <c r="E136" s="7" t="s">
        <v>141</v>
      </c>
      <c r="F136" s="20" t="n">
        <v>45856</v>
      </c>
      <c r="G136" s="20" t="n">
        <v>45871</v>
      </c>
      <c r="H136" s="7" t="s">
        <v>275</v>
      </c>
      <c r="I136" s="7" t="s">
        <v>276</v>
      </c>
      <c r="J136" s="7" t="s">
        <v>2068</v>
      </c>
      <c r="K136" s="8" t="n">
        <v>6345</v>
      </c>
      <c r="L136" s="8" t="n">
        <v>0</v>
      </c>
      <c r="M136" s="7" t="s">
        <v>2684</v>
      </c>
      <c r="N136" s="20" t="n">
        <v>45873</v>
      </c>
      <c r="O136" s="20"/>
      <c r="P136" s="16" t="n">
        <v>17</v>
      </c>
      <c r="Q136" s="16" t="n">
        <v>2</v>
      </c>
    </row>
    <row r="137" customFormat="false" ht="15" hidden="false" customHeight="false" outlineLevel="0" collapsed="false">
      <c r="A137" s="8" t="n">
        <v>3675</v>
      </c>
      <c r="B137" s="7" t="s">
        <v>137</v>
      </c>
      <c r="C137" s="7" t="s">
        <v>2071</v>
      </c>
      <c r="D137" s="7" t="s">
        <v>563</v>
      </c>
      <c r="E137" s="7" t="s">
        <v>141</v>
      </c>
      <c r="F137" s="20" t="n">
        <v>45860</v>
      </c>
      <c r="G137" s="20" t="n">
        <v>45890</v>
      </c>
      <c r="H137" s="7" t="s">
        <v>263</v>
      </c>
      <c r="I137" s="7" t="s">
        <v>264</v>
      </c>
      <c r="J137" s="7" t="s">
        <v>1044</v>
      </c>
      <c r="K137" s="8" t="n">
        <v>3675</v>
      </c>
      <c r="L137" s="8" t="n">
        <v>0</v>
      </c>
      <c r="M137" s="7" t="s">
        <v>2684</v>
      </c>
      <c r="N137" s="20" t="n">
        <v>45890</v>
      </c>
      <c r="O137" s="20"/>
      <c r="P137" s="16" t="n">
        <v>30</v>
      </c>
      <c r="Q137" s="16" t="n">
        <v>0</v>
      </c>
    </row>
    <row r="138" customFormat="false" ht="15" hidden="false" customHeight="false" outlineLevel="0" collapsed="false">
      <c r="A138" s="8" t="n">
        <v>915.84</v>
      </c>
      <c r="B138" s="7" t="s">
        <v>137</v>
      </c>
      <c r="C138" s="7" t="s">
        <v>2075</v>
      </c>
      <c r="D138" s="7" t="s">
        <v>589</v>
      </c>
      <c r="E138" s="7" t="s">
        <v>136</v>
      </c>
      <c r="F138" s="20" t="n">
        <v>45860</v>
      </c>
      <c r="G138" s="20" t="n">
        <v>45890</v>
      </c>
      <c r="H138" s="7" t="s">
        <v>222</v>
      </c>
      <c r="I138" s="7" t="s">
        <v>223</v>
      </c>
      <c r="J138" s="7" t="s">
        <v>1528</v>
      </c>
      <c r="K138" s="8" t="n">
        <v>915.84</v>
      </c>
      <c r="L138" s="8" t="n">
        <v>0</v>
      </c>
      <c r="M138" s="7" t="s">
        <v>2684</v>
      </c>
      <c r="N138" s="20" t="n">
        <v>45894</v>
      </c>
      <c r="O138" s="20"/>
      <c r="P138" s="16" t="n">
        <v>34</v>
      </c>
      <c r="Q138" s="16" t="n">
        <v>4</v>
      </c>
    </row>
    <row r="139" customFormat="false" ht="15" hidden="false" customHeight="false" outlineLevel="0" collapsed="false">
      <c r="A139" s="8" t="n">
        <v>1424.64</v>
      </c>
      <c r="B139" s="7" t="s">
        <v>137</v>
      </c>
      <c r="C139" s="7" t="s">
        <v>2073</v>
      </c>
      <c r="D139" s="7" t="s">
        <v>591</v>
      </c>
      <c r="E139" s="7" t="s">
        <v>136</v>
      </c>
      <c r="F139" s="20" t="n">
        <v>45860</v>
      </c>
      <c r="G139" s="20" t="n">
        <v>45890</v>
      </c>
      <c r="H139" s="7" t="s">
        <v>263</v>
      </c>
      <c r="I139" s="7" t="s">
        <v>264</v>
      </c>
      <c r="J139" s="7" t="s">
        <v>1525</v>
      </c>
      <c r="K139" s="8" t="n">
        <v>1424.64</v>
      </c>
      <c r="L139" s="8" t="n">
        <v>0</v>
      </c>
      <c r="M139" s="7" t="s">
        <v>2684</v>
      </c>
      <c r="N139" s="20" t="n">
        <v>45894</v>
      </c>
      <c r="O139" s="20"/>
      <c r="P139" s="16" t="n">
        <v>34</v>
      </c>
      <c r="Q139" s="16" t="n">
        <v>4</v>
      </c>
    </row>
    <row r="140" customFormat="false" ht="15" hidden="false" customHeight="false" outlineLevel="0" collapsed="false">
      <c r="A140" s="8" t="n">
        <v>4230</v>
      </c>
      <c r="B140" s="7" t="s">
        <v>137</v>
      </c>
      <c r="C140" s="7" t="s">
        <v>2101</v>
      </c>
      <c r="D140" s="7" t="s">
        <v>547</v>
      </c>
      <c r="E140" s="7" t="s">
        <v>141</v>
      </c>
      <c r="F140" s="20" t="n">
        <v>45887</v>
      </c>
      <c r="G140" s="20" t="n">
        <v>45902</v>
      </c>
      <c r="H140" s="7" t="s">
        <v>275</v>
      </c>
      <c r="I140" s="7" t="s">
        <v>276</v>
      </c>
      <c r="J140" s="7" t="s">
        <v>2100</v>
      </c>
      <c r="K140" s="8" t="n">
        <v>4230</v>
      </c>
      <c r="L140" s="8" t="n">
        <v>0</v>
      </c>
      <c r="M140" s="7" t="s">
        <v>2684</v>
      </c>
      <c r="N140" s="20" t="n">
        <v>45902</v>
      </c>
      <c r="O140" s="20"/>
      <c r="P140" s="16" t="n">
        <v>15</v>
      </c>
      <c r="Q140" s="16" t="n">
        <v>0</v>
      </c>
    </row>
    <row r="141" customFormat="false" ht="15" hidden="false" customHeight="false" outlineLevel="0" collapsed="false">
      <c r="A141" s="8" t="n">
        <v>16209.6</v>
      </c>
      <c r="B141" s="7" t="s">
        <v>137</v>
      </c>
      <c r="C141" s="7" t="s">
        <v>2104</v>
      </c>
      <c r="D141" s="7" t="s">
        <v>538</v>
      </c>
      <c r="E141" s="7" t="s">
        <v>149</v>
      </c>
      <c r="F141" s="20" t="n">
        <v>45888</v>
      </c>
      <c r="G141" s="20" t="n">
        <v>45918</v>
      </c>
      <c r="H141" s="7" t="s">
        <v>260</v>
      </c>
      <c r="I141" s="7" t="s">
        <v>261</v>
      </c>
      <c r="J141" s="7" t="s">
        <v>2103</v>
      </c>
      <c r="K141" s="8" t="n">
        <v>16209.6</v>
      </c>
      <c r="L141" s="8" t="n">
        <v>0</v>
      </c>
      <c r="M141" s="7" t="s">
        <v>2684</v>
      </c>
      <c r="N141" s="20" t="n">
        <v>45943</v>
      </c>
      <c r="O141" s="20"/>
      <c r="P141" s="16" t="n">
        <v>55</v>
      </c>
      <c r="Q141" s="16" t="n">
        <v>25</v>
      </c>
    </row>
    <row r="142" customFormat="false" ht="15" hidden="false" customHeight="false" outlineLevel="0" collapsed="false">
      <c r="A142" s="8" t="n">
        <v>2210.4</v>
      </c>
      <c r="B142" s="7" t="s">
        <v>137</v>
      </c>
      <c r="C142" s="7" t="s">
        <v>2107</v>
      </c>
      <c r="D142" s="7" t="s">
        <v>538</v>
      </c>
      <c r="E142" s="7" t="s">
        <v>141</v>
      </c>
      <c r="F142" s="20" t="n">
        <v>45888</v>
      </c>
      <c r="G142" s="20" t="n">
        <v>45918</v>
      </c>
      <c r="H142" s="7" t="s">
        <v>260</v>
      </c>
      <c r="I142" s="7" t="s">
        <v>261</v>
      </c>
      <c r="J142" s="7" t="s">
        <v>2106</v>
      </c>
      <c r="K142" s="8" t="n">
        <v>2210.4</v>
      </c>
      <c r="L142" s="8" t="n">
        <v>0</v>
      </c>
      <c r="M142" s="7" t="s">
        <v>2684</v>
      </c>
      <c r="N142" s="20" t="n">
        <v>45943</v>
      </c>
      <c r="O142" s="20"/>
      <c r="P142" s="16" t="n">
        <v>55</v>
      </c>
      <c r="Q142" s="16" t="n">
        <v>25</v>
      </c>
    </row>
    <row r="143" customFormat="false" ht="15" hidden="false" customHeight="false" outlineLevel="0" collapsed="false">
      <c r="A143" s="8" t="n">
        <v>6508.08</v>
      </c>
      <c r="B143" s="7" t="s">
        <v>137</v>
      </c>
      <c r="C143" s="7" t="s">
        <v>2117</v>
      </c>
      <c r="D143" s="7" t="s">
        <v>538</v>
      </c>
      <c r="E143" s="7" t="s">
        <v>149</v>
      </c>
      <c r="F143" s="20" t="n">
        <v>45902</v>
      </c>
      <c r="G143" s="20" t="n">
        <v>45932</v>
      </c>
      <c r="H143" s="7" t="s">
        <v>260</v>
      </c>
      <c r="I143" s="7" t="s">
        <v>261</v>
      </c>
      <c r="J143" s="7" t="s">
        <v>539</v>
      </c>
      <c r="K143" s="8" t="n">
        <v>6508.08</v>
      </c>
      <c r="L143" s="8" t="n">
        <v>0</v>
      </c>
      <c r="M143" s="7" t="s">
        <v>2684</v>
      </c>
      <c r="N143" s="20" t="n">
        <v>45932</v>
      </c>
      <c r="O143" s="20"/>
      <c r="P143" s="16" t="n">
        <v>30</v>
      </c>
      <c r="Q143" s="16" t="n">
        <v>0</v>
      </c>
    </row>
    <row r="144" customFormat="false" ht="15" hidden="false" customHeight="false" outlineLevel="0" collapsed="false">
      <c r="A144" s="8" t="n">
        <v>6149.52</v>
      </c>
      <c r="B144" s="7" t="s">
        <v>137</v>
      </c>
      <c r="C144" s="7" t="s">
        <v>2135</v>
      </c>
      <c r="D144" s="7" t="s">
        <v>538</v>
      </c>
      <c r="E144" s="7" t="s">
        <v>149</v>
      </c>
      <c r="F144" s="20" t="n">
        <v>45916</v>
      </c>
      <c r="G144" s="20" t="n">
        <v>45946</v>
      </c>
      <c r="H144" s="7" t="s">
        <v>260</v>
      </c>
      <c r="I144" s="7" t="s">
        <v>261</v>
      </c>
      <c r="J144" s="7" t="s">
        <v>553</v>
      </c>
      <c r="K144" s="8" t="n">
        <v>6149.52</v>
      </c>
      <c r="L144" s="8" t="n">
        <v>0</v>
      </c>
      <c r="M144" s="7" t="s">
        <v>2684</v>
      </c>
      <c r="N144" s="20" t="n">
        <v>45946</v>
      </c>
      <c r="O144" s="20"/>
      <c r="P144" s="16" t="n">
        <v>30</v>
      </c>
      <c r="Q144" s="16" t="n">
        <v>0</v>
      </c>
    </row>
    <row r="145" customFormat="false" ht="15" hidden="false" customHeight="false" outlineLevel="0" collapsed="false">
      <c r="A145" s="8" t="n">
        <v>1309</v>
      </c>
      <c r="B145" s="7" t="s">
        <v>137</v>
      </c>
      <c r="C145" s="7" t="s">
        <v>2150</v>
      </c>
      <c r="D145" s="7" t="s">
        <v>563</v>
      </c>
      <c r="E145" s="7" t="s">
        <v>141</v>
      </c>
      <c r="F145" s="20" t="n">
        <v>45936</v>
      </c>
      <c r="G145" s="20" t="n">
        <v>45966</v>
      </c>
      <c r="H145" s="7" t="s">
        <v>267</v>
      </c>
      <c r="I145" s="7" t="s">
        <v>268</v>
      </c>
      <c r="J145" s="7" t="s">
        <v>564</v>
      </c>
      <c r="K145" s="8" t="n">
        <v>1309</v>
      </c>
      <c r="L145" s="8" t="n">
        <v>0</v>
      </c>
      <c r="M145" s="7" t="s">
        <v>2684</v>
      </c>
      <c r="N145" s="20" t="n">
        <v>45966</v>
      </c>
      <c r="O145" s="20"/>
      <c r="P145" s="16" t="n">
        <v>30</v>
      </c>
      <c r="Q145" s="16" t="n">
        <v>0</v>
      </c>
    </row>
    <row r="146" customFormat="false" ht="15" hidden="false" customHeight="false" outlineLevel="0" collapsed="false">
      <c r="A146" s="8" t="n">
        <v>1099.1</v>
      </c>
      <c r="B146" s="7" t="s">
        <v>137</v>
      </c>
      <c r="C146" s="7" t="s">
        <v>2152</v>
      </c>
      <c r="D146" s="7" t="s">
        <v>538</v>
      </c>
      <c r="E146" s="7" t="s">
        <v>149</v>
      </c>
      <c r="F146" s="20" t="n">
        <v>45936</v>
      </c>
      <c r="G146" s="20" t="n">
        <v>45966</v>
      </c>
      <c r="H146" s="7" t="s">
        <v>260</v>
      </c>
      <c r="I146" s="7" t="s">
        <v>261</v>
      </c>
      <c r="J146" s="7" t="s">
        <v>579</v>
      </c>
      <c r="K146" s="8" t="n">
        <v>1099.1</v>
      </c>
      <c r="L146" s="8" t="n">
        <v>0</v>
      </c>
      <c r="M146" s="7" t="s">
        <v>2684</v>
      </c>
      <c r="N146" s="20" t="n">
        <v>45966</v>
      </c>
      <c r="O146" s="20"/>
      <c r="P146" s="16" t="n">
        <v>30</v>
      </c>
      <c r="Q146" s="16" t="n">
        <v>0</v>
      </c>
    </row>
    <row r="147" customFormat="false" ht="15" hidden="false" customHeight="false" outlineLevel="0" collapsed="false">
      <c r="A147" s="8" t="n">
        <v>3180</v>
      </c>
      <c r="B147" s="7" t="s">
        <v>137</v>
      </c>
      <c r="C147" s="7" t="s">
        <v>2192</v>
      </c>
      <c r="D147" s="7" t="s">
        <v>538</v>
      </c>
      <c r="E147" s="7" t="s">
        <v>141</v>
      </c>
      <c r="F147" s="20" t="n">
        <v>45941</v>
      </c>
      <c r="G147" s="20" t="n">
        <v>45971</v>
      </c>
      <c r="H147" s="7" t="s">
        <v>260</v>
      </c>
      <c r="I147" s="7" t="s">
        <v>261</v>
      </c>
      <c r="J147" s="7" t="s">
        <v>565</v>
      </c>
      <c r="K147" s="8" t="n">
        <v>3180</v>
      </c>
      <c r="L147" s="8" t="n">
        <v>0</v>
      </c>
      <c r="M147" s="7" t="s">
        <v>2684</v>
      </c>
      <c r="N147" s="20" t="n">
        <v>45971</v>
      </c>
      <c r="O147" s="20"/>
      <c r="P147" s="16" t="n">
        <v>30</v>
      </c>
      <c r="Q147" s="16" t="n">
        <v>0</v>
      </c>
    </row>
    <row r="148" customFormat="false" ht="15" hidden="false" customHeight="false" outlineLevel="0" collapsed="false">
      <c r="A148" s="8" t="n">
        <v>628.32</v>
      </c>
      <c r="B148" s="7" t="s">
        <v>137</v>
      </c>
      <c r="C148" s="7" t="s">
        <v>2198</v>
      </c>
      <c r="D148" s="7" t="s">
        <v>563</v>
      </c>
      <c r="E148" s="7" t="s">
        <v>144</v>
      </c>
      <c r="F148" s="20" t="n">
        <v>45943</v>
      </c>
      <c r="G148" s="20" t="n">
        <v>45973</v>
      </c>
      <c r="H148" s="7" t="s">
        <v>267</v>
      </c>
      <c r="I148" s="7" t="s">
        <v>268</v>
      </c>
      <c r="J148" s="7" t="s">
        <v>577</v>
      </c>
      <c r="K148" s="8" t="n">
        <v>628.32</v>
      </c>
      <c r="L148" s="8" t="n">
        <v>0</v>
      </c>
      <c r="M148" s="7" t="s">
        <v>2684</v>
      </c>
      <c r="N148" s="20" t="n">
        <v>45973</v>
      </c>
      <c r="O148" s="20"/>
      <c r="P148" s="16" t="n">
        <v>30</v>
      </c>
      <c r="Q148" s="16" t="n">
        <v>0</v>
      </c>
    </row>
    <row r="149" customFormat="false" ht="15" hidden="false" customHeight="false" outlineLevel="0" collapsed="false">
      <c r="A149" s="8" t="n">
        <v>1526.4</v>
      </c>
      <c r="B149" s="7" t="s">
        <v>137</v>
      </c>
      <c r="C149" s="7" t="s">
        <v>2235</v>
      </c>
      <c r="D149" s="7" t="s">
        <v>538</v>
      </c>
      <c r="E149" s="7" t="s">
        <v>144</v>
      </c>
      <c r="F149" s="20" t="n">
        <v>45948</v>
      </c>
      <c r="G149" s="20" t="n">
        <v>45978</v>
      </c>
      <c r="H149" s="7" t="s">
        <v>260</v>
      </c>
      <c r="I149" s="7" t="s">
        <v>261</v>
      </c>
      <c r="J149" s="7" t="s">
        <v>578</v>
      </c>
      <c r="K149" s="8" t="n">
        <v>1526.4</v>
      </c>
      <c r="L149" s="8" t="n">
        <v>0</v>
      </c>
      <c r="M149" s="7" t="s">
        <v>2684</v>
      </c>
      <c r="N149" s="20" t="n">
        <v>45978</v>
      </c>
      <c r="O149" s="20"/>
      <c r="P149" s="16" t="n">
        <v>30</v>
      </c>
      <c r="Q149" s="16" t="n">
        <v>0</v>
      </c>
    </row>
    <row r="150" customFormat="false" ht="15" hidden="false" customHeight="false" outlineLevel="0" collapsed="false">
      <c r="A150" s="8" t="n">
        <v>915.84</v>
      </c>
      <c r="B150" s="7" t="s">
        <v>137</v>
      </c>
      <c r="C150" s="7" t="s">
        <v>2239</v>
      </c>
      <c r="D150" s="7" t="s">
        <v>589</v>
      </c>
      <c r="E150" s="7" t="s">
        <v>136</v>
      </c>
      <c r="F150" s="20" t="n">
        <v>45948</v>
      </c>
      <c r="G150" s="20" t="n">
        <v>45978</v>
      </c>
      <c r="H150" s="7" t="s">
        <v>222</v>
      </c>
      <c r="I150" s="7" t="s">
        <v>223</v>
      </c>
      <c r="J150" s="7" t="s">
        <v>590</v>
      </c>
      <c r="K150" s="8" t="n">
        <v>915.84</v>
      </c>
      <c r="L150" s="8" t="n">
        <v>0</v>
      </c>
      <c r="M150" s="7" t="s">
        <v>2684</v>
      </c>
      <c r="N150" s="20" t="n">
        <v>45982</v>
      </c>
      <c r="O150" s="20"/>
      <c r="P150" s="16" t="n">
        <v>34</v>
      </c>
      <c r="Q150" s="16" t="n">
        <v>4</v>
      </c>
    </row>
    <row r="151" customFormat="false" ht="15" hidden="false" customHeight="false" outlineLevel="0" collapsed="false">
      <c r="A151" s="8" t="n">
        <v>1831.68</v>
      </c>
      <c r="B151" s="7" t="s">
        <v>137</v>
      </c>
      <c r="C151" s="7" t="s">
        <v>2237</v>
      </c>
      <c r="D151" s="7" t="s">
        <v>591</v>
      </c>
      <c r="E151" s="7" t="s">
        <v>136</v>
      </c>
      <c r="F151" s="20" t="n">
        <v>45948</v>
      </c>
      <c r="G151" s="20" t="n">
        <v>45978</v>
      </c>
      <c r="H151" s="7" t="s">
        <v>263</v>
      </c>
      <c r="I151" s="7" t="s">
        <v>264</v>
      </c>
      <c r="J151" s="7" t="s">
        <v>592</v>
      </c>
      <c r="K151" s="8" t="n">
        <v>1831.68</v>
      </c>
      <c r="L151" s="8" t="n">
        <v>0</v>
      </c>
      <c r="M151" s="7" t="s">
        <v>2684</v>
      </c>
      <c r="N151" s="20" t="n">
        <v>45982</v>
      </c>
      <c r="O151" s="20"/>
      <c r="P151" s="16" t="n">
        <v>34</v>
      </c>
      <c r="Q151" s="16" t="n">
        <v>4</v>
      </c>
    </row>
    <row r="152" customFormat="false" ht="15" hidden="false" customHeight="false" outlineLevel="0" collapsed="false">
      <c r="A152" s="8" t="n">
        <v>2408</v>
      </c>
      <c r="B152" s="7" t="s">
        <v>137</v>
      </c>
      <c r="C152" s="7" t="s">
        <v>2251</v>
      </c>
      <c r="D152" s="7" t="s">
        <v>563</v>
      </c>
      <c r="E152" s="7" t="s">
        <v>146</v>
      </c>
      <c r="F152" s="20" t="n">
        <v>45950</v>
      </c>
      <c r="G152" s="20" t="n">
        <v>45980</v>
      </c>
      <c r="H152" s="7" t="s">
        <v>265</v>
      </c>
      <c r="I152" s="7" t="s">
        <v>266</v>
      </c>
      <c r="J152" s="7" t="s">
        <v>580</v>
      </c>
      <c r="K152" s="8" t="n">
        <v>2408</v>
      </c>
      <c r="L152" s="8" t="n">
        <v>0</v>
      </c>
      <c r="M152" s="7" t="s">
        <v>2684</v>
      </c>
      <c r="N152" s="20" t="n">
        <v>45980</v>
      </c>
      <c r="O152" s="20"/>
      <c r="P152" s="16" t="n">
        <v>30</v>
      </c>
      <c r="Q152" s="16" t="n">
        <v>0</v>
      </c>
    </row>
    <row r="153" customFormat="false" ht="15" hidden="false" customHeight="false" outlineLevel="0" collapsed="false">
      <c r="A153" s="8" t="n">
        <v>2246.4</v>
      </c>
      <c r="B153" s="7" t="s">
        <v>137</v>
      </c>
      <c r="C153" s="7" t="s">
        <v>2253</v>
      </c>
      <c r="D153" s="7" t="s">
        <v>563</v>
      </c>
      <c r="E153" s="7" t="s">
        <v>146</v>
      </c>
      <c r="F153" s="20" t="n">
        <v>45950</v>
      </c>
      <c r="G153" s="20" t="n">
        <v>45980</v>
      </c>
      <c r="H153" s="7" t="s">
        <v>254</v>
      </c>
      <c r="I153" s="7" t="s">
        <v>255</v>
      </c>
      <c r="J153" s="7" t="s">
        <v>581</v>
      </c>
      <c r="K153" s="8" t="n">
        <v>2246.4</v>
      </c>
      <c r="L153" s="8" t="n">
        <v>0</v>
      </c>
      <c r="M153" s="7" t="s">
        <v>2684</v>
      </c>
      <c r="N153" s="20" t="n">
        <v>45980</v>
      </c>
      <c r="O153" s="20"/>
      <c r="P153" s="16" t="n">
        <v>30</v>
      </c>
      <c r="Q153" s="16" t="n">
        <v>0</v>
      </c>
    </row>
    <row r="154" customFormat="false" ht="15" hidden="false" customHeight="false" outlineLevel="0" collapsed="false">
      <c r="A154" s="8" t="n">
        <v>435.2</v>
      </c>
      <c r="B154" s="7" t="s">
        <v>137</v>
      </c>
      <c r="C154" s="7" t="s">
        <v>2255</v>
      </c>
      <c r="D154" s="7" t="s">
        <v>563</v>
      </c>
      <c r="E154" s="7" t="s">
        <v>146</v>
      </c>
      <c r="F154" s="20" t="n">
        <v>45950</v>
      </c>
      <c r="G154" s="20" t="n">
        <v>45980</v>
      </c>
      <c r="H154" s="7" t="s">
        <v>267</v>
      </c>
      <c r="I154" s="7" t="s">
        <v>268</v>
      </c>
      <c r="J154" s="7" t="s">
        <v>582</v>
      </c>
      <c r="K154" s="8" t="n">
        <v>435.2</v>
      </c>
      <c r="L154" s="8" t="n">
        <v>0</v>
      </c>
      <c r="M154" s="7" t="s">
        <v>2684</v>
      </c>
      <c r="N154" s="20" t="n">
        <v>45980</v>
      </c>
      <c r="O154" s="20"/>
      <c r="P154" s="16" t="n">
        <v>30</v>
      </c>
      <c r="Q154" s="16" t="n">
        <v>0</v>
      </c>
    </row>
    <row r="155" customFormat="false" ht="15" hidden="false" customHeight="false" outlineLevel="0" collapsed="false">
      <c r="A155" s="8" t="n">
        <v>6701.4</v>
      </c>
      <c r="B155" s="7" t="s">
        <v>137</v>
      </c>
      <c r="C155" s="7" t="s">
        <v>2260</v>
      </c>
      <c r="D155" s="7" t="s">
        <v>563</v>
      </c>
      <c r="E155" s="7" t="s">
        <v>149</v>
      </c>
      <c r="F155" s="20" t="n">
        <v>45955</v>
      </c>
      <c r="G155" s="20" t="n">
        <v>45985</v>
      </c>
      <c r="H155" s="7" t="s">
        <v>267</v>
      </c>
      <c r="I155" s="7" t="s">
        <v>268</v>
      </c>
      <c r="J155" s="7" t="s">
        <v>2259</v>
      </c>
      <c r="K155" s="8" t="n">
        <v>6701.4</v>
      </c>
      <c r="L155" s="8" t="n">
        <v>0</v>
      </c>
      <c r="M155" s="7" t="s">
        <v>2684</v>
      </c>
      <c r="N155" s="20" t="n">
        <v>45985</v>
      </c>
      <c r="O155" s="20"/>
      <c r="P155" s="16" t="n">
        <v>30</v>
      </c>
      <c r="Q155" s="16" t="n">
        <v>0</v>
      </c>
    </row>
    <row r="156" customFormat="false" ht="15" hidden="false" customHeight="false" outlineLevel="0" collapsed="false">
      <c r="A156" s="8" t="n">
        <v>824.58</v>
      </c>
      <c r="B156" s="7" t="s">
        <v>137</v>
      </c>
      <c r="C156" s="7" t="s">
        <v>2262</v>
      </c>
      <c r="D156" s="7" t="s">
        <v>563</v>
      </c>
      <c r="E156" s="7" t="s">
        <v>149</v>
      </c>
      <c r="F156" s="20" t="n">
        <v>45955</v>
      </c>
      <c r="G156" s="20" t="n">
        <v>45985</v>
      </c>
      <c r="H156" s="7" t="s">
        <v>267</v>
      </c>
      <c r="I156" s="7" t="s">
        <v>268</v>
      </c>
      <c r="J156" s="7" t="s">
        <v>597</v>
      </c>
      <c r="K156" s="8" t="n">
        <v>824.58</v>
      </c>
      <c r="L156" s="8" t="n">
        <v>0</v>
      </c>
      <c r="M156" s="7" t="s">
        <v>2684</v>
      </c>
      <c r="N156" s="20" t="n">
        <v>45985</v>
      </c>
      <c r="O156" s="20"/>
      <c r="P156" s="16" t="n">
        <v>30</v>
      </c>
      <c r="Q156" s="16" t="n">
        <v>0</v>
      </c>
    </row>
    <row r="157" customFormat="false" ht="15" hidden="false" customHeight="false" outlineLevel="0" collapsed="false">
      <c r="A157" s="8" t="n">
        <v>1299.38</v>
      </c>
      <c r="B157" s="7" t="s">
        <v>137</v>
      </c>
      <c r="C157" s="7" t="s">
        <v>2266</v>
      </c>
      <c r="D157" s="7" t="s">
        <v>563</v>
      </c>
      <c r="E157" s="7" t="s">
        <v>141</v>
      </c>
      <c r="F157" s="20" t="n">
        <v>45956</v>
      </c>
      <c r="G157" s="20" t="n">
        <v>45986</v>
      </c>
      <c r="H157" s="7" t="s">
        <v>260</v>
      </c>
      <c r="I157" s="7" t="s">
        <v>261</v>
      </c>
      <c r="J157" s="7" t="s">
        <v>2265</v>
      </c>
      <c r="K157" s="8" t="n">
        <v>1299.38</v>
      </c>
      <c r="L157" s="8" t="n">
        <v>0</v>
      </c>
      <c r="M157" s="7" t="s">
        <v>2684</v>
      </c>
      <c r="N157" s="20" t="n">
        <v>45986</v>
      </c>
      <c r="O157" s="20"/>
      <c r="P157" s="16" t="n">
        <v>30</v>
      </c>
      <c r="Q157" s="16" t="n">
        <v>0</v>
      </c>
    </row>
    <row r="158" customFormat="false" ht="15" hidden="false" customHeight="false" outlineLevel="0" collapsed="false">
      <c r="A158" s="8" t="n">
        <v>6012.9</v>
      </c>
      <c r="B158" s="7" t="s">
        <v>137</v>
      </c>
      <c r="C158" s="7" t="s">
        <v>2287</v>
      </c>
      <c r="D158" s="7" t="s">
        <v>563</v>
      </c>
      <c r="E158" s="7" t="s">
        <v>149</v>
      </c>
      <c r="F158" s="20" t="n">
        <v>45970</v>
      </c>
      <c r="G158" s="20" t="n">
        <v>46000</v>
      </c>
      <c r="H158" s="7" t="s">
        <v>267</v>
      </c>
      <c r="I158" s="7" t="s">
        <v>268</v>
      </c>
      <c r="J158" s="7" t="s">
        <v>2286</v>
      </c>
      <c r="K158" s="8" t="n">
        <v>6012.9</v>
      </c>
      <c r="L158" s="8" t="n">
        <v>0</v>
      </c>
      <c r="M158" s="7" t="s">
        <v>2684</v>
      </c>
      <c r="N158" s="20" t="n">
        <v>46000</v>
      </c>
      <c r="O158" s="20"/>
      <c r="P158" s="16" t="n">
        <v>30</v>
      </c>
      <c r="Q158" s="16" t="n">
        <v>0</v>
      </c>
    </row>
    <row r="159" customFormat="false" ht="15" hidden="false" customHeight="false" outlineLevel="0" collapsed="false">
      <c r="A159" s="8" t="n">
        <v>2653.84</v>
      </c>
      <c r="B159" s="7" t="s">
        <v>137</v>
      </c>
      <c r="C159" s="7" t="s">
        <v>2289</v>
      </c>
      <c r="D159" s="7" t="s">
        <v>563</v>
      </c>
      <c r="E159" s="7" t="s">
        <v>149</v>
      </c>
      <c r="F159" s="20" t="n">
        <v>45970</v>
      </c>
      <c r="G159" s="20" t="n">
        <v>46000</v>
      </c>
      <c r="H159" s="7" t="s">
        <v>267</v>
      </c>
      <c r="I159" s="7" t="s">
        <v>268</v>
      </c>
      <c r="J159" s="7" t="s">
        <v>618</v>
      </c>
      <c r="K159" s="8" t="n">
        <v>2653.84</v>
      </c>
      <c r="L159" s="8" t="n">
        <v>0</v>
      </c>
      <c r="M159" s="7" t="s">
        <v>2684</v>
      </c>
      <c r="N159" s="20" t="n">
        <v>46000</v>
      </c>
      <c r="O159" s="20"/>
      <c r="P159" s="16" t="n">
        <v>30</v>
      </c>
      <c r="Q159" s="16" t="n">
        <v>0</v>
      </c>
    </row>
    <row r="160" customFormat="false" ht="15" hidden="false" customHeight="false" outlineLevel="0" collapsed="false">
      <c r="A160" s="8" t="n">
        <v>7200</v>
      </c>
      <c r="B160" s="7" t="s">
        <v>137</v>
      </c>
      <c r="C160" s="7" t="s">
        <v>2302</v>
      </c>
      <c r="D160" s="7" t="s">
        <v>1259</v>
      </c>
      <c r="E160" s="7" t="s">
        <v>136</v>
      </c>
      <c r="F160" s="20" t="n">
        <v>45975</v>
      </c>
      <c r="G160" s="20" t="n">
        <v>46035</v>
      </c>
      <c r="H160" s="7" t="s">
        <v>289</v>
      </c>
      <c r="I160" s="7" t="s">
        <v>290</v>
      </c>
      <c r="J160" s="7" t="s">
        <v>2301</v>
      </c>
      <c r="K160" s="8" t="n">
        <v>7200</v>
      </c>
      <c r="L160" s="8" t="n">
        <v>0</v>
      </c>
      <c r="M160" s="7" t="s">
        <v>2684</v>
      </c>
      <c r="N160" s="20" t="n">
        <v>46045</v>
      </c>
      <c r="O160" s="20"/>
      <c r="P160" s="16" t="n">
        <v>70</v>
      </c>
      <c r="Q160" s="16" t="n">
        <v>10</v>
      </c>
    </row>
    <row r="161" customFormat="false" ht="15" hidden="false" customHeight="false" outlineLevel="0" collapsed="false">
      <c r="A161" s="8" t="n">
        <v>1796.12</v>
      </c>
      <c r="B161" s="7" t="s">
        <v>137</v>
      </c>
      <c r="C161" s="7" t="s">
        <v>2299</v>
      </c>
      <c r="D161" s="7" t="s">
        <v>538</v>
      </c>
      <c r="E161" s="7" t="s">
        <v>153</v>
      </c>
      <c r="F161" s="20" t="n">
        <v>45975</v>
      </c>
      <c r="G161" s="20" t="n">
        <v>46005</v>
      </c>
      <c r="H161" s="7" t="s">
        <v>260</v>
      </c>
      <c r="I161" s="7" t="s">
        <v>261</v>
      </c>
      <c r="J161" s="7" t="s">
        <v>623</v>
      </c>
      <c r="K161" s="8" t="n">
        <v>1796.12</v>
      </c>
      <c r="L161" s="8" t="n">
        <v>0</v>
      </c>
      <c r="M161" s="7" t="s">
        <v>2684</v>
      </c>
      <c r="N161" s="20" t="n">
        <v>46006</v>
      </c>
      <c r="O161" s="20"/>
      <c r="P161" s="16" t="n">
        <v>31</v>
      </c>
      <c r="Q161" s="16" t="n">
        <v>1</v>
      </c>
    </row>
    <row r="162" customFormat="false" ht="15" hidden="false" customHeight="false" outlineLevel="0" collapsed="false">
      <c r="A162" s="8" t="n">
        <v>7102.27</v>
      </c>
      <c r="B162" s="7" t="s">
        <v>137</v>
      </c>
      <c r="C162" s="7" t="s">
        <v>2327</v>
      </c>
      <c r="D162" s="7" t="s">
        <v>1278</v>
      </c>
      <c r="E162" s="7" t="s">
        <v>136</v>
      </c>
      <c r="F162" s="20" t="n">
        <v>46009</v>
      </c>
      <c r="G162" s="20" t="n">
        <v>46054</v>
      </c>
      <c r="H162" s="7" t="s">
        <v>289</v>
      </c>
      <c r="I162" s="7" t="s">
        <v>296</v>
      </c>
      <c r="J162" s="7" t="s">
        <v>2326</v>
      </c>
      <c r="K162" s="8" t="n">
        <v>7102.27</v>
      </c>
      <c r="L162" s="8" t="n">
        <v>0</v>
      </c>
      <c r="M162" s="7" t="s">
        <v>2684</v>
      </c>
      <c r="N162" s="20" t="n">
        <v>46055</v>
      </c>
      <c r="O162" s="20"/>
      <c r="P162" s="16" t="n">
        <v>46</v>
      </c>
      <c r="Q162" s="16" t="n">
        <v>1</v>
      </c>
    </row>
    <row r="163" customFormat="false" ht="15" hidden="false" customHeight="false" outlineLevel="0" collapsed="false">
      <c r="A163" s="8" t="n">
        <v>1464.96</v>
      </c>
      <c r="B163" s="7" t="s">
        <v>137</v>
      </c>
      <c r="C163" s="7" t="s">
        <v>2370</v>
      </c>
      <c r="D163" s="7" t="s">
        <v>589</v>
      </c>
      <c r="E163" s="7" t="s">
        <v>136</v>
      </c>
      <c r="F163" s="20" t="n">
        <v>46042</v>
      </c>
      <c r="G163" s="20" t="n">
        <v>46072</v>
      </c>
      <c r="H163" s="7" t="s">
        <v>222</v>
      </c>
      <c r="I163" s="7" t="s">
        <v>223</v>
      </c>
      <c r="J163" s="7" t="s">
        <v>800</v>
      </c>
      <c r="K163" s="8" t="n">
        <v>1464.96</v>
      </c>
      <c r="L163" s="8" t="n">
        <v>0</v>
      </c>
      <c r="M163" s="7" t="s">
        <v>2684</v>
      </c>
      <c r="N163" s="20" t="n">
        <v>46076</v>
      </c>
      <c r="O163" s="20"/>
      <c r="P163" s="16" t="n">
        <v>34</v>
      </c>
      <c r="Q163" s="16" t="n">
        <v>4</v>
      </c>
    </row>
    <row r="164" customFormat="false" ht="15" hidden="false" customHeight="false" outlineLevel="0" collapsed="false">
      <c r="A164" s="8" t="n">
        <v>3968</v>
      </c>
      <c r="B164" s="7" t="s">
        <v>137</v>
      </c>
      <c r="C164" s="7" t="s">
        <v>2404</v>
      </c>
      <c r="D164" s="7" t="s">
        <v>563</v>
      </c>
      <c r="E164" s="7" t="s">
        <v>146</v>
      </c>
      <c r="F164" s="20" t="n">
        <v>46083</v>
      </c>
      <c r="G164" s="20" t="n">
        <v>46113</v>
      </c>
      <c r="H164" s="7" t="s">
        <v>254</v>
      </c>
      <c r="I164" s="7" t="s">
        <v>255</v>
      </c>
      <c r="J164" s="7" t="s">
        <v>825</v>
      </c>
      <c r="K164" s="8" t="n">
        <v>3968</v>
      </c>
      <c r="L164" s="8" t="n">
        <v>0</v>
      </c>
      <c r="M164" s="7" t="s">
        <v>2684</v>
      </c>
      <c r="N164" s="20" t="n">
        <v>46113</v>
      </c>
      <c r="O164" s="20"/>
      <c r="P164" s="16" t="n">
        <v>30</v>
      </c>
      <c r="Q164" s="16" t="n">
        <v>0</v>
      </c>
    </row>
    <row r="165" customFormat="false" ht="15" hidden="false" customHeight="false" outlineLevel="0" collapsed="false">
      <c r="A165" s="8" t="n">
        <v>2511.36</v>
      </c>
      <c r="B165" s="7" t="s">
        <v>137</v>
      </c>
      <c r="C165" s="7" t="s">
        <v>2406</v>
      </c>
      <c r="D165" s="7" t="s">
        <v>589</v>
      </c>
      <c r="E165" s="7" t="s">
        <v>136</v>
      </c>
      <c r="F165" s="20" t="n">
        <v>46087</v>
      </c>
      <c r="G165" s="20" t="n">
        <v>46117</v>
      </c>
      <c r="H165" s="7" t="s">
        <v>222</v>
      </c>
      <c r="I165" s="7" t="s">
        <v>223</v>
      </c>
      <c r="J165" s="7" t="s">
        <v>828</v>
      </c>
      <c r="K165" s="8" t="n">
        <v>2511.36</v>
      </c>
      <c r="L165" s="8" t="n">
        <v>0</v>
      </c>
      <c r="M165" s="7" t="s">
        <v>2684</v>
      </c>
      <c r="N165" s="20" t="n">
        <v>46121</v>
      </c>
      <c r="O165" s="20"/>
      <c r="P165" s="16" t="n">
        <v>34</v>
      </c>
      <c r="Q165" s="16" t="n">
        <v>4</v>
      </c>
    </row>
    <row r="166" customFormat="false" ht="15" hidden="false" customHeight="false" outlineLevel="0" collapsed="false">
      <c r="A166" s="8" t="n">
        <v>1461.68</v>
      </c>
      <c r="B166" s="7" t="s">
        <v>137</v>
      </c>
      <c r="C166" s="7" t="s">
        <v>2422</v>
      </c>
      <c r="D166" s="7" t="s">
        <v>538</v>
      </c>
      <c r="E166" s="7" t="s">
        <v>153</v>
      </c>
      <c r="F166" s="20" t="n">
        <v>46095</v>
      </c>
      <c r="G166" s="20" t="n">
        <v>46125</v>
      </c>
      <c r="H166" s="7" t="s">
        <v>260</v>
      </c>
      <c r="I166" s="7" t="s">
        <v>261</v>
      </c>
      <c r="J166" s="7" t="s">
        <v>623</v>
      </c>
      <c r="K166" s="8" t="n">
        <v>1461.68</v>
      </c>
      <c r="L166" s="8" t="n">
        <v>0</v>
      </c>
      <c r="M166" s="7" t="s">
        <v>2684</v>
      </c>
      <c r="N166" s="20" t="n">
        <v>46125</v>
      </c>
      <c r="O166" s="20"/>
      <c r="P166" s="16" t="n">
        <v>30</v>
      </c>
      <c r="Q166" s="16" t="n">
        <v>0</v>
      </c>
    </row>
    <row r="167" customFormat="false" ht="15" hidden="false" customHeight="false" outlineLevel="0" collapsed="false">
      <c r="A167" s="8" t="n">
        <v>1204</v>
      </c>
      <c r="B167" s="7" t="s">
        <v>137</v>
      </c>
      <c r="C167" s="7" t="s">
        <v>2432</v>
      </c>
      <c r="D167" s="7" t="s">
        <v>563</v>
      </c>
      <c r="E167" s="7" t="s">
        <v>146</v>
      </c>
      <c r="F167" s="20" t="n">
        <v>46109</v>
      </c>
      <c r="G167" s="20" t="n">
        <v>46139</v>
      </c>
      <c r="H167" s="7" t="s">
        <v>263</v>
      </c>
      <c r="I167" s="7" t="s">
        <v>264</v>
      </c>
      <c r="J167" s="7" t="s">
        <v>847</v>
      </c>
      <c r="K167" s="8" t="n">
        <v>1204</v>
      </c>
      <c r="L167" s="8" t="n">
        <v>0</v>
      </c>
      <c r="M167" s="7" t="s">
        <v>2684</v>
      </c>
      <c r="N167" s="20" t="n">
        <v>46139</v>
      </c>
      <c r="O167" s="20"/>
      <c r="P167" s="16" t="n">
        <v>30</v>
      </c>
      <c r="Q167" s="16" t="n">
        <v>0</v>
      </c>
    </row>
    <row r="168" customFormat="false" ht="15" hidden="false" customHeight="false" outlineLevel="0" collapsed="false">
      <c r="A168" s="8" t="n">
        <v>1574.36</v>
      </c>
      <c r="B168" s="7" t="s">
        <v>137</v>
      </c>
      <c r="C168" s="7" t="s">
        <v>2436</v>
      </c>
      <c r="D168" s="7" t="s">
        <v>538</v>
      </c>
      <c r="E168" s="7" t="s">
        <v>149</v>
      </c>
      <c r="F168" s="20" t="n">
        <v>46118</v>
      </c>
      <c r="G168" s="20" t="n">
        <v>46148</v>
      </c>
      <c r="H168" s="7" t="s">
        <v>260</v>
      </c>
      <c r="I168" s="7" t="s">
        <v>261</v>
      </c>
      <c r="J168" s="7" t="s">
        <v>579</v>
      </c>
      <c r="K168" s="8" t="n">
        <v>1574.36</v>
      </c>
      <c r="L168" s="8" t="n">
        <v>0</v>
      </c>
      <c r="M168" s="7" t="s">
        <v>2684</v>
      </c>
      <c r="N168" s="20" t="n">
        <v>46148</v>
      </c>
      <c r="O168" s="20"/>
      <c r="P168" s="16" t="n">
        <v>30</v>
      </c>
      <c r="Q168" s="16" t="n">
        <v>0</v>
      </c>
    </row>
    <row r="169" customFormat="false" ht="15" hidden="false" customHeight="false" outlineLevel="0" collapsed="false">
      <c r="A169" s="8" t="n">
        <v>2419.2</v>
      </c>
      <c r="B169" s="7" t="s">
        <v>137</v>
      </c>
      <c r="C169" s="7" t="s">
        <v>2438</v>
      </c>
      <c r="D169" s="7" t="s">
        <v>563</v>
      </c>
      <c r="E169" s="7" t="s">
        <v>141</v>
      </c>
      <c r="F169" s="20" t="n">
        <v>46119</v>
      </c>
      <c r="G169" s="20" t="n">
        <v>46149</v>
      </c>
      <c r="H169" s="7" t="s">
        <v>254</v>
      </c>
      <c r="I169" s="7" t="s">
        <v>255</v>
      </c>
      <c r="J169" s="7" t="s">
        <v>850</v>
      </c>
      <c r="K169" s="8" t="n">
        <v>2419.2</v>
      </c>
      <c r="L169" s="8" t="n">
        <v>0</v>
      </c>
      <c r="M169" s="7" t="s">
        <v>2684</v>
      </c>
      <c r="N169" s="20" t="n">
        <v>46149</v>
      </c>
      <c r="O169" s="20"/>
      <c r="P169" s="16" t="n">
        <v>30</v>
      </c>
      <c r="Q169" s="16" t="n">
        <v>0</v>
      </c>
    </row>
    <row r="170" customFormat="false" ht="15" hidden="false" customHeight="false" outlineLevel="0" collapsed="false">
      <c r="A170" s="8" t="n">
        <v>941.76</v>
      </c>
      <c r="B170" s="7" t="s">
        <v>137</v>
      </c>
      <c r="C170" s="7" t="s">
        <v>2448</v>
      </c>
      <c r="D170" s="7" t="s">
        <v>589</v>
      </c>
      <c r="E170" s="7" t="s">
        <v>136</v>
      </c>
      <c r="F170" s="20" t="n">
        <v>46124</v>
      </c>
      <c r="G170" s="20" t="n">
        <v>46154</v>
      </c>
      <c r="H170" s="7" t="s">
        <v>222</v>
      </c>
      <c r="I170" s="7" t="s">
        <v>223</v>
      </c>
      <c r="J170" s="7" t="s">
        <v>875</v>
      </c>
      <c r="K170" s="8" t="n">
        <v>941.76</v>
      </c>
      <c r="L170" s="8" t="n">
        <v>0</v>
      </c>
      <c r="M170" s="7" t="s">
        <v>2684</v>
      </c>
      <c r="N170" s="20" t="n">
        <v>46160</v>
      </c>
      <c r="O170" s="20"/>
      <c r="P170" s="16" t="n">
        <v>36</v>
      </c>
      <c r="Q170" s="16" t="n">
        <v>6</v>
      </c>
    </row>
    <row r="171" customFormat="false" ht="15" hidden="false" customHeight="false" outlineLevel="0" collapsed="false">
      <c r="A171" s="8" t="n">
        <v>2302.08</v>
      </c>
      <c r="B171" s="7" t="s">
        <v>137</v>
      </c>
      <c r="C171" s="7" t="s">
        <v>2446</v>
      </c>
      <c r="D171" s="7" t="s">
        <v>591</v>
      </c>
      <c r="E171" s="7" t="s">
        <v>136</v>
      </c>
      <c r="F171" s="20" t="n">
        <v>46124</v>
      </c>
      <c r="G171" s="20" t="n">
        <v>46154</v>
      </c>
      <c r="H171" s="7" t="s">
        <v>263</v>
      </c>
      <c r="I171" s="7" t="s">
        <v>264</v>
      </c>
      <c r="J171" s="7" t="s">
        <v>872</v>
      </c>
      <c r="K171" s="8" t="n">
        <v>2302.08</v>
      </c>
      <c r="L171" s="8" t="n">
        <v>0</v>
      </c>
      <c r="M171" s="7" t="s">
        <v>2684</v>
      </c>
      <c r="N171" s="20" t="n">
        <v>46160</v>
      </c>
      <c r="O171" s="20"/>
      <c r="P171" s="16" t="n">
        <v>36</v>
      </c>
      <c r="Q171" s="16" t="n">
        <v>6</v>
      </c>
    </row>
    <row r="172" customFormat="false" ht="15" hidden="false" customHeight="false" outlineLevel="0" collapsed="false">
      <c r="A172" s="8" t="n">
        <v>5456</v>
      </c>
      <c r="B172" s="7" t="s">
        <v>137</v>
      </c>
      <c r="C172" s="7" t="s">
        <v>2450</v>
      </c>
      <c r="D172" s="7" t="s">
        <v>563</v>
      </c>
      <c r="E172" s="7" t="s">
        <v>141</v>
      </c>
      <c r="F172" s="20" t="n">
        <v>46125</v>
      </c>
      <c r="G172" s="20" t="n">
        <v>46155</v>
      </c>
      <c r="H172" s="7" t="s">
        <v>254</v>
      </c>
      <c r="I172" s="7" t="s">
        <v>255</v>
      </c>
      <c r="J172" s="7" t="s">
        <v>868</v>
      </c>
      <c r="K172" s="8" t="n">
        <v>5456</v>
      </c>
      <c r="L172" s="8" t="n">
        <v>0</v>
      </c>
      <c r="M172" s="7" t="s">
        <v>2684</v>
      </c>
      <c r="N172" s="20" t="n">
        <v>46155</v>
      </c>
      <c r="O172" s="20"/>
      <c r="P172" s="16" t="n">
        <v>30</v>
      </c>
      <c r="Q172" s="16" t="n">
        <v>0</v>
      </c>
    </row>
    <row r="173" customFormat="false" ht="15" hidden="false" customHeight="false" outlineLevel="0" collapsed="false">
      <c r="A173" s="8" t="n">
        <v>6708</v>
      </c>
      <c r="B173" s="7" t="s">
        <v>137</v>
      </c>
      <c r="C173" s="7" t="s">
        <v>2457</v>
      </c>
      <c r="D173" s="7" t="s">
        <v>628</v>
      </c>
      <c r="E173" s="7" t="s">
        <v>141</v>
      </c>
      <c r="F173" s="20" t="n">
        <v>46129</v>
      </c>
      <c r="G173" s="20" t="n">
        <v>46174</v>
      </c>
      <c r="H173" s="7" t="s">
        <v>265</v>
      </c>
      <c r="I173" s="7" t="s">
        <v>266</v>
      </c>
      <c r="J173" s="7" t="s">
        <v>878</v>
      </c>
      <c r="K173" s="8" t="n">
        <v>6708</v>
      </c>
      <c r="L173" s="8" t="n">
        <v>0</v>
      </c>
      <c r="M173" s="7" t="s">
        <v>2684</v>
      </c>
      <c r="N173" s="20" t="n">
        <v>46174</v>
      </c>
      <c r="O173" s="20"/>
      <c r="P173" s="16" t="n">
        <v>45</v>
      </c>
      <c r="Q173" s="16" t="n">
        <v>0</v>
      </c>
    </row>
    <row r="174" customFormat="false" ht="15" hidden="false" customHeight="false" outlineLevel="0" collapsed="false">
      <c r="A174" s="8" t="n">
        <v>4050</v>
      </c>
      <c r="B174" s="7" t="s">
        <v>137</v>
      </c>
      <c r="C174" s="7" t="s">
        <v>2462</v>
      </c>
      <c r="D174" s="7" t="s">
        <v>563</v>
      </c>
      <c r="E174" s="7" t="s">
        <v>144</v>
      </c>
      <c r="F174" s="20" t="n">
        <v>46134</v>
      </c>
      <c r="G174" s="20" t="n">
        <v>46164</v>
      </c>
      <c r="H174" s="7" t="s">
        <v>254</v>
      </c>
      <c r="I174" s="7" t="s">
        <v>255</v>
      </c>
      <c r="J174" s="7" t="s">
        <v>850</v>
      </c>
      <c r="K174" s="8" t="n">
        <v>4050</v>
      </c>
      <c r="L174" s="8" t="n">
        <v>0</v>
      </c>
      <c r="M174" s="7" t="s">
        <v>2684</v>
      </c>
      <c r="N174" s="20" t="n">
        <v>46164</v>
      </c>
      <c r="O174" s="20"/>
      <c r="P174" s="16" t="n">
        <v>30</v>
      </c>
      <c r="Q174" s="16" t="n">
        <v>0</v>
      </c>
    </row>
    <row r="175" customFormat="false" ht="15" hidden="false" customHeight="false" outlineLevel="0" collapsed="false">
      <c r="A175" s="8" t="n">
        <v>4143.36</v>
      </c>
      <c r="B175" s="7" t="s">
        <v>137</v>
      </c>
      <c r="C175" s="7" t="s">
        <v>2465</v>
      </c>
      <c r="D175" s="7" t="s">
        <v>591</v>
      </c>
      <c r="E175" s="7" t="s">
        <v>136</v>
      </c>
      <c r="F175" s="20" t="n">
        <v>46137</v>
      </c>
      <c r="G175" s="20" t="n">
        <v>46167</v>
      </c>
      <c r="H175" s="7" t="s">
        <v>254</v>
      </c>
      <c r="I175" s="7" t="s">
        <v>255</v>
      </c>
      <c r="J175" s="7" t="s">
        <v>892</v>
      </c>
      <c r="K175" s="8" t="n">
        <v>4143.36</v>
      </c>
      <c r="L175" s="8" t="n">
        <v>0</v>
      </c>
      <c r="M175" s="7" t="s">
        <v>2684</v>
      </c>
      <c r="N175" s="20" t="n">
        <v>46171</v>
      </c>
      <c r="O175" s="20"/>
      <c r="P175" s="16" t="n">
        <v>34</v>
      </c>
      <c r="Q175" s="16" t="n">
        <v>4</v>
      </c>
    </row>
    <row r="176" customFormat="false" ht="15" hidden="false" customHeight="false" outlineLevel="0" collapsed="false">
      <c r="A176" s="8" t="n">
        <v>766.08</v>
      </c>
      <c r="B176" s="7" t="s">
        <v>137</v>
      </c>
      <c r="C176" s="7" t="s">
        <v>2468</v>
      </c>
      <c r="D176" s="7" t="s">
        <v>563</v>
      </c>
      <c r="E176" s="7" t="s">
        <v>141</v>
      </c>
      <c r="F176" s="20" t="n">
        <v>46139</v>
      </c>
      <c r="G176" s="20" t="n">
        <v>46169</v>
      </c>
      <c r="H176" s="7" t="s">
        <v>267</v>
      </c>
      <c r="I176" s="7" t="s">
        <v>268</v>
      </c>
      <c r="J176" s="7" t="s">
        <v>882</v>
      </c>
      <c r="K176" s="8" t="n">
        <v>766.08</v>
      </c>
      <c r="L176" s="8" t="n">
        <v>0</v>
      </c>
      <c r="M176" s="7" t="s">
        <v>2684</v>
      </c>
      <c r="N176" s="20" t="n">
        <v>46169</v>
      </c>
      <c r="O176" s="20"/>
      <c r="P176" s="16" t="n">
        <v>30</v>
      </c>
      <c r="Q176" s="16" t="n">
        <v>0</v>
      </c>
    </row>
    <row r="177" customFormat="false" ht="15" hidden="false" customHeight="false" outlineLevel="0" collapsed="false">
      <c r="A177" s="8" t="n">
        <v>2365</v>
      </c>
      <c r="B177" s="7" t="s">
        <v>137</v>
      </c>
      <c r="C177" s="7" t="s">
        <v>2470</v>
      </c>
      <c r="D177" s="7" t="s">
        <v>563</v>
      </c>
      <c r="E177" s="7" t="s">
        <v>141</v>
      </c>
      <c r="F177" s="20" t="n">
        <v>46141</v>
      </c>
      <c r="G177" s="20" t="n">
        <v>46171</v>
      </c>
      <c r="H177" s="7" t="s">
        <v>263</v>
      </c>
      <c r="I177" s="7" t="s">
        <v>264</v>
      </c>
      <c r="J177" s="7" t="s">
        <v>885</v>
      </c>
      <c r="K177" s="8" t="n">
        <v>2365</v>
      </c>
      <c r="L177" s="8" t="n">
        <v>0</v>
      </c>
      <c r="M177" s="7" t="s">
        <v>2684</v>
      </c>
      <c r="N177" s="20" t="n">
        <v>46171</v>
      </c>
      <c r="O177" s="20"/>
      <c r="P177" s="16" t="n">
        <v>30</v>
      </c>
      <c r="Q177" s="16" t="n">
        <v>0</v>
      </c>
    </row>
    <row r="178" customFormat="false" ht="15" hidden="false" customHeight="false" outlineLevel="0" collapsed="false">
      <c r="A178" s="8" t="n">
        <v>897.75</v>
      </c>
      <c r="B178" s="7" t="s">
        <v>137</v>
      </c>
      <c r="C178" s="7" t="s">
        <v>2481</v>
      </c>
      <c r="D178" s="7" t="s">
        <v>563</v>
      </c>
      <c r="E178" s="7" t="s">
        <v>144</v>
      </c>
      <c r="F178" s="20" t="n">
        <v>46154</v>
      </c>
      <c r="G178" s="20" t="n">
        <v>46184</v>
      </c>
      <c r="H178" s="7" t="s">
        <v>267</v>
      </c>
      <c r="I178" s="7" t="s">
        <v>268</v>
      </c>
      <c r="J178" s="7" t="s">
        <v>1397</v>
      </c>
      <c r="K178" s="8" t="n">
        <v>897.75</v>
      </c>
      <c r="L178" s="8" t="n">
        <v>0</v>
      </c>
      <c r="M178" s="7" t="s">
        <v>2684</v>
      </c>
      <c r="N178" s="20" t="n">
        <v>46184</v>
      </c>
      <c r="O178" s="20"/>
      <c r="P178" s="16" t="n">
        <v>30</v>
      </c>
      <c r="Q178" s="16" t="n">
        <v>0</v>
      </c>
    </row>
    <row r="179" customFormat="false" ht="15" hidden="false" customHeight="false" outlineLevel="0" collapsed="false">
      <c r="A179" s="8" t="n">
        <v>3547.5</v>
      </c>
      <c r="B179" s="7" t="s">
        <v>137</v>
      </c>
      <c r="C179" s="7" t="s">
        <v>2483</v>
      </c>
      <c r="D179" s="7" t="s">
        <v>563</v>
      </c>
      <c r="E179" s="7" t="s">
        <v>144</v>
      </c>
      <c r="F179" s="20" t="n">
        <v>46156</v>
      </c>
      <c r="G179" s="20" t="n">
        <v>46186</v>
      </c>
      <c r="H179" s="7" t="s">
        <v>263</v>
      </c>
      <c r="I179" s="7" t="s">
        <v>264</v>
      </c>
      <c r="J179" s="7" t="s">
        <v>885</v>
      </c>
      <c r="K179" s="8" t="n">
        <v>3547.5</v>
      </c>
      <c r="L179" s="8" t="n">
        <v>0</v>
      </c>
      <c r="M179" s="7" t="s">
        <v>2684</v>
      </c>
      <c r="N179" s="20" t="n">
        <v>46188</v>
      </c>
      <c r="O179" s="20"/>
      <c r="P179" s="16" t="n">
        <v>32</v>
      </c>
      <c r="Q179" s="16" t="n">
        <v>2</v>
      </c>
    </row>
    <row r="180" customFormat="false" ht="15" hidden="false" customHeight="false" outlineLevel="0" collapsed="false">
      <c r="A180" s="8" t="n">
        <v>2511.36</v>
      </c>
      <c r="B180" s="7" t="s">
        <v>137</v>
      </c>
      <c r="C180" s="7" t="s">
        <v>2494</v>
      </c>
      <c r="D180" s="7" t="s">
        <v>589</v>
      </c>
      <c r="E180" s="7" t="s">
        <v>136</v>
      </c>
      <c r="F180" s="20" t="n">
        <v>46160</v>
      </c>
      <c r="G180" s="20" t="n">
        <v>46190</v>
      </c>
      <c r="H180" s="7" t="s">
        <v>222</v>
      </c>
      <c r="I180" s="7" t="s">
        <v>223</v>
      </c>
      <c r="J180" s="7" t="s">
        <v>915</v>
      </c>
      <c r="K180" s="8" t="n">
        <v>2511.36</v>
      </c>
      <c r="L180" s="8" t="n">
        <v>0</v>
      </c>
      <c r="M180" s="7" t="s">
        <v>2684</v>
      </c>
      <c r="N180" s="20" t="n">
        <v>46195</v>
      </c>
      <c r="O180" s="20"/>
      <c r="P180" s="16" t="n">
        <v>35</v>
      </c>
      <c r="Q180" s="16" t="n">
        <v>5</v>
      </c>
    </row>
    <row r="181" customFormat="false" ht="15" hidden="false" customHeight="false" outlineLevel="0" collapsed="false">
      <c r="A181" s="8" t="n">
        <v>8580.48</v>
      </c>
      <c r="B181" s="7" t="s">
        <v>137</v>
      </c>
      <c r="C181" s="7" t="s">
        <v>2492</v>
      </c>
      <c r="D181" s="7" t="s">
        <v>591</v>
      </c>
      <c r="E181" s="7" t="s">
        <v>136</v>
      </c>
      <c r="F181" s="20" t="n">
        <v>46160</v>
      </c>
      <c r="G181" s="20" t="n">
        <v>46190</v>
      </c>
      <c r="H181" s="7" t="s">
        <v>265</v>
      </c>
      <c r="I181" s="7" t="s">
        <v>266</v>
      </c>
      <c r="J181" s="7" t="s">
        <v>912</v>
      </c>
      <c r="K181" s="8" t="n">
        <v>8580.48</v>
      </c>
      <c r="L181" s="8" t="n">
        <v>0</v>
      </c>
      <c r="M181" s="7" t="s">
        <v>2684</v>
      </c>
      <c r="N181" s="20" t="n">
        <v>46195</v>
      </c>
      <c r="O181" s="20"/>
      <c r="P181" s="16" t="n">
        <v>35</v>
      </c>
      <c r="Q181" s="16" t="n">
        <v>5</v>
      </c>
    </row>
    <row r="182" customFormat="false" ht="15" hidden="false" customHeight="false" outlineLevel="0" collapsed="false">
      <c r="A182" s="8" t="n">
        <v>1883.52</v>
      </c>
      <c r="B182" s="7" t="s">
        <v>137</v>
      </c>
      <c r="C182" s="7" t="s">
        <v>2496</v>
      </c>
      <c r="D182" s="7" t="s">
        <v>591</v>
      </c>
      <c r="E182" s="7" t="s">
        <v>136</v>
      </c>
      <c r="F182" s="20" t="n">
        <v>46162</v>
      </c>
      <c r="G182" s="20" t="n">
        <v>46192</v>
      </c>
      <c r="H182" s="7" t="s">
        <v>263</v>
      </c>
      <c r="I182" s="7" t="s">
        <v>264</v>
      </c>
      <c r="J182" s="7" t="s">
        <v>918</v>
      </c>
      <c r="K182" s="8" t="n">
        <v>1883.52</v>
      </c>
      <c r="L182" s="8" t="n">
        <v>0</v>
      </c>
      <c r="M182" s="7" t="s">
        <v>2684</v>
      </c>
      <c r="N182" s="20" t="n">
        <v>46196</v>
      </c>
      <c r="O182" s="20"/>
      <c r="P182" s="16" t="n">
        <v>34</v>
      </c>
      <c r="Q182" s="16" t="n">
        <v>4</v>
      </c>
    </row>
    <row r="183" customFormat="false" ht="15" hidden="false" customHeight="false" outlineLevel="0" collapsed="false">
      <c r="A183" s="8" t="n">
        <v>6723.2</v>
      </c>
      <c r="B183" s="7" t="s">
        <v>137</v>
      </c>
      <c r="C183" s="7" t="s">
        <v>2500</v>
      </c>
      <c r="D183" s="7" t="s">
        <v>538</v>
      </c>
      <c r="E183" s="7" t="s">
        <v>149</v>
      </c>
      <c r="F183" s="20" t="n">
        <v>46169</v>
      </c>
      <c r="G183" s="20" t="n">
        <v>46199</v>
      </c>
      <c r="H183" s="7" t="s">
        <v>260</v>
      </c>
      <c r="I183" s="7" t="s">
        <v>261</v>
      </c>
      <c r="J183" s="7" t="s">
        <v>2499</v>
      </c>
      <c r="K183" s="8" t="n">
        <v>6723.2</v>
      </c>
      <c r="L183" s="8" t="n">
        <v>0</v>
      </c>
      <c r="M183" s="7" t="s">
        <v>2684</v>
      </c>
      <c r="N183" s="20" t="n">
        <v>46204</v>
      </c>
      <c r="O183" s="20"/>
      <c r="P183" s="16" t="n">
        <v>35</v>
      </c>
      <c r="Q183" s="16" t="n">
        <v>5</v>
      </c>
    </row>
    <row r="184" customFormat="false" ht="15" hidden="false" customHeight="false" outlineLevel="0" collapsed="false">
      <c r="A184" s="8" t="n">
        <v>916.8</v>
      </c>
      <c r="B184" s="7" t="s">
        <v>137</v>
      </c>
      <c r="C184" s="7" t="s">
        <v>2503</v>
      </c>
      <c r="D184" s="7" t="s">
        <v>538</v>
      </c>
      <c r="E184" s="7" t="s">
        <v>141</v>
      </c>
      <c r="F184" s="20" t="n">
        <v>46169</v>
      </c>
      <c r="G184" s="20" t="n">
        <v>46199</v>
      </c>
      <c r="H184" s="7" t="s">
        <v>260</v>
      </c>
      <c r="I184" s="7" t="s">
        <v>261</v>
      </c>
      <c r="J184" s="7" t="s">
        <v>2502</v>
      </c>
      <c r="K184" s="8" t="n">
        <v>916.8</v>
      </c>
      <c r="L184" s="8" t="n">
        <v>0</v>
      </c>
      <c r="M184" s="7" t="s">
        <v>2684</v>
      </c>
      <c r="N184" s="20" t="n">
        <v>46204</v>
      </c>
      <c r="O184" s="20"/>
      <c r="P184" s="16" t="n">
        <v>35</v>
      </c>
      <c r="Q184" s="16" t="n">
        <v>5</v>
      </c>
    </row>
    <row r="185" customFormat="false" ht="15" hidden="false" customHeight="false" outlineLevel="0" collapsed="false">
      <c r="A185" s="8" t="n">
        <v>1935</v>
      </c>
      <c r="B185" s="7" t="s">
        <v>137</v>
      </c>
      <c r="C185" s="7" t="s">
        <v>2511</v>
      </c>
      <c r="D185" s="7" t="s">
        <v>563</v>
      </c>
      <c r="E185" s="7" t="s">
        <v>141</v>
      </c>
      <c r="F185" s="20" t="n">
        <v>46179</v>
      </c>
      <c r="G185" s="20" t="n">
        <v>46209</v>
      </c>
      <c r="H185" s="7" t="s">
        <v>263</v>
      </c>
      <c r="I185" s="7" t="s">
        <v>264</v>
      </c>
      <c r="J185" s="7" t="s">
        <v>927</v>
      </c>
      <c r="K185" s="8" t="n">
        <v>1935</v>
      </c>
      <c r="L185" s="8" t="n">
        <v>0</v>
      </c>
      <c r="M185" s="7" t="s">
        <v>2684</v>
      </c>
      <c r="N185" s="20" t="n">
        <v>46209</v>
      </c>
      <c r="O185" s="20"/>
      <c r="P185" s="16" t="n">
        <v>30</v>
      </c>
      <c r="Q185" s="16" t="n">
        <v>0</v>
      </c>
    </row>
    <row r="186" customFormat="false" ht="15" hidden="false" customHeight="false" outlineLevel="0" collapsed="false">
      <c r="A186" s="8" t="n">
        <v>4798.08</v>
      </c>
      <c r="B186" s="7" t="s">
        <v>137</v>
      </c>
      <c r="C186" s="7" t="s">
        <v>2513</v>
      </c>
      <c r="D186" s="7" t="s">
        <v>538</v>
      </c>
      <c r="E186" s="7" t="s">
        <v>149</v>
      </c>
      <c r="F186" s="20" t="n">
        <v>46179</v>
      </c>
      <c r="G186" s="20" t="n">
        <v>46209</v>
      </c>
      <c r="H186" s="7" t="s">
        <v>260</v>
      </c>
      <c r="I186" s="7" t="s">
        <v>261</v>
      </c>
      <c r="J186" s="7" t="s">
        <v>936</v>
      </c>
      <c r="K186" s="8" t="n">
        <v>4798.08</v>
      </c>
      <c r="L186" s="8" t="n">
        <v>0</v>
      </c>
      <c r="M186" s="7" t="s">
        <v>2684</v>
      </c>
      <c r="N186" s="20" t="n">
        <v>46209</v>
      </c>
      <c r="O186" s="20"/>
      <c r="P186" s="16" t="n">
        <v>30</v>
      </c>
      <c r="Q186" s="16" t="n">
        <v>0</v>
      </c>
    </row>
    <row r="187" customFormat="false" ht="15" hidden="false" customHeight="false" outlineLevel="0" collapsed="false">
      <c r="A187" s="8" t="n">
        <v>2902.5</v>
      </c>
      <c r="B187" s="7" t="s">
        <v>137</v>
      </c>
      <c r="C187" s="7" t="s">
        <v>2532</v>
      </c>
      <c r="D187" s="7" t="s">
        <v>563</v>
      </c>
      <c r="E187" s="7" t="s">
        <v>144</v>
      </c>
      <c r="F187" s="20" t="n">
        <v>46194</v>
      </c>
      <c r="G187" s="20" t="n">
        <v>46224</v>
      </c>
      <c r="H187" s="7" t="s">
        <v>263</v>
      </c>
      <c r="I187" s="7" t="s">
        <v>264</v>
      </c>
      <c r="J187" s="7" t="s">
        <v>927</v>
      </c>
      <c r="K187" s="8" t="n">
        <v>2902.5</v>
      </c>
      <c r="L187" s="8" t="n">
        <v>0</v>
      </c>
      <c r="M187" s="7" t="s">
        <v>2684</v>
      </c>
      <c r="N187" s="20" t="n">
        <v>46224</v>
      </c>
      <c r="O187" s="20"/>
      <c r="P187" s="16" t="n">
        <v>30</v>
      </c>
      <c r="Q187" s="16" t="n">
        <v>0</v>
      </c>
    </row>
    <row r="188" customFormat="false" ht="15" hidden="false" customHeight="false" outlineLevel="0" collapsed="false">
      <c r="A188" s="8" t="n">
        <v>635.36</v>
      </c>
      <c r="B188" s="7" t="s">
        <v>137</v>
      </c>
      <c r="C188" s="7" t="s">
        <v>2535</v>
      </c>
      <c r="D188" s="7" t="s">
        <v>563</v>
      </c>
      <c r="E188" s="7" t="s">
        <v>146</v>
      </c>
      <c r="F188" s="20" t="n">
        <v>46195</v>
      </c>
      <c r="G188" s="20" t="n">
        <v>46225</v>
      </c>
      <c r="H188" s="7" t="s">
        <v>267</v>
      </c>
      <c r="I188" s="7" t="s">
        <v>268</v>
      </c>
      <c r="J188" s="7" t="s">
        <v>978</v>
      </c>
      <c r="K188" s="8" t="n">
        <v>635.36</v>
      </c>
      <c r="L188" s="8" t="n">
        <v>0</v>
      </c>
      <c r="M188" s="7" t="s">
        <v>2684</v>
      </c>
      <c r="N188" s="20" t="n">
        <v>46225</v>
      </c>
      <c r="O188" s="20"/>
      <c r="P188" s="16" t="n">
        <v>30</v>
      </c>
      <c r="Q188" s="16" t="n">
        <v>0</v>
      </c>
    </row>
    <row r="189" customFormat="false" ht="15" hidden="false" customHeight="false" outlineLevel="0" collapsed="false">
      <c r="A189" s="8" t="n">
        <v>941.76</v>
      </c>
      <c r="B189" s="7" t="s">
        <v>137</v>
      </c>
      <c r="C189" s="7" t="s">
        <v>2539</v>
      </c>
      <c r="D189" s="7" t="s">
        <v>589</v>
      </c>
      <c r="E189" s="7" t="s">
        <v>136</v>
      </c>
      <c r="F189" s="20" t="n">
        <v>46197</v>
      </c>
      <c r="G189" s="20" t="n">
        <v>46227</v>
      </c>
      <c r="H189" s="7" t="s">
        <v>222</v>
      </c>
      <c r="I189" s="7" t="s">
        <v>223</v>
      </c>
      <c r="J189" s="7" t="s">
        <v>964</v>
      </c>
      <c r="K189" s="8" t="n">
        <v>941.76</v>
      </c>
      <c r="L189" s="8" t="n">
        <v>0</v>
      </c>
      <c r="M189" s="7" t="s">
        <v>2684</v>
      </c>
      <c r="N189" s="20" t="n">
        <v>46231</v>
      </c>
      <c r="O189" s="20"/>
      <c r="P189" s="16" t="n">
        <v>34</v>
      </c>
      <c r="Q189" s="16" t="n">
        <v>4</v>
      </c>
    </row>
    <row r="190" customFormat="false" ht="15" hidden="false" customHeight="false" outlineLevel="0" collapsed="false">
      <c r="A190" s="8" t="n">
        <v>1464.96</v>
      </c>
      <c r="B190" s="7" t="s">
        <v>137</v>
      </c>
      <c r="C190" s="7" t="s">
        <v>2537</v>
      </c>
      <c r="D190" s="7" t="s">
        <v>591</v>
      </c>
      <c r="E190" s="7" t="s">
        <v>136</v>
      </c>
      <c r="F190" s="20" t="n">
        <v>46197</v>
      </c>
      <c r="G190" s="20" t="n">
        <v>46227</v>
      </c>
      <c r="H190" s="7" t="s">
        <v>263</v>
      </c>
      <c r="I190" s="7" t="s">
        <v>264</v>
      </c>
      <c r="J190" s="7" t="s">
        <v>961</v>
      </c>
      <c r="K190" s="8" t="n">
        <v>1464.96</v>
      </c>
      <c r="L190" s="8" t="n">
        <v>0</v>
      </c>
      <c r="M190" s="7" t="s">
        <v>2684</v>
      </c>
      <c r="N190" s="20" t="n">
        <v>46231</v>
      </c>
      <c r="O190" s="20"/>
      <c r="P190" s="16" t="n">
        <v>34</v>
      </c>
      <c r="Q190" s="16" t="n">
        <v>4</v>
      </c>
    </row>
    <row r="191" customFormat="false" ht="15" hidden="false" customHeight="false" outlineLevel="0" collapsed="false">
      <c r="A191" s="8" t="n">
        <v>1395.2</v>
      </c>
      <c r="B191" s="7" t="s">
        <v>137</v>
      </c>
      <c r="C191" s="7" t="s">
        <v>2554</v>
      </c>
      <c r="D191" s="7" t="s">
        <v>538</v>
      </c>
      <c r="E191" s="7" t="s">
        <v>146</v>
      </c>
      <c r="F191" s="20" t="n">
        <v>46200</v>
      </c>
      <c r="G191" s="20" t="n">
        <v>46230</v>
      </c>
      <c r="H191" s="7" t="s">
        <v>260</v>
      </c>
      <c r="I191" s="7" t="s">
        <v>261</v>
      </c>
      <c r="J191" s="7" t="s">
        <v>1006</v>
      </c>
      <c r="K191" s="8" t="n">
        <v>1395.2</v>
      </c>
      <c r="L191" s="8" t="n">
        <v>0</v>
      </c>
      <c r="M191" s="7" t="s">
        <v>2684</v>
      </c>
      <c r="N191" s="20" t="n">
        <v>46230</v>
      </c>
      <c r="O191" s="20"/>
      <c r="P191" s="16" t="n">
        <v>30</v>
      </c>
      <c r="Q191" s="16" t="n">
        <v>0</v>
      </c>
    </row>
    <row r="192" customFormat="false" ht="15" hidden="false" customHeight="false" outlineLevel="0" collapsed="false">
      <c r="A192" s="8" t="n">
        <v>6463.8</v>
      </c>
      <c r="B192" s="7" t="s">
        <v>137</v>
      </c>
      <c r="C192" s="7" t="s">
        <v>2580</v>
      </c>
      <c r="D192" s="7" t="s">
        <v>563</v>
      </c>
      <c r="E192" s="7" t="s">
        <v>149</v>
      </c>
      <c r="F192" s="20" t="n">
        <v>46209</v>
      </c>
      <c r="G192" s="20" t="n">
        <v>46239</v>
      </c>
      <c r="H192" s="7" t="s">
        <v>267</v>
      </c>
      <c r="I192" s="7" t="s">
        <v>268</v>
      </c>
      <c r="J192" s="7" t="s">
        <v>2579</v>
      </c>
      <c r="K192" s="8" t="n">
        <v>6463.8</v>
      </c>
      <c r="L192" s="8" t="n">
        <v>0</v>
      </c>
      <c r="M192" s="7" t="s">
        <v>2684</v>
      </c>
      <c r="N192" s="20" t="n">
        <v>46239</v>
      </c>
      <c r="O192" s="20"/>
      <c r="P192" s="16" t="n">
        <v>30</v>
      </c>
      <c r="Q192" s="16" t="n">
        <v>0</v>
      </c>
    </row>
    <row r="193" customFormat="false" ht="15" hidden="false" customHeight="false" outlineLevel="0" collapsed="false">
      <c r="A193" s="8" t="n">
        <v>605.15</v>
      </c>
      <c r="B193" s="7" t="s">
        <v>137</v>
      </c>
      <c r="C193" s="7" t="s">
        <v>2582</v>
      </c>
      <c r="D193" s="7" t="s">
        <v>563</v>
      </c>
      <c r="E193" s="7" t="s">
        <v>149</v>
      </c>
      <c r="F193" s="20" t="n">
        <v>46209</v>
      </c>
      <c r="G193" s="20" t="n">
        <v>46239</v>
      </c>
      <c r="H193" s="7" t="s">
        <v>267</v>
      </c>
      <c r="I193" s="7" t="s">
        <v>268</v>
      </c>
      <c r="J193" s="7" t="s">
        <v>1025</v>
      </c>
      <c r="K193" s="8" t="n">
        <v>605.15</v>
      </c>
      <c r="L193" s="8" t="n">
        <v>0</v>
      </c>
      <c r="M193" s="7" t="s">
        <v>2684</v>
      </c>
      <c r="N193" s="20" t="n">
        <v>46239</v>
      </c>
      <c r="O193" s="20"/>
      <c r="P193" s="16" t="n">
        <v>30</v>
      </c>
      <c r="Q193" s="16" t="n">
        <v>0</v>
      </c>
    </row>
    <row r="194" customFormat="false" ht="15" hidden="false" customHeight="false" outlineLevel="0" collapsed="false">
      <c r="A194" s="8" t="n">
        <v>5170</v>
      </c>
      <c r="B194" s="7" t="s">
        <v>137</v>
      </c>
      <c r="C194" s="7" t="s">
        <v>2610</v>
      </c>
      <c r="D194" s="7" t="s">
        <v>547</v>
      </c>
      <c r="E194" s="7" t="s">
        <v>144</v>
      </c>
      <c r="F194" s="20" t="n">
        <v>46221</v>
      </c>
      <c r="G194" s="20" t="n">
        <v>46236</v>
      </c>
      <c r="H194" s="7" t="s">
        <v>275</v>
      </c>
      <c r="I194" s="7" t="s">
        <v>276</v>
      </c>
      <c r="J194" s="7" t="s">
        <v>2609</v>
      </c>
      <c r="K194" s="8" t="n">
        <v>5170</v>
      </c>
      <c r="L194" s="8" t="n">
        <v>0</v>
      </c>
      <c r="M194" s="7" t="s">
        <v>2684</v>
      </c>
      <c r="N194" s="20" t="n">
        <v>46237</v>
      </c>
      <c r="O194" s="20"/>
      <c r="P194" s="16" t="n">
        <v>16</v>
      </c>
      <c r="Q194" s="16" t="n">
        <v>1</v>
      </c>
    </row>
    <row r="195" customFormat="false" ht="15" hidden="false" customHeight="false" outlineLevel="0" collapsed="false">
      <c r="A195" s="8" t="n">
        <v>2956.25</v>
      </c>
      <c r="B195" s="7" t="s">
        <v>137</v>
      </c>
      <c r="C195" s="7" t="s">
        <v>2612</v>
      </c>
      <c r="D195" s="7" t="s">
        <v>563</v>
      </c>
      <c r="E195" s="7" t="s">
        <v>144</v>
      </c>
      <c r="F195" s="20" t="n">
        <v>46225</v>
      </c>
      <c r="G195" s="20" t="n">
        <v>46255</v>
      </c>
      <c r="H195" s="7" t="s">
        <v>263</v>
      </c>
      <c r="I195" s="7" t="s">
        <v>264</v>
      </c>
      <c r="J195" s="7" t="s">
        <v>1044</v>
      </c>
      <c r="K195" s="8" t="n">
        <v>2956.25</v>
      </c>
      <c r="L195" s="8" t="n">
        <v>0</v>
      </c>
      <c r="M195" s="7" t="s">
        <v>2684</v>
      </c>
      <c r="N195" s="20" t="n">
        <v>46255</v>
      </c>
      <c r="O195" s="20"/>
      <c r="P195" s="16" t="n">
        <v>30</v>
      </c>
      <c r="Q195" s="16" t="n">
        <v>0</v>
      </c>
    </row>
    <row r="196" customFormat="false" ht="15" hidden="false" customHeight="false" outlineLevel="0" collapsed="false">
      <c r="A196" s="8" t="n">
        <v>941.76</v>
      </c>
      <c r="B196" s="7" t="s">
        <v>137</v>
      </c>
      <c r="C196" s="7" t="s">
        <v>2616</v>
      </c>
      <c r="D196" s="7" t="s">
        <v>589</v>
      </c>
      <c r="E196" s="7" t="s">
        <v>136</v>
      </c>
      <c r="F196" s="20" t="n">
        <v>46225</v>
      </c>
      <c r="G196" s="20" t="n">
        <v>46255</v>
      </c>
      <c r="H196" s="7" t="s">
        <v>222</v>
      </c>
      <c r="I196" s="7" t="s">
        <v>223</v>
      </c>
      <c r="J196" s="7" t="s">
        <v>1528</v>
      </c>
      <c r="K196" s="8" t="n">
        <v>941.76</v>
      </c>
      <c r="L196" s="8" t="n">
        <v>0</v>
      </c>
      <c r="M196" s="7" t="s">
        <v>2684</v>
      </c>
      <c r="N196" s="20" t="n">
        <v>46259</v>
      </c>
      <c r="O196" s="20"/>
      <c r="P196" s="16" t="n">
        <v>34</v>
      </c>
      <c r="Q196" s="16" t="n">
        <v>4</v>
      </c>
    </row>
    <row r="197" customFormat="false" ht="15" hidden="false" customHeight="false" outlineLevel="0" collapsed="false">
      <c r="A197" s="8" t="n">
        <v>1464.96</v>
      </c>
      <c r="B197" s="7" t="s">
        <v>137</v>
      </c>
      <c r="C197" s="7" t="s">
        <v>2614</v>
      </c>
      <c r="D197" s="7" t="s">
        <v>591</v>
      </c>
      <c r="E197" s="7" t="s">
        <v>136</v>
      </c>
      <c r="F197" s="20" t="n">
        <v>46225</v>
      </c>
      <c r="G197" s="20" t="n">
        <v>46255</v>
      </c>
      <c r="H197" s="7" t="s">
        <v>263</v>
      </c>
      <c r="I197" s="7" t="s">
        <v>264</v>
      </c>
      <c r="J197" s="7" t="s">
        <v>1525</v>
      </c>
      <c r="K197" s="8" t="n">
        <v>1464.96</v>
      </c>
      <c r="L197" s="8" t="n">
        <v>0</v>
      </c>
      <c r="M197" s="7" t="s">
        <v>2684</v>
      </c>
      <c r="N197" s="20" t="n">
        <v>46259</v>
      </c>
      <c r="O197" s="20"/>
      <c r="P197" s="16" t="n">
        <v>34</v>
      </c>
      <c r="Q197" s="16" t="n">
        <v>4</v>
      </c>
    </row>
    <row r="198" customFormat="false" ht="15" hidden="false" customHeight="false" outlineLevel="0" collapsed="false">
      <c r="A198" s="8" t="n">
        <v>5170</v>
      </c>
      <c r="B198" s="7" t="s">
        <v>137</v>
      </c>
      <c r="C198" s="7" t="s">
        <v>2636</v>
      </c>
      <c r="D198" s="7" t="s">
        <v>547</v>
      </c>
      <c r="E198" s="7" t="s">
        <v>144</v>
      </c>
      <c r="F198" s="20" t="n">
        <v>46252</v>
      </c>
      <c r="G198" s="20" t="n">
        <v>46267</v>
      </c>
      <c r="H198" s="7" t="s">
        <v>275</v>
      </c>
      <c r="I198" s="7" t="s">
        <v>276</v>
      </c>
      <c r="J198" s="7" t="s">
        <v>2609</v>
      </c>
      <c r="K198" s="8" t="n">
        <v>5170</v>
      </c>
      <c r="L198" s="8" t="n">
        <v>0</v>
      </c>
      <c r="M198" s="7" t="s">
        <v>2684</v>
      </c>
      <c r="N198" s="20" t="n">
        <v>46267</v>
      </c>
      <c r="O198" s="20"/>
      <c r="P198" s="16" t="n">
        <v>15</v>
      </c>
      <c r="Q198" s="16" t="n">
        <v>0</v>
      </c>
    </row>
    <row r="199" customFormat="false" ht="15" hidden="false" customHeight="false" outlineLevel="0" collapsed="false">
      <c r="A199" s="8" t="n">
        <v>6646.08</v>
      </c>
      <c r="B199" s="7" t="s">
        <v>137</v>
      </c>
      <c r="C199" s="7" t="s">
        <v>2645</v>
      </c>
      <c r="D199" s="7" t="s">
        <v>538</v>
      </c>
      <c r="E199" s="7" t="s">
        <v>149</v>
      </c>
      <c r="F199" s="20" t="n">
        <v>46267</v>
      </c>
      <c r="G199" s="20" t="n">
        <v>46297</v>
      </c>
      <c r="H199" s="7" t="s">
        <v>260</v>
      </c>
      <c r="I199" s="7" t="s">
        <v>261</v>
      </c>
      <c r="J199" s="7" t="s">
        <v>539</v>
      </c>
      <c r="K199" s="8" t="n">
        <v>0</v>
      </c>
      <c r="L199" s="8" t="n">
        <v>6646.08</v>
      </c>
      <c r="M199" s="7" t="s">
        <v>2685</v>
      </c>
      <c r="N199" s="20"/>
      <c r="O199" s="20" t="n">
        <v>46297</v>
      </c>
      <c r="P199" s="16" t="n">
        <v>28</v>
      </c>
      <c r="Q199" s="16" t="n">
        <v>0</v>
      </c>
    </row>
    <row r="200" customFormat="false" ht="15" hidden="false" customHeight="false" outlineLevel="0" collapsed="false">
      <c r="A200" s="8" t="n">
        <v>6246.24</v>
      </c>
      <c r="B200" s="7" t="s">
        <v>137</v>
      </c>
      <c r="C200" s="7" t="s">
        <v>2658</v>
      </c>
      <c r="D200" s="7" t="s">
        <v>538</v>
      </c>
      <c r="E200" s="7" t="s">
        <v>149</v>
      </c>
      <c r="F200" s="20" t="n">
        <v>46281</v>
      </c>
      <c r="G200" s="20" t="n">
        <v>46311</v>
      </c>
      <c r="H200" s="7" t="s">
        <v>260</v>
      </c>
      <c r="I200" s="7" t="s">
        <v>261</v>
      </c>
      <c r="J200" s="7" t="s">
        <v>553</v>
      </c>
      <c r="K200" s="8" t="n">
        <v>0</v>
      </c>
      <c r="L200" s="8" t="n">
        <v>6246.24</v>
      </c>
      <c r="M200" s="7" t="s">
        <v>2685</v>
      </c>
      <c r="N200" s="20"/>
      <c r="O200" s="20" t="n">
        <v>46311</v>
      </c>
      <c r="P200" s="16" t="n">
        <v>14</v>
      </c>
      <c r="Q200" s="16" t="n">
        <v>0</v>
      </c>
    </row>
    <row r="201" customFormat="false" ht="15" hidden="false" customHeight="false" outlineLevel="0" collapsed="false">
      <c r="A201" s="8" t="n">
        <v>936.32</v>
      </c>
      <c r="B201" s="7" t="s">
        <v>137</v>
      </c>
      <c r="C201" s="7" t="s">
        <v>2665</v>
      </c>
      <c r="D201" s="7" t="s">
        <v>563</v>
      </c>
      <c r="E201" s="7" t="s">
        <v>141</v>
      </c>
      <c r="F201" s="20" t="n">
        <v>46287</v>
      </c>
      <c r="G201" s="20" t="n">
        <v>46317</v>
      </c>
      <c r="H201" s="7" t="s">
        <v>267</v>
      </c>
      <c r="I201" s="7" t="s">
        <v>268</v>
      </c>
      <c r="J201" s="7" t="s">
        <v>564</v>
      </c>
      <c r="K201" s="8" t="n">
        <v>0</v>
      </c>
      <c r="L201" s="8" t="n">
        <v>936.32</v>
      </c>
      <c r="M201" s="7" t="s">
        <v>2685</v>
      </c>
      <c r="N201" s="20"/>
      <c r="O201" s="20" t="n">
        <v>46317</v>
      </c>
      <c r="P201" s="16" t="n">
        <v>8</v>
      </c>
      <c r="Q201" s="16" t="n">
        <v>0</v>
      </c>
    </row>
    <row r="202" customFormat="false" ht="15" hidden="false" customHeight="false" outlineLevel="0" collapsed="false">
      <c r="A202" s="8" t="n">
        <v>2092.8</v>
      </c>
      <c r="B202" s="7" t="s">
        <v>137</v>
      </c>
      <c r="C202" s="7" t="s">
        <v>2671</v>
      </c>
      <c r="D202" s="7" t="s">
        <v>538</v>
      </c>
      <c r="E202" s="7" t="s">
        <v>141</v>
      </c>
      <c r="F202" s="20" t="n">
        <v>46292</v>
      </c>
      <c r="G202" s="20" t="n">
        <v>46322</v>
      </c>
      <c r="H202" s="7" t="s">
        <v>260</v>
      </c>
      <c r="I202" s="7" t="s">
        <v>261</v>
      </c>
      <c r="J202" s="7" t="s">
        <v>565</v>
      </c>
      <c r="K202" s="8" t="n">
        <v>0</v>
      </c>
      <c r="L202" s="8" t="n">
        <v>2092.8</v>
      </c>
      <c r="M202" s="7" t="s">
        <v>2685</v>
      </c>
      <c r="N202" s="20"/>
      <c r="O202" s="20" t="n">
        <v>46322</v>
      </c>
      <c r="P202" s="16" t="n">
        <v>3</v>
      </c>
      <c r="Q202" s="16" t="n">
        <v>0</v>
      </c>
    </row>
  </sheetData>
  <autoFilter ref="A1:Q2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10"/>
    <col collapsed="false" customWidth="true" hidden="false" outlineLevel="0" max="19" min="19" style="0" width="16"/>
    <col collapsed="false" customWidth="true" hidden="false" outlineLevel="0" max="20" min="20" style="0" width="11"/>
    <col collapsed="false" customWidth="true" hidden="false" outlineLevel="0" max="21" min="21" style="0" width="37"/>
  </cols>
  <sheetData>
    <row r="1" customFormat="false" ht="15" hidden="false" customHeight="false" outlineLevel="0" collapsed="false">
      <c r="A1" s="11" t="s">
        <v>131</v>
      </c>
      <c r="B1" s="11" t="s">
        <v>671</v>
      </c>
      <c r="C1" s="11" t="s">
        <v>130</v>
      </c>
      <c r="D1" s="11" t="s">
        <v>672</v>
      </c>
      <c r="E1" s="11" t="s">
        <v>2690</v>
      </c>
      <c r="F1" s="11" t="s">
        <v>673</v>
      </c>
      <c r="G1" s="11" t="s">
        <v>159</v>
      </c>
      <c r="H1" s="11" t="s">
        <v>2691</v>
      </c>
      <c r="I1" s="11" t="s">
        <v>2692</v>
      </c>
      <c r="J1" s="11" t="s">
        <v>2693</v>
      </c>
      <c r="K1" s="11" t="s">
        <v>2694</v>
      </c>
      <c r="L1" s="11" t="s">
        <v>2695</v>
      </c>
      <c r="M1" s="11" t="s">
        <v>2696</v>
      </c>
      <c r="N1" s="11" t="s">
        <v>675</v>
      </c>
      <c r="O1" s="11" t="s">
        <v>2697</v>
      </c>
      <c r="P1" s="11" t="s">
        <v>2698</v>
      </c>
      <c r="Q1" s="11" t="s">
        <v>2699</v>
      </c>
      <c r="R1" s="11" t="s">
        <v>2700</v>
      </c>
      <c r="S1" s="11" t="s">
        <v>2701</v>
      </c>
      <c r="T1" s="11" t="s">
        <v>197</v>
      </c>
      <c r="U1" s="11" t="s">
        <v>697</v>
      </c>
    </row>
    <row r="2" customFormat="false" ht="15" hidden="false" customHeight="false" outlineLevel="0" collapsed="false">
      <c r="A2" s="7" t="s">
        <v>137</v>
      </c>
      <c r="B2" s="7" t="s">
        <v>698</v>
      </c>
      <c r="C2" s="7" t="s">
        <v>146</v>
      </c>
      <c r="D2" s="7" t="s">
        <v>699</v>
      </c>
      <c r="E2" s="7" t="s">
        <v>2702</v>
      </c>
      <c r="F2" s="16" t="n">
        <v>2023</v>
      </c>
      <c r="G2" s="16" t="n">
        <v>80</v>
      </c>
      <c r="H2" s="24" t="b">
        <f aca="false">FALSE()</f>
        <v>0</v>
      </c>
      <c r="I2" s="20" t="n">
        <v>44840</v>
      </c>
      <c r="J2" s="20" t="n">
        <v>45103</v>
      </c>
      <c r="K2" s="20" t="n">
        <v>45106</v>
      </c>
      <c r="L2" s="16" t="n">
        <v>46</v>
      </c>
      <c r="M2" s="16" t="n">
        <v>31</v>
      </c>
      <c r="N2" s="7" t="s">
        <v>700</v>
      </c>
      <c r="O2" s="16" t="n">
        <v>2480</v>
      </c>
      <c r="P2" s="22" t="n">
        <v>8.1</v>
      </c>
      <c r="Q2" s="22" t="n">
        <v>7.42</v>
      </c>
      <c r="R2" s="16" t="n">
        <v>2480</v>
      </c>
      <c r="S2" s="16" t="n">
        <v>0</v>
      </c>
      <c r="T2" s="8" t="n">
        <v>18411.52</v>
      </c>
      <c r="U2" s="7" t="s">
        <v>701</v>
      </c>
    </row>
    <row r="3" customFormat="false" ht="15" hidden="false" customHeight="false" outlineLevel="0" collapsed="false">
      <c r="A3" s="7" t="s">
        <v>137</v>
      </c>
      <c r="B3" s="7" t="s">
        <v>702</v>
      </c>
      <c r="C3" s="7" t="s">
        <v>141</v>
      </c>
      <c r="D3" s="7" t="s">
        <v>703</v>
      </c>
      <c r="E3" s="7" t="s">
        <v>2703</v>
      </c>
      <c r="F3" s="16" t="n">
        <v>2023</v>
      </c>
      <c r="G3" s="16" t="n">
        <v>80</v>
      </c>
      <c r="H3" s="24" t="b">
        <f aca="false">FALSE()</f>
        <v>0</v>
      </c>
      <c r="I3" s="20" t="n">
        <v>45040</v>
      </c>
      <c r="J3" s="20" t="n">
        <v>45183</v>
      </c>
      <c r="K3" s="20" t="n">
        <v>45186</v>
      </c>
      <c r="L3" s="16" t="n">
        <v>105</v>
      </c>
      <c r="M3" s="16" t="n">
        <v>74</v>
      </c>
      <c r="N3" s="7" t="s">
        <v>700</v>
      </c>
      <c r="O3" s="16" t="n">
        <v>5920</v>
      </c>
      <c r="P3" s="22" t="n">
        <v>5.6</v>
      </c>
      <c r="Q3" s="22" t="n">
        <v>4.72</v>
      </c>
      <c r="R3" s="16" t="n">
        <v>5920</v>
      </c>
      <c r="S3" s="16" t="n">
        <v>0</v>
      </c>
      <c r="T3" s="8" t="n">
        <v>27942.4</v>
      </c>
      <c r="U3" s="7" t="s">
        <v>701</v>
      </c>
    </row>
    <row r="4" customFormat="false" ht="15" hidden="false" customHeight="false" outlineLevel="0" collapsed="false">
      <c r="A4" s="7" t="s">
        <v>137</v>
      </c>
      <c r="B4" s="7" t="s">
        <v>704</v>
      </c>
      <c r="C4" s="7" t="s">
        <v>141</v>
      </c>
      <c r="D4" s="7" t="s">
        <v>703</v>
      </c>
      <c r="E4" s="7" t="s">
        <v>2704</v>
      </c>
      <c r="F4" s="16" t="n">
        <v>2023</v>
      </c>
      <c r="G4" s="16" t="n">
        <v>125</v>
      </c>
      <c r="H4" s="24" t="b">
        <f aca="false">TRUE()</f>
        <v>1</v>
      </c>
      <c r="I4" s="20" t="n">
        <v>45035</v>
      </c>
      <c r="J4" s="20" t="n">
        <v>45208</v>
      </c>
      <c r="K4" s="20" t="n">
        <v>45214</v>
      </c>
      <c r="L4" s="16" t="n">
        <v>215</v>
      </c>
      <c r="M4" s="16" t="n">
        <v>207</v>
      </c>
      <c r="N4" s="7" t="s">
        <v>700</v>
      </c>
      <c r="O4" s="16" t="n">
        <v>25875</v>
      </c>
      <c r="P4" s="22" t="n">
        <v>5.6</v>
      </c>
      <c r="Q4" s="22" t="n">
        <v>4.41</v>
      </c>
      <c r="R4" s="16" t="n">
        <v>25875</v>
      </c>
      <c r="S4" s="16" t="n">
        <v>0</v>
      </c>
      <c r="T4" s="8" t="n">
        <v>113992.31</v>
      </c>
      <c r="U4" s="7" t="s">
        <v>701</v>
      </c>
    </row>
    <row r="5" customFormat="false" ht="15" hidden="false" customHeight="false" outlineLevel="0" collapsed="false">
      <c r="A5" s="7" t="s">
        <v>137</v>
      </c>
      <c r="B5" s="7" t="s">
        <v>705</v>
      </c>
      <c r="C5" s="7" t="s">
        <v>146</v>
      </c>
      <c r="D5" s="7" t="s">
        <v>699</v>
      </c>
      <c r="E5" s="7" t="s">
        <v>2703</v>
      </c>
      <c r="F5" s="16" t="n">
        <v>2024</v>
      </c>
      <c r="G5" s="16" t="n">
        <v>80</v>
      </c>
      <c r="H5" s="24" t="b">
        <f aca="false">FALSE()</f>
        <v>0</v>
      </c>
      <c r="I5" s="20" t="n">
        <v>45201</v>
      </c>
      <c r="J5" s="20" t="n">
        <v>45467</v>
      </c>
      <c r="K5" s="20" t="n">
        <v>45470</v>
      </c>
      <c r="L5" s="16" t="n">
        <v>46</v>
      </c>
      <c r="M5" s="16" t="n">
        <v>46</v>
      </c>
      <c r="N5" s="7" t="s">
        <v>700</v>
      </c>
      <c r="O5" s="16" t="n">
        <v>3680</v>
      </c>
      <c r="P5" s="22" t="n">
        <v>6.2</v>
      </c>
      <c r="Q5" s="22" t="n">
        <v>5.41</v>
      </c>
      <c r="R5" s="16" t="n">
        <v>3680</v>
      </c>
      <c r="S5" s="16" t="n">
        <v>0</v>
      </c>
      <c r="T5" s="8" t="n">
        <v>19894.08</v>
      </c>
      <c r="U5" s="7" t="s">
        <v>701</v>
      </c>
    </row>
    <row r="6" customFormat="false" ht="15" hidden="false" customHeight="false" outlineLevel="0" collapsed="false">
      <c r="A6" s="7" t="s">
        <v>137</v>
      </c>
      <c r="B6" s="7" t="s">
        <v>706</v>
      </c>
      <c r="C6" s="7" t="s">
        <v>144</v>
      </c>
      <c r="D6" s="7" t="s">
        <v>707</v>
      </c>
      <c r="E6" s="7" t="s">
        <v>2704</v>
      </c>
      <c r="F6" s="16" t="n">
        <v>2024</v>
      </c>
      <c r="G6" s="16" t="n">
        <v>125</v>
      </c>
      <c r="H6" s="24" t="b">
        <f aca="false">TRUE()</f>
        <v>1</v>
      </c>
      <c r="I6" s="20" t="n">
        <v>45426</v>
      </c>
      <c r="J6" s="20" t="n">
        <v>45568</v>
      </c>
      <c r="K6" s="20" t="n">
        <v>45574</v>
      </c>
      <c r="L6" s="16" t="n">
        <v>62</v>
      </c>
      <c r="M6" s="16" t="n">
        <v>64</v>
      </c>
      <c r="N6" s="7" t="s">
        <v>700</v>
      </c>
      <c r="O6" s="16" t="n">
        <v>8000</v>
      </c>
      <c r="P6" s="22" t="n">
        <v>11.4</v>
      </c>
      <c r="Q6" s="22" t="n">
        <v>9.83</v>
      </c>
      <c r="R6" s="16" t="n">
        <v>8000</v>
      </c>
      <c r="S6" s="16" t="n">
        <v>0</v>
      </c>
      <c r="T6" s="8" t="n">
        <v>78640</v>
      </c>
      <c r="U6" s="7" t="s">
        <v>701</v>
      </c>
    </row>
    <row r="7" customFormat="false" ht="15" hidden="false" customHeight="false" outlineLevel="0" collapsed="false">
      <c r="A7" s="7" t="s">
        <v>137</v>
      </c>
      <c r="B7" s="7" t="s">
        <v>708</v>
      </c>
      <c r="C7" s="7" t="s">
        <v>144</v>
      </c>
      <c r="D7" s="7" t="s">
        <v>707</v>
      </c>
      <c r="E7" s="7" t="s">
        <v>2702</v>
      </c>
      <c r="F7" s="16" t="n">
        <v>2024</v>
      </c>
      <c r="G7" s="16" t="n">
        <v>80</v>
      </c>
      <c r="H7" s="24" t="b">
        <f aca="false">FALSE()</f>
        <v>0</v>
      </c>
      <c r="I7" s="20" t="n">
        <v>45432</v>
      </c>
      <c r="J7" s="20" t="n">
        <v>45575</v>
      </c>
      <c r="K7" s="20" t="n">
        <v>45578</v>
      </c>
      <c r="L7" s="16" t="n">
        <v>38</v>
      </c>
      <c r="M7" s="16" t="n">
        <v>36</v>
      </c>
      <c r="N7" s="7" t="s">
        <v>700</v>
      </c>
      <c r="O7" s="16" t="n">
        <v>2880</v>
      </c>
      <c r="P7" s="22" t="n">
        <v>11.4</v>
      </c>
      <c r="Q7" s="22" t="n">
        <v>9.73</v>
      </c>
      <c r="R7" s="16" t="n">
        <v>2880</v>
      </c>
      <c r="S7" s="16" t="n">
        <v>0</v>
      </c>
      <c r="T7" s="8" t="n">
        <v>28022.4</v>
      </c>
      <c r="U7" s="7" t="s">
        <v>701</v>
      </c>
    </row>
    <row r="8" customFormat="false" ht="15" hidden="false" customHeight="false" outlineLevel="0" collapsed="false">
      <c r="A8" s="7" t="s">
        <v>137</v>
      </c>
      <c r="B8" s="7" t="s">
        <v>709</v>
      </c>
      <c r="C8" s="7" t="s">
        <v>146</v>
      </c>
      <c r="D8" s="7" t="s">
        <v>699</v>
      </c>
      <c r="E8" s="7" t="s">
        <v>2702</v>
      </c>
      <c r="F8" s="16" t="n">
        <v>2025</v>
      </c>
      <c r="G8" s="16" t="n">
        <v>80</v>
      </c>
      <c r="H8" s="24" t="b">
        <f aca="false">FALSE()</f>
        <v>0</v>
      </c>
      <c r="I8" s="20" t="n">
        <v>45583</v>
      </c>
      <c r="J8" s="20" t="n">
        <v>45831</v>
      </c>
      <c r="K8" s="20" t="n">
        <v>45834</v>
      </c>
      <c r="L8" s="16" t="n">
        <v>46</v>
      </c>
      <c r="M8" s="16" t="n">
        <v>53</v>
      </c>
      <c r="N8" s="7" t="s">
        <v>700</v>
      </c>
      <c r="O8" s="16" t="n">
        <v>4240</v>
      </c>
      <c r="P8" s="22" t="n">
        <v>5.4</v>
      </c>
      <c r="Q8" s="22" t="n">
        <v>5.03</v>
      </c>
      <c r="R8" s="16" t="n">
        <v>4240</v>
      </c>
      <c r="S8" s="16" t="n">
        <v>0</v>
      </c>
      <c r="T8" s="8" t="n">
        <v>21306</v>
      </c>
      <c r="U8" s="7" t="s">
        <v>701</v>
      </c>
    </row>
    <row r="9" customFormat="false" ht="15" hidden="false" customHeight="false" outlineLevel="0" collapsed="false">
      <c r="A9" s="7" t="s">
        <v>137</v>
      </c>
      <c r="B9" s="7" t="s">
        <v>710</v>
      </c>
      <c r="C9" s="7" t="s">
        <v>141</v>
      </c>
      <c r="D9" s="7" t="s">
        <v>703</v>
      </c>
      <c r="E9" s="7" t="s">
        <v>2704</v>
      </c>
      <c r="F9" s="16" t="n">
        <v>2025</v>
      </c>
      <c r="G9" s="16" t="n">
        <v>125</v>
      </c>
      <c r="H9" s="24" t="b">
        <f aca="false">TRUE()</f>
        <v>1</v>
      </c>
      <c r="I9" s="20" t="n">
        <v>45768</v>
      </c>
      <c r="J9" s="20" t="n">
        <v>45936</v>
      </c>
      <c r="K9" s="20" t="n">
        <v>45942</v>
      </c>
      <c r="L9" s="16" t="n">
        <v>215</v>
      </c>
      <c r="M9" s="16" t="n">
        <v>231</v>
      </c>
      <c r="N9" s="7" t="s">
        <v>700</v>
      </c>
      <c r="O9" s="16" t="n">
        <v>28875</v>
      </c>
      <c r="P9" s="22" t="n">
        <v>4.2</v>
      </c>
      <c r="Q9" s="22" t="n">
        <v>4.12</v>
      </c>
      <c r="R9" s="16" t="n">
        <v>28874</v>
      </c>
      <c r="S9" s="16" t="n">
        <v>1</v>
      </c>
      <c r="T9" s="8" t="n">
        <v>119033.02</v>
      </c>
      <c r="U9" s="7" t="s">
        <v>701</v>
      </c>
    </row>
    <row r="10" customFormat="false" ht="15" hidden="false" customHeight="false" outlineLevel="0" collapsed="false">
      <c r="A10" s="7" t="s">
        <v>137</v>
      </c>
      <c r="B10" s="7" t="s">
        <v>711</v>
      </c>
      <c r="C10" s="7" t="s">
        <v>144</v>
      </c>
      <c r="D10" s="7" t="s">
        <v>707</v>
      </c>
      <c r="E10" s="7" t="s">
        <v>2703</v>
      </c>
      <c r="F10" s="16" t="n">
        <v>2025</v>
      </c>
      <c r="G10" s="16" t="n">
        <v>80</v>
      </c>
      <c r="H10" s="24" t="b">
        <f aca="false">FALSE()</f>
        <v>0</v>
      </c>
      <c r="I10" s="20" t="n">
        <v>45796</v>
      </c>
      <c r="J10" s="20" t="n">
        <v>45943</v>
      </c>
      <c r="K10" s="20" t="n">
        <v>45946</v>
      </c>
      <c r="L10" s="16" t="n">
        <v>38</v>
      </c>
      <c r="M10" s="16" t="n">
        <v>42</v>
      </c>
      <c r="N10" s="7" t="s">
        <v>700</v>
      </c>
      <c r="O10" s="16" t="n">
        <v>3360</v>
      </c>
      <c r="P10" s="22" t="n">
        <v>10.1</v>
      </c>
      <c r="Q10" s="22" t="n">
        <v>10.18</v>
      </c>
      <c r="R10" s="16" t="n">
        <v>3360</v>
      </c>
      <c r="S10" s="16" t="n">
        <v>0</v>
      </c>
      <c r="T10" s="8" t="n">
        <v>34188</v>
      </c>
      <c r="U10" s="7" t="s">
        <v>701</v>
      </c>
    </row>
    <row r="11" customFormat="false" ht="15" hidden="false" customHeight="false" outlineLevel="0" collapsed="false">
      <c r="A11" s="7" t="s">
        <v>137</v>
      </c>
      <c r="B11" s="7" t="s">
        <v>712</v>
      </c>
      <c r="C11" s="7" t="s">
        <v>146</v>
      </c>
      <c r="D11" s="7" t="s">
        <v>699</v>
      </c>
      <c r="E11" s="7" t="s">
        <v>2703</v>
      </c>
      <c r="F11" s="16" t="n">
        <v>2026</v>
      </c>
      <c r="G11" s="16" t="n">
        <v>80</v>
      </c>
      <c r="H11" s="24" t="b">
        <f aca="false">FALSE()</f>
        <v>0</v>
      </c>
      <c r="I11" s="20" t="n">
        <v>45950</v>
      </c>
      <c r="J11" s="20" t="n">
        <v>46195</v>
      </c>
      <c r="K11" s="20" t="n">
        <v>46198</v>
      </c>
      <c r="L11" s="16" t="n">
        <v>46</v>
      </c>
      <c r="M11" s="16" t="n">
        <v>36</v>
      </c>
      <c r="N11" s="7" t="s">
        <v>700</v>
      </c>
      <c r="O11" s="16" t="n">
        <v>2880</v>
      </c>
      <c r="P11" s="22" t="n">
        <v>5.2</v>
      </c>
      <c r="Q11" s="22" t="n">
        <v>5.68</v>
      </c>
      <c r="R11" s="16" t="n">
        <v>2880</v>
      </c>
      <c r="S11" s="16" t="n">
        <v>0</v>
      </c>
      <c r="T11" s="8" t="n">
        <v>16355.52</v>
      </c>
      <c r="U11" s="7" t="s">
        <v>713</v>
      </c>
    </row>
    <row r="12" customFormat="false" ht="15" hidden="false" customHeight="false" outlineLevel="0" collapsed="false">
      <c r="A12" s="7" t="s">
        <v>137</v>
      </c>
      <c r="B12" s="7" t="s">
        <v>714</v>
      </c>
      <c r="C12" s="7" t="s">
        <v>141</v>
      </c>
      <c r="D12" s="7" t="s">
        <v>703</v>
      </c>
      <c r="E12" s="7" t="s">
        <v>2702</v>
      </c>
      <c r="F12" s="16" t="n">
        <v>2026</v>
      </c>
      <c r="G12" s="16" t="n">
        <v>80</v>
      </c>
      <c r="H12" s="24" t="b">
        <f aca="false">FALSE()</f>
        <v>0</v>
      </c>
      <c r="I12" s="20" t="n">
        <v>46139</v>
      </c>
      <c r="J12" s="20" t="n">
        <v>46287</v>
      </c>
      <c r="K12" s="20" t="n">
        <v>46290</v>
      </c>
      <c r="L12" s="16" t="n">
        <v>105</v>
      </c>
      <c r="M12" s="16" t="n">
        <v>98</v>
      </c>
      <c r="N12" s="7" t="s">
        <v>700</v>
      </c>
      <c r="O12" s="16" t="n">
        <v>7840</v>
      </c>
      <c r="P12" s="22" t="n">
        <v>4.2</v>
      </c>
      <c r="Q12" s="22" t="n">
        <v>4.05</v>
      </c>
      <c r="R12" s="16" t="n">
        <v>7840</v>
      </c>
      <c r="S12" s="16" t="n">
        <v>0</v>
      </c>
      <c r="T12" s="8" t="n">
        <v>31752</v>
      </c>
      <c r="U12" s="7" t="s">
        <v>701</v>
      </c>
    </row>
    <row r="13" customFormat="false" ht="15" hidden="false" customHeight="false" outlineLevel="0" collapsed="false">
      <c r="A13" s="7" t="s">
        <v>137</v>
      </c>
      <c r="B13" s="7" t="s">
        <v>715</v>
      </c>
      <c r="C13" s="7" t="s">
        <v>144</v>
      </c>
      <c r="D13" s="7" t="s">
        <v>707</v>
      </c>
      <c r="E13" s="7" t="s">
        <v>2704</v>
      </c>
      <c r="F13" s="16" t="n">
        <v>2026</v>
      </c>
      <c r="G13" s="16" t="n">
        <v>125</v>
      </c>
      <c r="H13" s="24" t="b">
        <f aca="false">TRUE()</f>
        <v>1</v>
      </c>
      <c r="I13" s="20" t="n">
        <v>46154</v>
      </c>
      <c r="J13" s="20" t="n">
        <v>46302</v>
      </c>
      <c r="K13" s="20" t="n">
        <v>46308</v>
      </c>
      <c r="L13" s="16" t="n">
        <v>62</v>
      </c>
      <c r="M13" s="16" t="n">
        <v>62</v>
      </c>
      <c r="N13" s="7" t="s">
        <v>700</v>
      </c>
      <c r="O13" s="16" t="n">
        <v>7750</v>
      </c>
      <c r="P13" s="22" t="n">
        <v>10.3</v>
      </c>
      <c r="Q13" s="22" t="n">
        <v>10.36</v>
      </c>
      <c r="R13" s="16" t="n">
        <v>7750</v>
      </c>
      <c r="S13" s="16" t="n">
        <v>0</v>
      </c>
      <c r="T13" s="8" t="n">
        <v>80305.58</v>
      </c>
      <c r="U13" s="7" t="s">
        <v>716</v>
      </c>
    </row>
    <row r="14" customFormat="false" ht="15" hidden="false" customHeight="false" outlineLevel="0" collapsed="false">
      <c r="A14" s="7" t="s">
        <v>137</v>
      </c>
      <c r="B14" s="7" t="s">
        <v>717</v>
      </c>
      <c r="C14" s="7" t="s">
        <v>146</v>
      </c>
      <c r="D14" s="7" t="s">
        <v>699</v>
      </c>
      <c r="E14" s="7" t="s">
        <v>2702</v>
      </c>
      <c r="F14" s="16" t="n">
        <v>2027</v>
      </c>
      <c r="G14" s="16" t="n">
        <v>80</v>
      </c>
      <c r="H14" s="24" t="b">
        <f aca="false">FALSE()</f>
        <v>0</v>
      </c>
      <c r="I14" s="20" t="n">
        <v>46309</v>
      </c>
      <c r="J14" s="20" t="n">
        <v>46561</v>
      </c>
      <c r="K14" s="20" t="n">
        <v>46564</v>
      </c>
      <c r="L14" s="16" t="n">
        <v>46</v>
      </c>
      <c r="M14" s="16" t="n">
        <v>46</v>
      </c>
      <c r="N14" s="7" t="s">
        <v>700</v>
      </c>
      <c r="O14" s="16" t="n">
        <v>3680</v>
      </c>
      <c r="P14" s="22" t="n">
        <v>5.6</v>
      </c>
      <c r="Q14" s="22" t="n">
        <v>5.67</v>
      </c>
      <c r="R14" s="16" t="n">
        <v>2576</v>
      </c>
      <c r="S14" s="16" t="n">
        <v>1104</v>
      </c>
      <c r="T14" s="8" t="n">
        <v>14605.92</v>
      </c>
      <c r="U14" s="7" t="s">
        <v>716</v>
      </c>
    </row>
    <row r="15" customFormat="false" ht="15" hidden="false" customHeight="false" outlineLevel="0" collapsed="false">
      <c r="A15" s="7" t="s">
        <v>137</v>
      </c>
      <c r="B15" s="7" t="s">
        <v>718</v>
      </c>
      <c r="C15" s="7" t="s">
        <v>136</v>
      </c>
      <c r="D15" s="7" t="s">
        <v>719</v>
      </c>
      <c r="E15" s="7" t="s">
        <v>2705</v>
      </c>
      <c r="F15" s="16" t="n">
        <v>2023</v>
      </c>
      <c r="G15" s="16" t="n">
        <v>96</v>
      </c>
      <c r="H15" s="24" t="b">
        <f aca="false">FALSE()</f>
        <v>0</v>
      </c>
      <c r="I15" s="20" t="n">
        <v>45064</v>
      </c>
      <c r="J15" s="20" t="n">
        <v>45244</v>
      </c>
      <c r="K15" s="20" t="n">
        <v>45246</v>
      </c>
      <c r="L15" s="16" t="n">
        <v>440</v>
      </c>
      <c r="M15" s="16" t="n">
        <v>276</v>
      </c>
      <c r="N15" s="7" t="s">
        <v>720</v>
      </c>
      <c r="O15" s="16" t="n">
        <v>26496</v>
      </c>
      <c r="P15" s="22" t="n">
        <v>0.8</v>
      </c>
      <c r="Q15" s="22" t="n">
        <v>0.728</v>
      </c>
      <c r="R15" s="16" t="n">
        <v>26496</v>
      </c>
      <c r="S15" s="16" t="n">
        <v>0</v>
      </c>
      <c r="T15" s="8" t="n">
        <v>23992.13</v>
      </c>
      <c r="U15" s="7" t="s">
        <v>701</v>
      </c>
    </row>
    <row r="16" customFormat="false" ht="15" hidden="false" customHeight="false" outlineLevel="0" collapsed="false">
      <c r="A16" s="7" t="s">
        <v>137</v>
      </c>
      <c r="B16" s="7" t="s">
        <v>721</v>
      </c>
      <c r="C16" s="7" t="s">
        <v>136</v>
      </c>
      <c r="D16" s="7" t="s">
        <v>719</v>
      </c>
      <c r="E16" s="7" t="s">
        <v>2705</v>
      </c>
      <c r="F16" s="16" t="n">
        <v>2024</v>
      </c>
      <c r="G16" s="16" t="n">
        <v>96</v>
      </c>
      <c r="H16" s="24" t="b">
        <f aca="false">FALSE()</f>
        <v>0</v>
      </c>
      <c r="I16" s="20" t="n">
        <v>45430</v>
      </c>
      <c r="J16" s="20" t="n">
        <v>45610</v>
      </c>
      <c r="K16" s="20" t="n">
        <v>45612</v>
      </c>
      <c r="L16" s="16" t="n">
        <v>440</v>
      </c>
      <c r="M16" s="16" t="n">
        <v>468</v>
      </c>
      <c r="N16" s="7" t="s">
        <v>720</v>
      </c>
      <c r="O16" s="16" t="n">
        <v>44928</v>
      </c>
      <c r="P16" s="22" t="n">
        <v>0.74</v>
      </c>
      <c r="Q16" s="22" t="n">
        <v>0.645</v>
      </c>
      <c r="R16" s="16" t="n">
        <v>44928</v>
      </c>
      <c r="S16" s="16" t="n">
        <v>0</v>
      </c>
      <c r="T16" s="8" t="n">
        <v>35198.84</v>
      </c>
      <c r="U16" s="7" t="s">
        <v>701</v>
      </c>
    </row>
    <row r="17" customFormat="false" ht="15" hidden="false" customHeight="false" outlineLevel="0" collapsed="false">
      <c r="A17" s="7" t="s">
        <v>137</v>
      </c>
      <c r="B17" s="7" t="s">
        <v>722</v>
      </c>
      <c r="C17" s="7" t="s">
        <v>136</v>
      </c>
      <c r="D17" s="7" t="s">
        <v>719</v>
      </c>
      <c r="E17" s="7" t="s">
        <v>2705</v>
      </c>
      <c r="F17" s="16" t="n">
        <v>2025</v>
      </c>
      <c r="G17" s="16" t="n">
        <v>96</v>
      </c>
      <c r="H17" s="24" t="b">
        <f aca="false">FALSE()</f>
        <v>0</v>
      </c>
      <c r="I17" s="20" t="n">
        <v>45795</v>
      </c>
      <c r="J17" s="20" t="n">
        <v>45975</v>
      </c>
      <c r="K17" s="20" t="n">
        <v>45977</v>
      </c>
      <c r="L17" s="16" t="n">
        <v>440</v>
      </c>
      <c r="M17" s="16" t="n">
        <v>521</v>
      </c>
      <c r="N17" s="7" t="s">
        <v>720</v>
      </c>
      <c r="O17" s="16" t="n">
        <v>50016</v>
      </c>
      <c r="P17" s="22" t="n">
        <v>0.66</v>
      </c>
      <c r="Q17" s="22" t="n">
        <v>0.615</v>
      </c>
      <c r="R17" s="16" t="n">
        <v>50016</v>
      </c>
      <c r="S17" s="16" t="n">
        <v>0</v>
      </c>
      <c r="T17" s="8" t="n">
        <v>38217.23</v>
      </c>
      <c r="U17" s="7" t="s">
        <v>701</v>
      </c>
    </row>
    <row r="18" customFormat="false" ht="15" hidden="false" customHeight="false" outlineLevel="0" collapsed="false">
      <c r="A18" s="7" t="s">
        <v>137</v>
      </c>
      <c r="B18" s="7" t="s">
        <v>723</v>
      </c>
      <c r="C18" s="7" t="s">
        <v>136</v>
      </c>
      <c r="D18" s="7" t="s">
        <v>719</v>
      </c>
      <c r="E18" s="7" t="s">
        <v>2705</v>
      </c>
      <c r="F18" s="16" t="n">
        <v>2026</v>
      </c>
      <c r="G18" s="16" t="n">
        <v>96</v>
      </c>
      <c r="H18" s="24" t="b">
        <f aca="false">FALSE()</f>
        <v>0</v>
      </c>
      <c r="I18" s="20" t="n">
        <v>46160</v>
      </c>
      <c r="J18" s="20" t="n">
        <v>46340</v>
      </c>
      <c r="K18" s="20" t="n">
        <v>46342</v>
      </c>
      <c r="L18" s="16" t="n">
        <v>440</v>
      </c>
      <c r="M18" s="16" t="n">
        <v>455</v>
      </c>
      <c r="N18" s="7" t="s">
        <v>720</v>
      </c>
      <c r="O18" s="16" t="n">
        <v>43680</v>
      </c>
      <c r="P18" s="22" t="n">
        <v>0.66</v>
      </c>
      <c r="Q18" s="22" t="n">
        <v>0.82</v>
      </c>
      <c r="R18" s="16" t="n">
        <v>43680</v>
      </c>
      <c r="S18" s="16" t="n">
        <v>0</v>
      </c>
      <c r="T18" s="8" t="n">
        <v>42950.54</v>
      </c>
      <c r="U18" s="7" t="s">
        <v>716</v>
      </c>
    </row>
  </sheetData>
  <autoFilter ref="A1:U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1" t="s">
        <v>131</v>
      </c>
      <c r="B1" s="11" t="s">
        <v>130</v>
      </c>
      <c r="C1" s="11" t="s">
        <v>2706</v>
      </c>
      <c r="D1" s="11" t="s">
        <v>2707</v>
      </c>
      <c r="E1" s="11" t="s">
        <v>2708</v>
      </c>
      <c r="F1" s="11" t="s">
        <v>729</v>
      </c>
      <c r="G1" s="11" t="s">
        <v>730</v>
      </c>
      <c r="H1" s="11" t="s">
        <v>697</v>
      </c>
      <c r="I1" s="11" t="s">
        <v>2709</v>
      </c>
    </row>
    <row r="2" customFormat="false" ht="15" hidden="false" customHeight="false" outlineLevel="0" collapsed="false">
      <c r="A2" s="7" t="s">
        <v>137</v>
      </c>
      <c r="B2" s="7" t="s">
        <v>149</v>
      </c>
      <c r="C2" s="20" t="n">
        <v>45101</v>
      </c>
      <c r="D2" s="7" t="s">
        <v>2710</v>
      </c>
      <c r="E2" s="7" t="s">
        <v>938</v>
      </c>
      <c r="F2" s="16" t="n">
        <v>13</v>
      </c>
      <c r="G2" s="7" t="s">
        <v>2711</v>
      </c>
      <c r="H2" s="7" t="s">
        <v>701</v>
      </c>
      <c r="I2" s="7" t="s">
        <v>2712</v>
      </c>
    </row>
    <row r="3" customFormat="false" ht="15" hidden="false" customHeight="false" outlineLevel="0" collapsed="false">
      <c r="A3" s="7" t="s">
        <v>137</v>
      </c>
      <c r="B3" s="7" t="s">
        <v>149</v>
      </c>
      <c r="C3" s="20" t="n">
        <v>45102</v>
      </c>
      <c r="D3" s="7" t="s">
        <v>2710</v>
      </c>
      <c r="E3" s="7" t="s">
        <v>938</v>
      </c>
      <c r="F3" s="16" t="n">
        <v>12.9</v>
      </c>
      <c r="G3" s="7" t="s">
        <v>2711</v>
      </c>
      <c r="H3" s="7" t="s">
        <v>701</v>
      </c>
      <c r="I3" s="7" t="s">
        <v>2713</v>
      </c>
    </row>
    <row r="4" customFormat="false" ht="15" hidden="false" customHeight="false" outlineLevel="0" collapsed="false">
      <c r="A4" s="7" t="s">
        <v>137</v>
      </c>
      <c r="B4" s="7" t="s">
        <v>146</v>
      </c>
      <c r="C4" s="20" t="n">
        <v>45103</v>
      </c>
      <c r="D4" s="7" t="s">
        <v>2710</v>
      </c>
      <c r="E4" s="7" t="s">
        <v>938</v>
      </c>
      <c r="F4" s="16" t="n">
        <v>8</v>
      </c>
      <c r="G4" s="7" t="s">
        <v>2711</v>
      </c>
      <c r="H4" s="7" t="s">
        <v>701</v>
      </c>
      <c r="I4" s="7" t="s">
        <v>2714</v>
      </c>
    </row>
    <row r="5" customFormat="false" ht="15" hidden="false" customHeight="false" outlineLevel="0" collapsed="false">
      <c r="A5" s="7" t="s">
        <v>137</v>
      </c>
      <c r="B5" s="7" t="s">
        <v>149</v>
      </c>
      <c r="C5" s="20" t="n">
        <v>45103</v>
      </c>
      <c r="D5" s="7" t="s">
        <v>2710</v>
      </c>
      <c r="E5" s="7" t="s">
        <v>938</v>
      </c>
      <c r="F5" s="16" t="n">
        <v>17.1</v>
      </c>
      <c r="G5" s="7" t="s">
        <v>2711</v>
      </c>
      <c r="H5" s="7" t="s">
        <v>701</v>
      </c>
      <c r="I5" s="7" t="s">
        <v>2715</v>
      </c>
    </row>
    <row r="6" customFormat="false" ht="15" hidden="false" customHeight="false" outlineLevel="0" collapsed="false">
      <c r="A6" s="7" t="s">
        <v>137</v>
      </c>
      <c r="B6" s="7" t="s">
        <v>149</v>
      </c>
      <c r="C6" s="20" t="n">
        <v>45104</v>
      </c>
      <c r="D6" s="7" t="s">
        <v>2710</v>
      </c>
      <c r="E6" s="7" t="s">
        <v>938</v>
      </c>
      <c r="F6" s="16" t="n">
        <v>16.9</v>
      </c>
      <c r="G6" s="7" t="s">
        <v>2711</v>
      </c>
      <c r="H6" s="7" t="s">
        <v>701</v>
      </c>
      <c r="I6" s="7" t="s">
        <v>2716</v>
      </c>
    </row>
    <row r="7" customFormat="false" ht="15" hidden="false" customHeight="false" outlineLevel="0" collapsed="false">
      <c r="A7" s="7" t="s">
        <v>137</v>
      </c>
      <c r="B7" s="7" t="s">
        <v>149</v>
      </c>
      <c r="C7" s="20" t="n">
        <v>45105</v>
      </c>
      <c r="D7" s="7" t="s">
        <v>2710</v>
      </c>
      <c r="E7" s="7" t="s">
        <v>938</v>
      </c>
      <c r="F7" s="16" t="n">
        <v>35.5</v>
      </c>
      <c r="G7" s="7" t="s">
        <v>2711</v>
      </c>
      <c r="H7" s="7" t="s">
        <v>701</v>
      </c>
      <c r="I7" s="7" t="s">
        <v>2717</v>
      </c>
    </row>
    <row r="8" customFormat="false" ht="15" hidden="false" customHeight="false" outlineLevel="0" collapsed="false">
      <c r="A8" s="7" t="s">
        <v>137</v>
      </c>
      <c r="B8" s="7" t="s">
        <v>149</v>
      </c>
      <c r="C8" s="20" t="n">
        <v>45105</v>
      </c>
      <c r="D8" s="7" t="s">
        <v>2710</v>
      </c>
      <c r="E8" s="7" t="s">
        <v>938</v>
      </c>
      <c r="F8" s="16" t="n">
        <v>9.2</v>
      </c>
      <c r="G8" s="7" t="s">
        <v>2711</v>
      </c>
      <c r="H8" s="7" t="s">
        <v>701</v>
      </c>
      <c r="I8" s="7" t="s">
        <v>2718</v>
      </c>
    </row>
    <row r="9" customFormat="false" ht="15" hidden="false" customHeight="false" outlineLevel="0" collapsed="false">
      <c r="A9" s="7" t="s">
        <v>137</v>
      </c>
      <c r="B9" s="7" t="s">
        <v>149</v>
      </c>
      <c r="C9" s="20" t="n">
        <v>45108</v>
      </c>
      <c r="D9" s="7" t="s">
        <v>2710</v>
      </c>
      <c r="E9" s="7" t="s">
        <v>938</v>
      </c>
      <c r="F9" s="16" t="n">
        <v>20.8</v>
      </c>
      <c r="G9" s="7" t="s">
        <v>2711</v>
      </c>
      <c r="H9" s="7" t="s">
        <v>701</v>
      </c>
      <c r="I9" s="7" t="s">
        <v>2719</v>
      </c>
    </row>
    <row r="10" customFormat="false" ht="15" hidden="false" customHeight="false" outlineLevel="0" collapsed="false">
      <c r="A10" s="7" t="s">
        <v>137</v>
      </c>
      <c r="B10" s="7" t="s">
        <v>149</v>
      </c>
      <c r="C10" s="20" t="n">
        <v>45109</v>
      </c>
      <c r="D10" s="7" t="s">
        <v>2710</v>
      </c>
      <c r="E10" s="7" t="s">
        <v>938</v>
      </c>
      <c r="F10" s="16" t="n">
        <v>12.4</v>
      </c>
      <c r="G10" s="7" t="s">
        <v>2711</v>
      </c>
      <c r="H10" s="7" t="s">
        <v>701</v>
      </c>
      <c r="I10" s="7" t="s">
        <v>2720</v>
      </c>
    </row>
    <row r="11" customFormat="false" ht="15" hidden="false" customHeight="false" outlineLevel="0" collapsed="false">
      <c r="A11" s="7" t="s">
        <v>137</v>
      </c>
      <c r="B11" s="7" t="s">
        <v>141</v>
      </c>
      <c r="C11" s="20" t="n">
        <v>45183</v>
      </c>
      <c r="D11" s="7" t="s">
        <v>2710</v>
      </c>
      <c r="E11" s="7" t="s">
        <v>938</v>
      </c>
      <c r="F11" s="16" t="n">
        <v>8</v>
      </c>
      <c r="G11" s="7" t="s">
        <v>2711</v>
      </c>
      <c r="H11" s="7" t="s">
        <v>701</v>
      </c>
      <c r="I11" s="7" t="s">
        <v>2721</v>
      </c>
    </row>
    <row r="12" customFormat="false" ht="15" hidden="false" customHeight="false" outlineLevel="0" collapsed="false">
      <c r="A12" s="7" t="s">
        <v>137</v>
      </c>
      <c r="B12" s="7" t="s">
        <v>149</v>
      </c>
      <c r="C12" s="20" t="n">
        <v>45205</v>
      </c>
      <c r="D12" s="7" t="s">
        <v>2710</v>
      </c>
      <c r="E12" s="7" t="s">
        <v>938</v>
      </c>
      <c r="F12" s="16" t="n">
        <v>19.5</v>
      </c>
      <c r="G12" s="7" t="s">
        <v>2711</v>
      </c>
      <c r="H12" s="7" t="s">
        <v>701</v>
      </c>
      <c r="I12" s="7" t="s">
        <v>2722</v>
      </c>
    </row>
    <row r="13" customFormat="false" ht="15" hidden="false" customHeight="false" outlineLevel="0" collapsed="false">
      <c r="A13" s="7" t="s">
        <v>137</v>
      </c>
      <c r="B13" s="7" t="s">
        <v>149</v>
      </c>
      <c r="C13" s="20" t="n">
        <v>45206</v>
      </c>
      <c r="D13" s="7" t="s">
        <v>2710</v>
      </c>
      <c r="E13" s="7" t="s">
        <v>938</v>
      </c>
      <c r="F13" s="16" t="n">
        <v>8.8</v>
      </c>
      <c r="G13" s="7" t="s">
        <v>2711</v>
      </c>
      <c r="H13" s="7" t="s">
        <v>701</v>
      </c>
      <c r="I13" s="7" t="s">
        <v>2723</v>
      </c>
    </row>
    <row r="14" customFormat="false" ht="15" hidden="false" customHeight="false" outlineLevel="0" collapsed="false">
      <c r="A14" s="7" t="s">
        <v>137</v>
      </c>
      <c r="B14" s="7" t="s">
        <v>141</v>
      </c>
      <c r="C14" s="20" t="n">
        <v>45208</v>
      </c>
      <c r="D14" s="7" t="s">
        <v>2710</v>
      </c>
      <c r="E14" s="7" t="s">
        <v>938</v>
      </c>
      <c r="F14" s="16" t="n">
        <v>12.5</v>
      </c>
      <c r="G14" s="7" t="s">
        <v>2711</v>
      </c>
      <c r="H14" s="7" t="s">
        <v>701</v>
      </c>
      <c r="I14" s="7" t="s">
        <v>2724</v>
      </c>
    </row>
    <row r="15" customFormat="false" ht="15" hidden="false" customHeight="false" outlineLevel="0" collapsed="false">
      <c r="A15" s="7" t="s">
        <v>137</v>
      </c>
      <c r="B15" s="7" t="s">
        <v>149</v>
      </c>
      <c r="C15" s="20" t="n">
        <v>45208</v>
      </c>
      <c r="D15" s="7" t="s">
        <v>2710</v>
      </c>
      <c r="E15" s="7" t="s">
        <v>938</v>
      </c>
      <c r="F15" s="16" t="n">
        <v>13.3</v>
      </c>
      <c r="G15" s="7" t="s">
        <v>2711</v>
      </c>
      <c r="H15" s="7" t="s">
        <v>701</v>
      </c>
      <c r="I15" s="7" t="s">
        <v>2725</v>
      </c>
    </row>
    <row r="16" customFormat="false" ht="15" hidden="false" customHeight="false" outlineLevel="0" collapsed="false">
      <c r="A16" s="7" t="s">
        <v>137</v>
      </c>
      <c r="B16" s="7" t="s">
        <v>149</v>
      </c>
      <c r="C16" s="20" t="n">
        <v>45210</v>
      </c>
      <c r="D16" s="7" t="s">
        <v>2710</v>
      </c>
      <c r="E16" s="7" t="s">
        <v>938</v>
      </c>
      <c r="F16" s="16" t="n">
        <v>9.3</v>
      </c>
      <c r="G16" s="7" t="s">
        <v>2711</v>
      </c>
      <c r="H16" s="7" t="s">
        <v>701</v>
      </c>
      <c r="I16" s="7" t="s">
        <v>2726</v>
      </c>
    </row>
    <row r="17" customFormat="false" ht="15" hidden="false" customHeight="false" outlineLevel="0" collapsed="false">
      <c r="A17" s="7" t="s">
        <v>137</v>
      </c>
      <c r="B17" s="7" t="s">
        <v>149</v>
      </c>
      <c r="C17" s="20" t="n">
        <v>45210</v>
      </c>
      <c r="D17" s="7" t="s">
        <v>2710</v>
      </c>
      <c r="E17" s="7" t="s">
        <v>938</v>
      </c>
      <c r="F17" s="16" t="n">
        <v>11.6</v>
      </c>
      <c r="G17" s="7" t="s">
        <v>2711</v>
      </c>
      <c r="H17" s="7" t="s">
        <v>701</v>
      </c>
      <c r="I17" s="7" t="s">
        <v>2727</v>
      </c>
    </row>
    <row r="18" customFormat="false" ht="15" hidden="false" customHeight="false" outlineLevel="0" collapsed="false">
      <c r="A18" s="7" t="s">
        <v>137</v>
      </c>
      <c r="B18" s="7" t="s">
        <v>149</v>
      </c>
      <c r="C18" s="20" t="n">
        <v>45210</v>
      </c>
      <c r="D18" s="7" t="s">
        <v>2710</v>
      </c>
      <c r="E18" s="7" t="s">
        <v>938</v>
      </c>
      <c r="F18" s="16" t="n">
        <v>11</v>
      </c>
      <c r="G18" s="7" t="s">
        <v>2711</v>
      </c>
      <c r="H18" s="7" t="s">
        <v>701</v>
      </c>
      <c r="I18" s="7" t="s">
        <v>2728</v>
      </c>
    </row>
    <row r="19" customFormat="false" ht="15" hidden="false" customHeight="false" outlineLevel="0" collapsed="false">
      <c r="A19" s="7" t="s">
        <v>137</v>
      </c>
      <c r="B19" s="7" t="s">
        <v>149</v>
      </c>
      <c r="C19" s="20" t="n">
        <v>45211</v>
      </c>
      <c r="D19" s="7" t="s">
        <v>2710</v>
      </c>
      <c r="E19" s="7" t="s">
        <v>938</v>
      </c>
      <c r="F19" s="16" t="n">
        <v>15.7</v>
      </c>
      <c r="G19" s="7" t="s">
        <v>2711</v>
      </c>
      <c r="H19" s="7" t="s">
        <v>701</v>
      </c>
      <c r="I19" s="7" t="s">
        <v>2729</v>
      </c>
    </row>
    <row r="20" customFormat="false" ht="15" hidden="false" customHeight="false" outlineLevel="0" collapsed="false">
      <c r="A20" s="7" t="s">
        <v>137</v>
      </c>
      <c r="B20" s="7" t="s">
        <v>149</v>
      </c>
      <c r="C20" s="20" t="n">
        <v>45212</v>
      </c>
      <c r="D20" s="7" t="s">
        <v>2710</v>
      </c>
      <c r="E20" s="7" t="s">
        <v>938</v>
      </c>
      <c r="F20" s="16" t="n">
        <v>16.2</v>
      </c>
      <c r="G20" s="7" t="s">
        <v>2711</v>
      </c>
      <c r="H20" s="7" t="s">
        <v>701</v>
      </c>
      <c r="I20" s="7" t="s">
        <v>2730</v>
      </c>
    </row>
    <row r="21" customFormat="false" ht="15" hidden="false" customHeight="false" outlineLevel="0" collapsed="false">
      <c r="A21" s="7" t="s">
        <v>137</v>
      </c>
      <c r="B21" s="7" t="s">
        <v>149</v>
      </c>
      <c r="C21" s="20" t="n">
        <v>45217</v>
      </c>
      <c r="D21" s="7" t="s">
        <v>2710</v>
      </c>
      <c r="E21" s="7" t="s">
        <v>938</v>
      </c>
      <c r="F21" s="16" t="n">
        <v>11.4</v>
      </c>
      <c r="G21" s="7" t="s">
        <v>2711</v>
      </c>
      <c r="H21" s="7" t="s">
        <v>701</v>
      </c>
      <c r="I21" s="7" t="s">
        <v>2731</v>
      </c>
    </row>
    <row r="22" customFormat="false" ht="15" hidden="false" customHeight="false" outlineLevel="0" collapsed="false">
      <c r="A22" s="7" t="s">
        <v>137</v>
      </c>
      <c r="B22" s="7" t="s">
        <v>149</v>
      </c>
      <c r="C22" s="20" t="n">
        <v>45221</v>
      </c>
      <c r="D22" s="7" t="s">
        <v>2710</v>
      </c>
      <c r="E22" s="7" t="s">
        <v>938</v>
      </c>
      <c r="F22" s="16" t="n">
        <v>9.4</v>
      </c>
      <c r="G22" s="7" t="s">
        <v>2711</v>
      </c>
      <c r="H22" s="7" t="s">
        <v>701</v>
      </c>
      <c r="I22" s="7" t="s">
        <v>2732</v>
      </c>
    </row>
    <row r="23" customFormat="false" ht="15" hidden="false" customHeight="false" outlineLevel="0" collapsed="false">
      <c r="A23" s="7" t="s">
        <v>137</v>
      </c>
      <c r="B23" s="7" t="s">
        <v>149</v>
      </c>
      <c r="C23" s="20" t="n">
        <v>45222</v>
      </c>
      <c r="D23" s="7" t="s">
        <v>2710</v>
      </c>
      <c r="E23" s="7" t="s">
        <v>938</v>
      </c>
      <c r="F23" s="16" t="n">
        <v>15.8</v>
      </c>
      <c r="G23" s="7" t="s">
        <v>2711</v>
      </c>
      <c r="H23" s="7" t="s">
        <v>701</v>
      </c>
      <c r="I23" s="7" t="s">
        <v>2733</v>
      </c>
    </row>
    <row r="24" customFormat="false" ht="15" hidden="false" customHeight="false" outlineLevel="0" collapsed="false">
      <c r="A24" s="7" t="s">
        <v>137</v>
      </c>
      <c r="B24" s="7" t="s">
        <v>149</v>
      </c>
      <c r="C24" s="20" t="n">
        <v>45224</v>
      </c>
      <c r="D24" s="7" t="s">
        <v>2710</v>
      </c>
      <c r="E24" s="7" t="s">
        <v>938</v>
      </c>
      <c r="F24" s="16" t="n">
        <v>7.6</v>
      </c>
      <c r="G24" s="7" t="s">
        <v>2711</v>
      </c>
      <c r="H24" s="7" t="s">
        <v>701</v>
      </c>
      <c r="I24" s="7" t="s">
        <v>2734</v>
      </c>
    </row>
    <row r="25" customFormat="false" ht="15" hidden="false" customHeight="false" outlineLevel="0" collapsed="false">
      <c r="A25" s="7" t="s">
        <v>137</v>
      </c>
      <c r="B25" s="7" t="s">
        <v>149</v>
      </c>
      <c r="C25" s="20" t="n">
        <v>45224</v>
      </c>
      <c r="D25" s="7" t="s">
        <v>2710</v>
      </c>
      <c r="E25" s="7" t="s">
        <v>938</v>
      </c>
      <c r="F25" s="16" t="n">
        <v>9.8</v>
      </c>
      <c r="G25" s="7" t="s">
        <v>2711</v>
      </c>
      <c r="H25" s="7" t="s">
        <v>701</v>
      </c>
      <c r="I25" s="7" t="s">
        <v>2735</v>
      </c>
    </row>
    <row r="26" customFormat="false" ht="15" hidden="false" customHeight="false" outlineLevel="0" collapsed="false">
      <c r="A26" s="7" t="s">
        <v>137</v>
      </c>
      <c r="B26" s="7" t="s">
        <v>149</v>
      </c>
      <c r="C26" s="20" t="n">
        <v>45226</v>
      </c>
      <c r="D26" s="7" t="s">
        <v>2710</v>
      </c>
      <c r="E26" s="7" t="s">
        <v>938</v>
      </c>
      <c r="F26" s="16" t="n">
        <v>27.7</v>
      </c>
      <c r="G26" s="7" t="s">
        <v>2711</v>
      </c>
      <c r="H26" s="7" t="s">
        <v>701</v>
      </c>
      <c r="I26" s="7" t="s">
        <v>2736</v>
      </c>
    </row>
    <row r="27" customFormat="false" ht="15" hidden="false" customHeight="false" outlineLevel="0" collapsed="false">
      <c r="A27" s="7" t="s">
        <v>137</v>
      </c>
      <c r="B27" s="7" t="s">
        <v>149</v>
      </c>
      <c r="C27" s="20" t="n">
        <v>45236</v>
      </c>
      <c r="D27" s="7" t="s">
        <v>2710</v>
      </c>
      <c r="E27" s="7" t="s">
        <v>938</v>
      </c>
      <c r="F27" s="16" t="n">
        <v>31.9</v>
      </c>
      <c r="G27" s="7" t="s">
        <v>2711</v>
      </c>
      <c r="H27" s="7" t="s">
        <v>701</v>
      </c>
      <c r="I27" s="7" t="s">
        <v>2737</v>
      </c>
    </row>
    <row r="28" customFormat="false" ht="15" hidden="false" customHeight="false" outlineLevel="0" collapsed="false">
      <c r="A28" s="7" t="s">
        <v>137</v>
      </c>
      <c r="B28" s="7" t="s">
        <v>149</v>
      </c>
      <c r="C28" s="20" t="n">
        <v>45240</v>
      </c>
      <c r="D28" s="7" t="s">
        <v>2710</v>
      </c>
      <c r="E28" s="7" t="s">
        <v>938</v>
      </c>
      <c r="F28" s="16" t="n">
        <v>15.2</v>
      </c>
      <c r="G28" s="7" t="s">
        <v>2711</v>
      </c>
      <c r="H28" s="7" t="s">
        <v>701</v>
      </c>
      <c r="I28" s="7" t="s">
        <v>2738</v>
      </c>
    </row>
    <row r="29" customFormat="false" ht="15" hidden="false" customHeight="false" outlineLevel="0" collapsed="false">
      <c r="A29" s="7" t="s">
        <v>137</v>
      </c>
      <c r="B29" s="7" t="s">
        <v>149</v>
      </c>
      <c r="C29" s="20" t="n">
        <v>45466</v>
      </c>
      <c r="D29" s="7" t="s">
        <v>2710</v>
      </c>
      <c r="E29" s="7" t="s">
        <v>938</v>
      </c>
      <c r="F29" s="16" t="n">
        <v>22.4</v>
      </c>
      <c r="G29" s="7" t="s">
        <v>2711</v>
      </c>
      <c r="H29" s="7" t="s">
        <v>701</v>
      </c>
      <c r="I29" s="7" t="s">
        <v>2739</v>
      </c>
    </row>
    <row r="30" customFormat="false" ht="15" hidden="false" customHeight="false" outlineLevel="0" collapsed="false">
      <c r="A30" s="7" t="s">
        <v>137</v>
      </c>
      <c r="B30" s="7" t="s">
        <v>146</v>
      </c>
      <c r="C30" s="20" t="n">
        <v>45467</v>
      </c>
      <c r="D30" s="7" t="s">
        <v>2710</v>
      </c>
      <c r="E30" s="7" t="s">
        <v>938</v>
      </c>
      <c r="F30" s="16" t="n">
        <v>8</v>
      </c>
      <c r="G30" s="7" t="s">
        <v>2711</v>
      </c>
      <c r="H30" s="7" t="s">
        <v>701</v>
      </c>
      <c r="I30" s="7" t="s">
        <v>2740</v>
      </c>
    </row>
    <row r="31" customFormat="false" ht="15" hidden="false" customHeight="false" outlineLevel="0" collapsed="false">
      <c r="A31" s="7" t="s">
        <v>137</v>
      </c>
      <c r="B31" s="7" t="s">
        <v>149</v>
      </c>
      <c r="C31" s="20" t="n">
        <v>45468</v>
      </c>
      <c r="D31" s="7" t="s">
        <v>2710</v>
      </c>
      <c r="E31" s="7" t="s">
        <v>938</v>
      </c>
      <c r="F31" s="16" t="n">
        <v>15.9</v>
      </c>
      <c r="G31" s="7" t="s">
        <v>2711</v>
      </c>
      <c r="H31" s="7" t="s">
        <v>701</v>
      </c>
      <c r="I31" s="7" t="s">
        <v>2741</v>
      </c>
    </row>
    <row r="32" customFormat="false" ht="15" hidden="false" customHeight="false" outlineLevel="0" collapsed="false">
      <c r="A32" s="7" t="s">
        <v>137</v>
      </c>
      <c r="B32" s="7" t="s">
        <v>149</v>
      </c>
      <c r="C32" s="20" t="n">
        <v>45470</v>
      </c>
      <c r="D32" s="7" t="s">
        <v>2710</v>
      </c>
      <c r="E32" s="7" t="s">
        <v>938</v>
      </c>
      <c r="F32" s="16" t="n">
        <v>13.4</v>
      </c>
      <c r="G32" s="7" t="s">
        <v>2711</v>
      </c>
      <c r="H32" s="7" t="s">
        <v>701</v>
      </c>
      <c r="I32" s="7" t="s">
        <v>2742</v>
      </c>
    </row>
    <row r="33" customFormat="false" ht="15" hidden="false" customHeight="false" outlineLevel="0" collapsed="false">
      <c r="A33" s="7" t="s">
        <v>137</v>
      </c>
      <c r="B33" s="7" t="s">
        <v>149</v>
      </c>
      <c r="C33" s="20" t="n">
        <v>45471</v>
      </c>
      <c r="D33" s="7" t="s">
        <v>2710</v>
      </c>
      <c r="E33" s="7" t="s">
        <v>938</v>
      </c>
      <c r="F33" s="16" t="n">
        <v>11.2</v>
      </c>
      <c r="G33" s="7" t="s">
        <v>2711</v>
      </c>
      <c r="H33" s="7" t="s">
        <v>701</v>
      </c>
      <c r="I33" s="7" t="s">
        <v>2743</v>
      </c>
    </row>
    <row r="34" customFormat="false" ht="15" hidden="false" customHeight="false" outlineLevel="0" collapsed="false">
      <c r="A34" s="7" t="s">
        <v>137</v>
      </c>
      <c r="B34" s="7" t="s">
        <v>149</v>
      </c>
      <c r="C34" s="20" t="n">
        <v>45475</v>
      </c>
      <c r="D34" s="7" t="s">
        <v>2710</v>
      </c>
      <c r="E34" s="7" t="s">
        <v>938</v>
      </c>
      <c r="F34" s="16" t="n">
        <v>13.9</v>
      </c>
      <c r="G34" s="7" t="s">
        <v>2711</v>
      </c>
      <c r="H34" s="7" t="s">
        <v>701</v>
      </c>
      <c r="I34" s="7" t="s">
        <v>2744</v>
      </c>
    </row>
    <row r="35" customFormat="false" ht="15" hidden="false" customHeight="false" outlineLevel="0" collapsed="false">
      <c r="A35" s="7" t="s">
        <v>137</v>
      </c>
      <c r="B35" s="7" t="s">
        <v>149</v>
      </c>
      <c r="C35" s="20" t="n">
        <v>45477</v>
      </c>
      <c r="D35" s="7" t="s">
        <v>2710</v>
      </c>
      <c r="E35" s="7" t="s">
        <v>938</v>
      </c>
      <c r="F35" s="16" t="n">
        <v>20.6</v>
      </c>
      <c r="G35" s="7" t="s">
        <v>2711</v>
      </c>
      <c r="H35" s="7" t="s">
        <v>701</v>
      </c>
      <c r="I35" s="7" t="s">
        <v>2745</v>
      </c>
    </row>
    <row r="36" customFormat="false" ht="15" hidden="false" customHeight="false" outlineLevel="0" collapsed="false">
      <c r="A36" s="7" t="s">
        <v>137</v>
      </c>
      <c r="B36" s="7" t="s">
        <v>149</v>
      </c>
      <c r="C36" s="20" t="n">
        <v>45480</v>
      </c>
      <c r="D36" s="7" t="s">
        <v>2710</v>
      </c>
      <c r="E36" s="7" t="s">
        <v>938</v>
      </c>
      <c r="F36" s="16" t="n">
        <v>40.8</v>
      </c>
      <c r="G36" s="7" t="s">
        <v>2711</v>
      </c>
      <c r="H36" s="7" t="s">
        <v>701</v>
      </c>
      <c r="I36" s="7" t="s">
        <v>2746</v>
      </c>
    </row>
    <row r="37" customFormat="false" ht="15" hidden="false" customHeight="false" outlineLevel="0" collapsed="false">
      <c r="A37" s="7" t="s">
        <v>137</v>
      </c>
      <c r="B37" s="7" t="s">
        <v>149</v>
      </c>
      <c r="C37" s="20" t="n">
        <v>45481</v>
      </c>
      <c r="D37" s="7" t="s">
        <v>2710</v>
      </c>
      <c r="E37" s="7" t="s">
        <v>938</v>
      </c>
      <c r="F37" s="16" t="n">
        <v>27.3</v>
      </c>
      <c r="G37" s="7" t="s">
        <v>2711</v>
      </c>
      <c r="H37" s="7" t="s">
        <v>701</v>
      </c>
      <c r="I37" s="7" t="s">
        <v>2747</v>
      </c>
    </row>
    <row r="38" customFormat="false" ht="15" hidden="false" customHeight="false" outlineLevel="0" collapsed="false">
      <c r="A38" s="7" t="s">
        <v>137</v>
      </c>
      <c r="B38" s="7" t="s">
        <v>144</v>
      </c>
      <c r="C38" s="20" t="n">
        <v>45568</v>
      </c>
      <c r="D38" s="7" t="s">
        <v>2710</v>
      </c>
      <c r="E38" s="7" t="s">
        <v>938</v>
      </c>
      <c r="F38" s="16" t="n">
        <v>12.5</v>
      </c>
      <c r="G38" s="7" t="s">
        <v>2711</v>
      </c>
      <c r="H38" s="7" t="s">
        <v>701</v>
      </c>
      <c r="I38" s="7" t="s">
        <v>2748</v>
      </c>
    </row>
    <row r="39" customFormat="false" ht="15" hidden="false" customHeight="false" outlineLevel="0" collapsed="false">
      <c r="A39" s="7" t="s">
        <v>137</v>
      </c>
      <c r="B39" s="7" t="s">
        <v>149</v>
      </c>
      <c r="C39" s="20" t="n">
        <v>45572</v>
      </c>
      <c r="D39" s="7" t="s">
        <v>2710</v>
      </c>
      <c r="E39" s="7" t="s">
        <v>938</v>
      </c>
      <c r="F39" s="16" t="n">
        <v>15.6</v>
      </c>
      <c r="G39" s="7" t="s">
        <v>2711</v>
      </c>
      <c r="H39" s="7" t="s">
        <v>701</v>
      </c>
      <c r="I39" s="7" t="s">
        <v>2749</v>
      </c>
    </row>
    <row r="40" customFormat="false" ht="15" hidden="false" customHeight="false" outlineLevel="0" collapsed="false">
      <c r="A40" s="7" t="s">
        <v>137</v>
      </c>
      <c r="B40" s="7" t="s">
        <v>144</v>
      </c>
      <c r="C40" s="20" t="n">
        <v>45575</v>
      </c>
      <c r="D40" s="7" t="s">
        <v>2710</v>
      </c>
      <c r="E40" s="7" t="s">
        <v>938</v>
      </c>
      <c r="F40" s="16" t="n">
        <v>8</v>
      </c>
      <c r="G40" s="7" t="s">
        <v>2711</v>
      </c>
      <c r="H40" s="7" t="s">
        <v>701</v>
      </c>
      <c r="I40" s="7" t="s">
        <v>2750</v>
      </c>
    </row>
    <row r="41" customFormat="false" ht="15" hidden="false" customHeight="false" outlineLevel="0" collapsed="false">
      <c r="A41" s="7" t="s">
        <v>137</v>
      </c>
      <c r="B41" s="7" t="s">
        <v>149</v>
      </c>
      <c r="C41" s="20" t="n">
        <v>45576</v>
      </c>
      <c r="D41" s="7" t="s">
        <v>2710</v>
      </c>
      <c r="E41" s="7" t="s">
        <v>938</v>
      </c>
      <c r="F41" s="16" t="n">
        <v>17.9</v>
      </c>
      <c r="G41" s="7" t="s">
        <v>2711</v>
      </c>
      <c r="H41" s="7" t="s">
        <v>701</v>
      </c>
      <c r="I41" s="7" t="s">
        <v>2751</v>
      </c>
    </row>
    <row r="42" customFormat="false" ht="15" hidden="false" customHeight="false" outlineLevel="0" collapsed="false">
      <c r="A42" s="7" t="s">
        <v>137</v>
      </c>
      <c r="B42" s="7" t="s">
        <v>149</v>
      </c>
      <c r="C42" s="20" t="n">
        <v>45577</v>
      </c>
      <c r="D42" s="7" t="s">
        <v>2710</v>
      </c>
      <c r="E42" s="7" t="s">
        <v>938</v>
      </c>
      <c r="F42" s="16" t="n">
        <v>11.3</v>
      </c>
      <c r="G42" s="7" t="s">
        <v>2711</v>
      </c>
      <c r="H42" s="7" t="s">
        <v>701</v>
      </c>
      <c r="I42" s="7" t="s">
        <v>2752</v>
      </c>
    </row>
    <row r="43" customFormat="false" ht="15" hidden="false" customHeight="false" outlineLevel="0" collapsed="false">
      <c r="A43" s="7" t="s">
        <v>137</v>
      </c>
      <c r="B43" s="7" t="s">
        <v>149</v>
      </c>
      <c r="C43" s="20" t="n">
        <v>45580</v>
      </c>
      <c r="D43" s="7" t="s">
        <v>2710</v>
      </c>
      <c r="E43" s="7" t="s">
        <v>938</v>
      </c>
      <c r="F43" s="16" t="n">
        <v>9.6</v>
      </c>
      <c r="G43" s="7" t="s">
        <v>2711</v>
      </c>
      <c r="H43" s="7" t="s">
        <v>701</v>
      </c>
      <c r="I43" s="7" t="s">
        <v>2753</v>
      </c>
    </row>
    <row r="44" customFormat="false" ht="15" hidden="false" customHeight="false" outlineLevel="0" collapsed="false">
      <c r="A44" s="7" t="s">
        <v>137</v>
      </c>
      <c r="B44" s="7" t="s">
        <v>149</v>
      </c>
      <c r="C44" s="20" t="n">
        <v>45582</v>
      </c>
      <c r="D44" s="7" t="s">
        <v>2710</v>
      </c>
      <c r="E44" s="7" t="s">
        <v>938</v>
      </c>
      <c r="F44" s="16" t="n">
        <v>10.1</v>
      </c>
      <c r="G44" s="7" t="s">
        <v>2711</v>
      </c>
      <c r="H44" s="7" t="s">
        <v>701</v>
      </c>
      <c r="I44" s="7" t="s">
        <v>2754</v>
      </c>
    </row>
    <row r="45" customFormat="false" ht="15" hidden="false" customHeight="false" outlineLevel="0" collapsed="false">
      <c r="A45" s="7" t="s">
        <v>137</v>
      </c>
      <c r="B45" s="7" t="s">
        <v>149</v>
      </c>
      <c r="C45" s="20" t="n">
        <v>45589</v>
      </c>
      <c r="D45" s="7" t="s">
        <v>2710</v>
      </c>
      <c r="E45" s="7" t="s">
        <v>938</v>
      </c>
      <c r="F45" s="16" t="n">
        <v>8</v>
      </c>
      <c r="G45" s="7" t="s">
        <v>2711</v>
      </c>
      <c r="H45" s="7" t="s">
        <v>701</v>
      </c>
      <c r="I45" s="7" t="s">
        <v>2755</v>
      </c>
    </row>
    <row r="46" customFormat="false" ht="15" hidden="false" customHeight="false" outlineLevel="0" collapsed="false">
      <c r="A46" s="7" t="s">
        <v>137</v>
      </c>
      <c r="B46" s="7" t="s">
        <v>149</v>
      </c>
      <c r="C46" s="20" t="n">
        <v>45592</v>
      </c>
      <c r="D46" s="7" t="s">
        <v>2710</v>
      </c>
      <c r="E46" s="7" t="s">
        <v>938</v>
      </c>
      <c r="F46" s="16" t="n">
        <v>29.9</v>
      </c>
      <c r="G46" s="7" t="s">
        <v>2711</v>
      </c>
      <c r="H46" s="7" t="s">
        <v>701</v>
      </c>
      <c r="I46" s="7" t="s">
        <v>2756</v>
      </c>
    </row>
    <row r="47" customFormat="false" ht="15" hidden="false" customHeight="false" outlineLevel="0" collapsed="false">
      <c r="A47" s="7" t="s">
        <v>137</v>
      </c>
      <c r="B47" s="7" t="s">
        <v>149</v>
      </c>
      <c r="C47" s="20" t="n">
        <v>45592</v>
      </c>
      <c r="D47" s="7" t="s">
        <v>2710</v>
      </c>
      <c r="E47" s="7" t="s">
        <v>938</v>
      </c>
      <c r="F47" s="16" t="n">
        <v>15.6</v>
      </c>
      <c r="G47" s="7" t="s">
        <v>2711</v>
      </c>
      <c r="H47" s="7" t="s">
        <v>701</v>
      </c>
      <c r="I47" s="7" t="s">
        <v>2757</v>
      </c>
    </row>
    <row r="48" customFormat="false" ht="15" hidden="false" customHeight="false" outlineLevel="0" collapsed="false">
      <c r="A48" s="7" t="s">
        <v>137</v>
      </c>
      <c r="B48" s="7" t="s">
        <v>149</v>
      </c>
      <c r="C48" s="20" t="n">
        <v>45597</v>
      </c>
      <c r="D48" s="7" t="s">
        <v>2710</v>
      </c>
      <c r="E48" s="7" t="s">
        <v>938</v>
      </c>
      <c r="F48" s="16" t="n">
        <v>22.2</v>
      </c>
      <c r="G48" s="7" t="s">
        <v>2711</v>
      </c>
      <c r="H48" s="7" t="s">
        <v>701</v>
      </c>
      <c r="I48" s="7" t="s">
        <v>2758</v>
      </c>
    </row>
    <row r="49" customFormat="false" ht="15" hidden="false" customHeight="false" outlineLevel="0" collapsed="false">
      <c r="A49" s="7" t="s">
        <v>137</v>
      </c>
      <c r="B49" s="7" t="s">
        <v>149</v>
      </c>
      <c r="C49" s="20" t="n">
        <v>45598</v>
      </c>
      <c r="D49" s="7" t="s">
        <v>2710</v>
      </c>
      <c r="E49" s="7" t="s">
        <v>938</v>
      </c>
      <c r="F49" s="16" t="n">
        <v>17.6</v>
      </c>
      <c r="G49" s="7" t="s">
        <v>2711</v>
      </c>
      <c r="H49" s="7" t="s">
        <v>701</v>
      </c>
      <c r="I49" s="7" t="s">
        <v>2759</v>
      </c>
    </row>
    <row r="50" customFormat="false" ht="15" hidden="false" customHeight="false" outlineLevel="0" collapsed="false">
      <c r="A50" s="7" t="s">
        <v>137</v>
      </c>
      <c r="B50" s="7" t="s">
        <v>149</v>
      </c>
      <c r="C50" s="20" t="n">
        <v>45601</v>
      </c>
      <c r="D50" s="7" t="s">
        <v>2710</v>
      </c>
      <c r="E50" s="7" t="s">
        <v>938</v>
      </c>
      <c r="F50" s="16" t="n">
        <v>34.4</v>
      </c>
      <c r="G50" s="7" t="s">
        <v>2711</v>
      </c>
      <c r="H50" s="7" t="s">
        <v>701</v>
      </c>
      <c r="I50" s="7" t="s">
        <v>2760</v>
      </c>
    </row>
    <row r="51" customFormat="false" ht="15" hidden="false" customHeight="false" outlineLevel="0" collapsed="false">
      <c r="A51" s="7" t="s">
        <v>137</v>
      </c>
      <c r="B51" s="7" t="s">
        <v>149</v>
      </c>
      <c r="C51" s="20" t="n">
        <v>45604</v>
      </c>
      <c r="D51" s="7" t="s">
        <v>2710</v>
      </c>
      <c r="E51" s="7" t="s">
        <v>938</v>
      </c>
      <c r="F51" s="16" t="n">
        <v>13.9</v>
      </c>
      <c r="G51" s="7" t="s">
        <v>2711</v>
      </c>
      <c r="H51" s="7" t="s">
        <v>701</v>
      </c>
      <c r="I51" s="7" t="s">
        <v>2761</v>
      </c>
    </row>
    <row r="52" customFormat="false" ht="15" hidden="false" customHeight="false" outlineLevel="0" collapsed="false">
      <c r="A52" s="7" t="s">
        <v>137</v>
      </c>
      <c r="B52" s="7" t="s">
        <v>149</v>
      </c>
      <c r="C52" s="20" t="n">
        <v>45604</v>
      </c>
      <c r="D52" s="7" t="s">
        <v>2710</v>
      </c>
      <c r="E52" s="7" t="s">
        <v>938</v>
      </c>
      <c r="F52" s="16" t="n">
        <v>11.8</v>
      </c>
      <c r="G52" s="7" t="s">
        <v>2711</v>
      </c>
      <c r="H52" s="7" t="s">
        <v>701</v>
      </c>
      <c r="I52" s="7" t="s">
        <v>2762</v>
      </c>
    </row>
    <row r="53" customFormat="false" ht="15" hidden="false" customHeight="false" outlineLevel="0" collapsed="false">
      <c r="A53" s="7" t="s">
        <v>137</v>
      </c>
      <c r="B53" s="7" t="s">
        <v>149</v>
      </c>
      <c r="C53" s="20" t="n">
        <v>45604</v>
      </c>
      <c r="D53" s="7" t="s">
        <v>2710</v>
      </c>
      <c r="E53" s="7" t="s">
        <v>938</v>
      </c>
      <c r="F53" s="16" t="n">
        <v>11.6</v>
      </c>
      <c r="G53" s="7" t="s">
        <v>2711</v>
      </c>
      <c r="H53" s="7" t="s">
        <v>701</v>
      </c>
      <c r="I53" s="7" t="s">
        <v>2763</v>
      </c>
    </row>
    <row r="54" customFormat="false" ht="15" hidden="false" customHeight="false" outlineLevel="0" collapsed="false">
      <c r="A54" s="7" t="s">
        <v>137</v>
      </c>
      <c r="B54" s="7" t="s">
        <v>149</v>
      </c>
      <c r="C54" s="20" t="n">
        <v>45604</v>
      </c>
      <c r="D54" s="7" t="s">
        <v>2710</v>
      </c>
      <c r="E54" s="7" t="s">
        <v>938</v>
      </c>
      <c r="F54" s="16" t="n">
        <v>8.7</v>
      </c>
      <c r="G54" s="7" t="s">
        <v>2711</v>
      </c>
      <c r="H54" s="7" t="s">
        <v>701</v>
      </c>
      <c r="I54" s="7" t="s">
        <v>2764</v>
      </c>
    </row>
    <row r="55" customFormat="false" ht="15" hidden="false" customHeight="false" outlineLevel="0" collapsed="false">
      <c r="A55" s="7" t="s">
        <v>137</v>
      </c>
      <c r="B55" s="7" t="s">
        <v>149</v>
      </c>
      <c r="C55" s="20" t="n">
        <v>45607</v>
      </c>
      <c r="D55" s="7" t="s">
        <v>2710</v>
      </c>
      <c r="E55" s="7" t="s">
        <v>938</v>
      </c>
      <c r="F55" s="16" t="n">
        <v>16.4</v>
      </c>
      <c r="G55" s="7" t="s">
        <v>2711</v>
      </c>
      <c r="H55" s="7" t="s">
        <v>701</v>
      </c>
      <c r="I55" s="7" t="s">
        <v>2765</v>
      </c>
    </row>
    <row r="56" customFormat="false" ht="15" hidden="false" customHeight="false" outlineLevel="0" collapsed="false">
      <c r="A56" s="7" t="s">
        <v>137</v>
      </c>
      <c r="B56" s="7" t="s">
        <v>146</v>
      </c>
      <c r="C56" s="20" t="n">
        <v>45831</v>
      </c>
      <c r="D56" s="7" t="s">
        <v>2710</v>
      </c>
      <c r="E56" s="7" t="s">
        <v>938</v>
      </c>
      <c r="F56" s="16" t="n">
        <v>8</v>
      </c>
      <c r="G56" s="7" t="s">
        <v>2711</v>
      </c>
      <c r="H56" s="7" t="s">
        <v>701</v>
      </c>
      <c r="I56" s="7" t="s">
        <v>2766</v>
      </c>
    </row>
    <row r="57" customFormat="false" ht="15" hidden="false" customHeight="false" outlineLevel="0" collapsed="false">
      <c r="A57" s="7" t="s">
        <v>137</v>
      </c>
      <c r="B57" s="7" t="s">
        <v>149</v>
      </c>
      <c r="C57" s="20" t="n">
        <v>45831</v>
      </c>
      <c r="D57" s="7" t="s">
        <v>2710</v>
      </c>
      <c r="E57" s="7" t="s">
        <v>938</v>
      </c>
      <c r="F57" s="16" t="n">
        <v>14.4</v>
      </c>
      <c r="G57" s="7" t="s">
        <v>2711</v>
      </c>
      <c r="H57" s="7" t="s">
        <v>701</v>
      </c>
      <c r="I57" s="7" t="s">
        <v>2767</v>
      </c>
    </row>
    <row r="58" customFormat="false" ht="15" hidden="false" customHeight="false" outlineLevel="0" collapsed="false">
      <c r="A58" s="7" t="s">
        <v>137</v>
      </c>
      <c r="B58" s="7" t="s">
        <v>149</v>
      </c>
      <c r="C58" s="20" t="n">
        <v>45833</v>
      </c>
      <c r="D58" s="7" t="s">
        <v>2710</v>
      </c>
      <c r="E58" s="7" t="s">
        <v>938</v>
      </c>
      <c r="F58" s="16" t="n">
        <v>16.3</v>
      </c>
      <c r="G58" s="7" t="s">
        <v>2711</v>
      </c>
      <c r="H58" s="7" t="s">
        <v>701</v>
      </c>
      <c r="I58" s="7" t="s">
        <v>2768</v>
      </c>
    </row>
    <row r="59" customFormat="false" ht="15" hidden="false" customHeight="false" outlineLevel="0" collapsed="false">
      <c r="A59" s="7" t="s">
        <v>137</v>
      </c>
      <c r="B59" s="7" t="s">
        <v>149</v>
      </c>
      <c r="C59" s="20" t="n">
        <v>45833</v>
      </c>
      <c r="D59" s="7" t="s">
        <v>2710</v>
      </c>
      <c r="E59" s="7" t="s">
        <v>938</v>
      </c>
      <c r="F59" s="16" t="n">
        <v>11.3</v>
      </c>
      <c r="G59" s="7" t="s">
        <v>2711</v>
      </c>
      <c r="H59" s="7" t="s">
        <v>701</v>
      </c>
      <c r="I59" s="7" t="s">
        <v>2769</v>
      </c>
    </row>
    <row r="60" customFormat="false" ht="15" hidden="false" customHeight="false" outlineLevel="0" collapsed="false">
      <c r="A60" s="7" t="s">
        <v>137</v>
      </c>
      <c r="B60" s="7" t="s">
        <v>149</v>
      </c>
      <c r="C60" s="20" t="n">
        <v>45837</v>
      </c>
      <c r="D60" s="7" t="s">
        <v>2710</v>
      </c>
      <c r="E60" s="7" t="s">
        <v>938</v>
      </c>
      <c r="F60" s="16" t="n">
        <v>29.8</v>
      </c>
      <c r="G60" s="7" t="s">
        <v>2711</v>
      </c>
      <c r="H60" s="7" t="s">
        <v>701</v>
      </c>
      <c r="I60" s="7" t="s">
        <v>2770</v>
      </c>
    </row>
    <row r="61" customFormat="false" ht="15" hidden="false" customHeight="false" outlineLevel="0" collapsed="false">
      <c r="A61" s="7" t="s">
        <v>137</v>
      </c>
      <c r="B61" s="7" t="s">
        <v>149</v>
      </c>
      <c r="C61" s="20" t="n">
        <v>45840</v>
      </c>
      <c r="D61" s="7" t="s">
        <v>2710</v>
      </c>
      <c r="E61" s="7" t="s">
        <v>938</v>
      </c>
      <c r="F61" s="16" t="n">
        <v>43.1</v>
      </c>
      <c r="G61" s="7" t="s">
        <v>2711</v>
      </c>
      <c r="H61" s="7" t="s">
        <v>701</v>
      </c>
      <c r="I61" s="7" t="s">
        <v>2771</v>
      </c>
    </row>
    <row r="62" customFormat="false" ht="15" hidden="false" customHeight="false" outlineLevel="0" collapsed="false">
      <c r="A62" s="7" t="s">
        <v>137</v>
      </c>
      <c r="B62" s="7" t="s">
        <v>149</v>
      </c>
      <c r="C62" s="20" t="n">
        <v>45845</v>
      </c>
      <c r="D62" s="7" t="s">
        <v>2710</v>
      </c>
      <c r="E62" s="7" t="s">
        <v>938</v>
      </c>
      <c r="F62" s="16" t="n">
        <v>20.2</v>
      </c>
      <c r="G62" s="7" t="s">
        <v>2711</v>
      </c>
      <c r="H62" s="7" t="s">
        <v>701</v>
      </c>
      <c r="I62" s="7" t="s">
        <v>2772</v>
      </c>
    </row>
    <row r="63" customFormat="false" ht="15" hidden="false" customHeight="false" outlineLevel="0" collapsed="false">
      <c r="A63" s="7" t="s">
        <v>137</v>
      </c>
      <c r="B63" s="7" t="s">
        <v>149</v>
      </c>
      <c r="C63" s="20" t="n">
        <v>45845</v>
      </c>
      <c r="D63" s="7" t="s">
        <v>2710</v>
      </c>
      <c r="E63" s="7" t="s">
        <v>938</v>
      </c>
      <c r="F63" s="16" t="n">
        <v>22.2</v>
      </c>
      <c r="G63" s="7" t="s">
        <v>2711</v>
      </c>
      <c r="H63" s="7" t="s">
        <v>701</v>
      </c>
      <c r="I63" s="7" t="s">
        <v>2773</v>
      </c>
    </row>
    <row r="64" customFormat="false" ht="15" hidden="false" customHeight="false" outlineLevel="0" collapsed="false">
      <c r="A64" s="7" t="s">
        <v>137</v>
      </c>
      <c r="B64" s="7" t="s">
        <v>149</v>
      </c>
      <c r="C64" s="20" t="n">
        <v>45845</v>
      </c>
      <c r="D64" s="7" t="s">
        <v>2710</v>
      </c>
      <c r="E64" s="7" t="s">
        <v>938</v>
      </c>
      <c r="F64" s="16" t="n">
        <v>13.1</v>
      </c>
      <c r="G64" s="7" t="s">
        <v>2711</v>
      </c>
      <c r="H64" s="7" t="s">
        <v>701</v>
      </c>
      <c r="I64" s="7" t="s">
        <v>2774</v>
      </c>
    </row>
    <row r="65" customFormat="false" ht="15" hidden="false" customHeight="false" outlineLevel="0" collapsed="false">
      <c r="A65" s="7" t="s">
        <v>137</v>
      </c>
      <c r="B65" s="7" t="s">
        <v>141</v>
      </c>
      <c r="C65" s="20" t="n">
        <v>45936</v>
      </c>
      <c r="D65" s="7" t="s">
        <v>2710</v>
      </c>
      <c r="E65" s="7" t="s">
        <v>938</v>
      </c>
      <c r="F65" s="16" t="n">
        <v>12.5</v>
      </c>
      <c r="G65" s="7" t="s">
        <v>2711</v>
      </c>
      <c r="H65" s="7" t="s">
        <v>701</v>
      </c>
      <c r="I65" s="7" t="s">
        <v>2775</v>
      </c>
    </row>
    <row r="66" customFormat="false" ht="15" hidden="false" customHeight="false" outlineLevel="0" collapsed="false">
      <c r="A66" s="7" t="s">
        <v>137</v>
      </c>
      <c r="B66" s="7" t="s">
        <v>149</v>
      </c>
      <c r="C66" s="20" t="n">
        <v>45937</v>
      </c>
      <c r="D66" s="7" t="s">
        <v>2710</v>
      </c>
      <c r="E66" s="7" t="s">
        <v>938</v>
      </c>
      <c r="F66" s="16" t="n">
        <v>18.6</v>
      </c>
      <c r="G66" s="7" t="s">
        <v>2711</v>
      </c>
      <c r="H66" s="7" t="s">
        <v>701</v>
      </c>
      <c r="I66" s="7" t="s">
        <v>2776</v>
      </c>
    </row>
    <row r="67" customFormat="false" ht="15" hidden="false" customHeight="false" outlineLevel="0" collapsed="false">
      <c r="A67" s="7" t="s">
        <v>137</v>
      </c>
      <c r="B67" s="7" t="s">
        <v>149</v>
      </c>
      <c r="C67" s="20" t="n">
        <v>45938</v>
      </c>
      <c r="D67" s="7" t="s">
        <v>2710</v>
      </c>
      <c r="E67" s="7" t="s">
        <v>938</v>
      </c>
      <c r="F67" s="16" t="n">
        <v>13.9</v>
      </c>
      <c r="G67" s="7" t="s">
        <v>2711</v>
      </c>
      <c r="H67" s="7" t="s">
        <v>701</v>
      </c>
      <c r="I67" s="7" t="s">
        <v>2777</v>
      </c>
    </row>
    <row r="68" customFormat="false" ht="15" hidden="false" customHeight="false" outlineLevel="0" collapsed="false">
      <c r="A68" s="7" t="s">
        <v>137</v>
      </c>
      <c r="B68" s="7" t="s">
        <v>149</v>
      </c>
      <c r="C68" s="20" t="n">
        <v>45938</v>
      </c>
      <c r="D68" s="7" t="s">
        <v>2710</v>
      </c>
      <c r="E68" s="7" t="s">
        <v>938</v>
      </c>
      <c r="F68" s="16" t="n">
        <v>9.2</v>
      </c>
      <c r="G68" s="7" t="s">
        <v>2711</v>
      </c>
      <c r="H68" s="7" t="s">
        <v>701</v>
      </c>
      <c r="I68" s="7" t="s">
        <v>2778</v>
      </c>
    </row>
    <row r="69" customFormat="false" ht="15" hidden="false" customHeight="false" outlineLevel="0" collapsed="false">
      <c r="A69" s="7" t="s">
        <v>137</v>
      </c>
      <c r="B69" s="7" t="s">
        <v>149</v>
      </c>
      <c r="C69" s="20" t="n">
        <v>45938</v>
      </c>
      <c r="D69" s="7" t="s">
        <v>2710</v>
      </c>
      <c r="E69" s="7" t="s">
        <v>938</v>
      </c>
      <c r="F69" s="16" t="n">
        <v>14</v>
      </c>
      <c r="G69" s="7" t="s">
        <v>2711</v>
      </c>
      <c r="H69" s="7" t="s">
        <v>701</v>
      </c>
      <c r="I69" s="7" t="s">
        <v>2779</v>
      </c>
    </row>
    <row r="70" customFormat="false" ht="15" hidden="false" customHeight="false" outlineLevel="0" collapsed="false">
      <c r="A70" s="7" t="s">
        <v>137</v>
      </c>
      <c r="B70" s="7" t="s">
        <v>149</v>
      </c>
      <c r="C70" s="20" t="n">
        <v>45940</v>
      </c>
      <c r="D70" s="7" t="s">
        <v>2710</v>
      </c>
      <c r="E70" s="7" t="s">
        <v>938</v>
      </c>
      <c r="F70" s="16" t="n">
        <v>16.7</v>
      </c>
      <c r="G70" s="7" t="s">
        <v>2711</v>
      </c>
      <c r="H70" s="7" t="s">
        <v>701</v>
      </c>
      <c r="I70" s="7" t="s">
        <v>2780</v>
      </c>
    </row>
    <row r="71" customFormat="false" ht="15" hidden="false" customHeight="false" outlineLevel="0" collapsed="false">
      <c r="A71" s="7" t="s">
        <v>137</v>
      </c>
      <c r="B71" s="7" t="s">
        <v>149</v>
      </c>
      <c r="C71" s="20" t="n">
        <v>45941</v>
      </c>
      <c r="D71" s="7" t="s">
        <v>2710</v>
      </c>
      <c r="E71" s="7" t="s">
        <v>938</v>
      </c>
      <c r="F71" s="16" t="n">
        <v>19.7</v>
      </c>
      <c r="G71" s="7" t="s">
        <v>2711</v>
      </c>
      <c r="H71" s="7" t="s">
        <v>701</v>
      </c>
      <c r="I71" s="7" t="s">
        <v>2781</v>
      </c>
    </row>
    <row r="72" customFormat="false" ht="15" hidden="false" customHeight="false" outlineLevel="0" collapsed="false">
      <c r="A72" s="7" t="s">
        <v>137</v>
      </c>
      <c r="B72" s="7" t="s">
        <v>149</v>
      </c>
      <c r="C72" s="20" t="n">
        <v>45941</v>
      </c>
      <c r="D72" s="7" t="s">
        <v>2710</v>
      </c>
      <c r="E72" s="7" t="s">
        <v>938</v>
      </c>
      <c r="F72" s="16" t="n">
        <v>12</v>
      </c>
      <c r="G72" s="7" t="s">
        <v>2711</v>
      </c>
      <c r="H72" s="7" t="s">
        <v>701</v>
      </c>
      <c r="I72" s="7" t="s">
        <v>2782</v>
      </c>
    </row>
    <row r="73" customFormat="false" ht="15" hidden="false" customHeight="false" outlineLevel="0" collapsed="false">
      <c r="A73" s="7" t="s">
        <v>137</v>
      </c>
      <c r="B73" s="7" t="s">
        <v>144</v>
      </c>
      <c r="C73" s="20" t="n">
        <v>45943</v>
      </c>
      <c r="D73" s="7" t="s">
        <v>2710</v>
      </c>
      <c r="E73" s="7" t="s">
        <v>938</v>
      </c>
      <c r="F73" s="16" t="n">
        <v>8</v>
      </c>
      <c r="G73" s="7" t="s">
        <v>2711</v>
      </c>
      <c r="H73" s="7" t="s">
        <v>701</v>
      </c>
      <c r="I73" s="7" t="s">
        <v>2783</v>
      </c>
    </row>
    <row r="74" customFormat="false" ht="15" hidden="false" customHeight="false" outlineLevel="0" collapsed="false">
      <c r="A74" s="7" t="s">
        <v>137</v>
      </c>
      <c r="B74" s="7" t="s">
        <v>149</v>
      </c>
      <c r="C74" s="20" t="n">
        <v>45943</v>
      </c>
      <c r="D74" s="7" t="s">
        <v>2710</v>
      </c>
      <c r="E74" s="7" t="s">
        <v>938</v>
      </c>
      <c r="F74" s="16" t="n">
        <v>32.3</v>
      </c>
      <c r="G74" s="7" t="s">
        <v>2711</v>
      </c>
      <c r="H74" s="7" t="s">
        <v>701</v>
      </c>
      <c r="I74" s="7" t="s">
        <v>2784</v>
      </c>
    </row>
    <row r="75" customFormat="false" ht="15" hidden="false" customHeight="false" outlineLevel="0" collapsed="false">
      <c r="A75" s="7" t="s">
        <v>137</v>
      </c>
      <c r="B75" s="7" t="s">
        <v>149</v>
      </c>
      <c r="C75" s="20" t="n">
        <v>45943</v>
      </c>
      <c r="D75" s="7" t="s">
        <v>2710</v>
      </c>
      <c r="E75" s="7" t="s">
        <v>938</v>
      </c>
      <c r="F75" s="16" t="n">
        <v>10.5</v>
      </c>
      <c r="G75" s="7" t="s">
        <v>2711</v>
      </c>
      <c r="H75" s="7" t="s">
        <v>701</v>
      </c>
      <c r="I75" s="7" t="s">
        <v>2785</v>
      </c>
    </row>
    <row r="76" customFormat="false" ht="15" hidden="false" customHeight="false" outlineLevel="0" collapsed="false">
      <c r="A76" s="7" t="s">
        <v>137</v>
      </c>
      <c r="B76" s="7" t="s">
        <v>149</v>
      </c>
      <c r="C76" s="20" t="n">
        <v>45943</v>
      </c>
      <c r="D76" s="7" t="s">
        <v>2710</v>
      </c>
      <c r="E76" s="7" t="s">
        <v>938</v>
      </c>
      <c r="F76" s="16" t="n">
        <v>10.2</v>
      </c>
      <c r="G76" s="7" t="s">
        <v>2711</v>
      </c>
      <c r="H76" s="7" t="s">
        <v>701</v>
      </c>
      <c r="I76" s="7" t="s">
        <v>2786</v>
      </c>
    </row>
    <row r="77" customFormat="false" ht="15" hidden="false" customHeight="false" outlineLevel="0" collapsed="false">
      <c r="A77" s="7" t="s">
        <v>137</v>
      </c>
      <c r="B77" s="7" t="s">
        <v>149</v>
      </c>
      <c r="C77" s="20" t="n">
        <v>45944</v>
      </c>
      <c r="D77" s="7" t="s">
        <v>2710</v>
      </c>
      <c r="E77" s="7" t="s">
        <v>938</v>
      </c>
      <c r="F77" s="16" t="n">
        <v>39.2</v>
      </c>
      <c r="G77" s="7" t="s">
        <v>2711</v>
      </c>
      <c r="H77" s="7" t="s">
        <v>701</v>
      </c>
      <c r="I77" s="7" t="s">
        <v>2787</v>
      </c>
    </row>
    <row r="78" customFormat="false" ht="15" hidden="false" customHeight="false" outlineLevel="0" collapsed="false">
      <c r="A78" s="7" t="s">
        <v>137</v>
      </c>
      <c r="B78" s="7" t="s">
        <v>149</v>
      </c>
      <c r="C78" s="20" t="n">
        <v>45946</v>
      </c>
      <c r="D78" s="7" t="s">
        <v>2710</v>
      </c>
      <c r="E78" s="7" t="s">
        <v>938</v>
      </c>
      <c r="F78" s="16" t="n">
        <v>10</v>
      </c>
      <c r="G78" s="7" t="s">
        <v>2711</v>
      </c>
      <c r="H78" s="7" t="s">
        <v>701</v>
      </c>
      <c r="I78" s="7" t="s">
        <v>2788</v>
      </c>
    </row>
    <row r="79" customFormat="false" ht="15" hidden="false" customHeight="false" outlineLevel="0" collapsed="false">
      <c r="A79" s="7" t="s">
        <v>137</v>
      </c>
      <c r="B79" s="7" t="s">
        <v>149</v>
      </c>
      <c r="C79" s="20" t="n">
        <v>45948</v>
      </c>
      <c r="D79" s="7" t="s">
        <v>2710</v>
      </c>
      <c r="E79" s="7" t="s">
        <v>938</v>
      </c>
      <c r="F79" s="16" t="n">
        <v>18.9</v>
      </c>
      <c r="G79" s="7" t="s">
        <v>2711</v>
      </c>
      <c r="H79" s="7" t="s">
        <v>701</v>
      </c>
      <c r="I79" s="7" t="s">
        <v>2789</v>
      </c>
    </row>
    <row r="80" customFormat="false" ht="15" hidden="false" customHeight="false" outlineLevel="0" collapsed="false">
      <c r="A80" s="7" t="s">
        <v>137</v>
      </c>
      <c r="B80" s="7" t="s">
        <v>149</v>
      </c>
      <c r="C80" s="20" t="n">
        <v>45949</v>
      </c>
      <c r="D80" s="7" t="s">
        <v>2710</v>
      </c>
      <c r="E80" s="7" t="s">
        <v>938</v>
      </c>
      <c r="F80" s="16" t="n">
        <v>9.2</v>
      </c>
      <c r="G80" s="7" t="s">
        <v>2711</v>
      </c>
      <c r="H80" s="7" t="s">
        <v>701</v>
      </c>
      <c r="I80" s="7" t="s">
        <v>2790</v>
      </c>
    </row>
    <row r="81" customFormat="false" ht="15" hidden="false" customHeight="false" outlineLevel="0" collapsed="false">
      <c r="A81" s="7" t="s">
        <v>137</v>
      </c>
      <c r="B81" s="7" t="s">
        <v>149</v>
      </c>
      <c r="C81" s="20" t="n">
        <v>45959</v>
      </c>
      <c r="D81" s="7" t="s">
        <v>2710</v>
      </c>
      <c r="E81" s="7" t="s">
        <v>938</v>
      </c>
      <c r="F81" s="16" t="n">
        <v>10.9</v>
      </c>
      <c r="G81" s="7" t="s">
        <v>2711</v>
      </c>
      <c r="H81" s="7" t="s">
        <v>701</v>
      </c>
      <c r="I81" s="7" t="s">
        <v>2791</v>
      </c>
    </row>
    <row r="82" customFormat="false" ht="15" hidden="false" customHeight="false" outlineLevel="0" collapsed="false">
      <c r="A82" s="7" t="s">
        <v>137</v>
      </c>
      <c r="B82" s="7" t="s">
        <v>149</v>
      </c>
      <c r="C82" s="20" t="n">
        <v>45960</v>
      </c>
      <c r="D82" s="7" t="s">
        <v>2710</v>
      </c>
      <c r="E82" s="7" t="s">
        <v>938</v>
      </c>
      <c r="F82" s="16" t="n">
        <v>24.9</v>
      </c>
      <c r="G82" s="7" t="s">
        <v>2711</v>
      </c>
      <c r="H82" s="7" t="s">
        <v>701</v>
      </c>
      <c r="I82" s="7" t="s">
        <v>2792</v>
      </c>
    </row>
    <row r="83" customFormat="false" ht="15" hidden="false" customHeight="false" outlineLevel="0" collapsed="false">
      <c r="A83" s="7" t="s">
        <v>137</v>
      </c>
      <c r="B83" s="7" t="s">
        <v>146</v>
      </c>
      <c r="C83" s="20" t="n">
        <v>46195</v>
      </c>
      <c r="D83" s="7" t="s">
        <v>2710</v>
      </c>
      <c r="E83" s="7" t="s">
        <v>938</v>
      </c>
      <c r="F83" s="16" t="n">
        <v>8</v>
      </c>
      <c r="G83" s="7" t="s">
        <v>2711</v>
      </c>
      <c r="H83" s="7" t="s">
        <v>701</v>
      </c>
      <c r="I83" s="7" t="s">
        <v>2793</v>
      </c>
    </row>
    <row r="84" customFormat="false" ht="15" hidden="false" customHeight="false" outlineLevel="0" collapsed="false">
      <c r="A84" s="7" t="s">
        <v>137</v>
      </c>
      <c r="B84" s="7" t="s">
        <v>149</v>
      </c>
      <c r="C84" s="20" t="n">
        <v>46198</v>
      </c>
      <c r="D84" s="7" t="s">
        <v>2710</v>
      </c>
      <c r="E84" s="7" t="s">
        <v>938</v>
      </c>
      <c r="F84" s="16" t="n">
        <v>7.7</v>
      </c>
      <c r="G84" s="7" t="s">
        <v>2711</v>
      </c>
      <c r="H84" s="7" t="s">
        <v>701</v>
      </c>
      <c r="I84" s="7" t="s">
        <v>2794</v>
      </c>
    </row>
    <row r="85" customFormat="false" ht="15" hidden="false" customHeight="false" outlineLevel="0" collapsed="false">
      <c r="A85" s="7" t="s">
        <v>137</v>
      </c>
      <c r="B85" s="7" t="s">
        <v>149</v>
      </c>
      <c r="C85" s="20" t="n">
        <v>46201</v>
      </c>
      <c r="D85" s="7" t="s">
        <v>2710</v>
      </c>
      <c r="E85" s="7" t="s">
        <v>938</v>
      </c>
      <c r="F85" s="16" t="n">
        <v>13.4</v>
      </c>
      <c r="G85" s="7" t="s">
        <v>2711</v>
      </c>
      <c r="H85" s="7" t="s">
        <v>701</v>
      </c>
      <c r="I85" s="7" t="s">
        <v>2795</v>
      </c>
    </row>
    <row r="86" customFormat="false" ht="15" hidden="false" customHeight="false" outlineLevel="0" collapsed="false">
      <c r="A86" s="7" t="s">
        <v>137</v>
      </c>
      <c r="B86" s="7" t="s">
        <v>149</v>
      </c>
      <c r="C86" s="20" t="n">
        <v>46202</v>
      </c>
      <c r="D86" s="7" t="s">
        <v>2710</v>
      </c>
      <c r="E86" s="7" t="s">
        <v>938</v>
      </c>
      <c r="F86" s="16" t="n">
        <v>25.2</v>
      </c>
      <c r="G86" s="7" t="s">
        <v>2711</v>
      </c>
      <c r="H86" s="7" t="s">
        <v>701</v>
      </c>
      <c r="I86" s="7" t="s">
        <v>2796</v>
      </c>
    </row>
    <row r="87" customFormat="false" ht="15" hidden="false" customHeight="false" outlineLevel="0" collapsed="false">
      <c r="A87" s="7" t="s">
        <v>137</v>
      </c>
      <c r="B87" s="7" t="s">
        <v>149</v>
      </c>
      <c r="C87" s="20" t="n">
        <v>46204</v>
      </c>
      <c r="D87" s="7" t="s">
        <v>2710</v>
      </c>
      <c r="E87" s="7" t="s">
        <v>938</v>
      </c>
      <c r="F87" s="16" t="n">
        <v>9.4</v>
      </c>
      <c r="G87" s="7" t="s">
        <v>2711</v>
      </c>
      <c r="H87" s="7" t="s">
        <v>701</v>
      </c>
      <c r="I87" s="7" t="s">
        <v>2797</v>
      </c>
    </row>
    <row r="88" customFormat="false" ht="15" hidden="false" customHeight="false" outlineLevel="0" collapsed="false">
      <c r="A88" s="7" t="s">
        <v>137</v>
      </c>
      <c r="B88" s="7" t="s">
        <v>149</v>
      </c>
      <c r="C88" s="20" t="n">
        <v>46205</v>
      </c>
      <c r="D88" s="7" t="s">
        <v>2710</v>
      </c>
      <c r="E88" s="7" t="s">
        <v>938</v>
      </c>
      <c r="F88" s="16" t="n">
        <v>18.2</v>
      </c>
      <c r="G88" s="7" t="s">
        <v>2711</v>
      </c>
      <c r="H88" s="7" t="s">
        <v>701</v>
      </c>
      <c r="I88" s="7" t="s">
        <v>2798</v>
      </c>
    </row>
    <row r="89" customFormat="false" ht="15" hidden="false" customHeight="false" outlineLevel="0" collapsed="false">
      <c r="A89" s="7" t="s">
        <v>137</v>
      </c>
      <c r="B89" s="7" t="s">
        <v>149</v>
      </c>
      <c r="C89" s="20" t="n">
        <v>46209</v>
      </c>
      <c r="D89" s="7" t="s">
        <v>2710</v>
      </c>
      <c r="E89" s="7" t="s">
        <v>938</v>
      </c>
      <c r="F89" s="16" t="n">
        <v>13.2</v>
      </c>
      <c r="G89" s="7" t="s">
        <v>2711</v>
      </c>
      <c r="H89" s="7" t="s">
        <v>701</v>
      </c>
      <c r="I89" s="7" t="s">
        <v>2799</v>
      </c>
    </row>
    <row r="90" customFormat="false" ht="15" hidden="false" customHeight="false" outlineLevel="0" collapsed="false">
      <c r="A90" s="7" t="s">
        <v>137</v>
      </c>
      <c r="B90" s="7" t="s">
        <v>149</v>
      </c>
      <c r="C90" s="20" t="n">
        <v>46210</v>
      </c>
      <c r="D90" s="7" t="s">
        <v>2710</v>
      </c>
      <c r="E90" s="7" t="s">
        <v>938</v>
      </c>
      <c r="F90" s="16" t="n">
        <v>9.7</v>
      </c>
      <c r="G90" s="7" t="s">
        <v>2711</v>
      </c>
      <c r="H90" s="7" t="s">
        <v>701</v>
      </c>
      <c r="I90" s="7" t="s">
        <v>2800</v>
      </c>
    </row>
    <row r="91" customFormat="false" ht="15" hidden="false" customHeight="false" outlineLevel="0" collapsed="false">
      <c r="A91" s="7" t="s">
        <v>137</v>
      </c>
      <c r="B91" s="7" t="s">
        <v>149</v>
      </c>
      <c r="C91" s="20" t="n">
        <v>46210</v>
      </c>
      <c r="D91" s="7" t="s">
        <v>2710</v>
      </c>
      <c r="E91" s="7" t="s">
        <v>938</v>
      </c>
      <c r="F91" s="16" t="n">
        <v>8.5</v>
      </c>
      <c r="G91" s="7" t="s">
        <v>2711</v>
      </c>
      <c r="H91" s="7" t="s">
        <v>701</v>
      </c>
      <c r="I91" s="7" t="s">
        <v>2801</v>
      </c>
    </row>
    <row r="92" customFormat="false" ht="15" hidden="false" customHeight="false" outlineLevel="0" collapsed="false">
      <c r="A92" s="7" t="s">
        <v>137</v>
      </c>
      <c r="B92" s="7" t="s">
        <v>141</v>
      </c>
      <c r="C92" s="20" t="n">
        <v>46287</v>
      </c>
      <c r="D92" s="7" t="s">
        <v>2710</v>
      </c>
      <c r="E92" s="7" t="s">
        <v>938</v>
      </c>
      <c r="F92" s="16" t="n">
        <v>8</v>
      </c>
      <c r="G92" s="7" t="s">
        <v>2711</v>
      </c>
      <c r="H92" s="7" t="s">
        <v>701</v>
      </c>
      <c r="I92" s="7" t="s">
        <v>2802</v>
      </c>
    </row>
  </sheetData>
  <autoFilter ref="A1:I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56"/>
    <col collapsed="false" customWidth="true" hidden="false" outlineLevel="0" max="6" min="5" style="0" width="15"/>
    <col collapsed="false" customWidth="true" hidden="false" outlineLevel="0" max="8" min="7" style="0" width="10"/>
    <col collapsed="false" customWidth="true" hidden="false" outlineLevel="0" max="9" min="9" style="0" width="21"/>
    <col collapsed="false" customWidth="true" hidden="false" outlineLevel="0" max="10" min="10" style="0" width="23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25"/>
    <col collapsed="false" customWidth="true" hidden="false" outlineLevel="0" max="16" min="16" style="0" width="26"/>
  </cols>
  <sheetData>
    <row r="1" customFormat="false" ht="23.85" hidden="false" customHeight="false" outlineLevel="0" collapsed="false">
      <c r="A1" s="11" t="s">
        <v>131</v>
      </c>
      <c r="B1" s="11" t="s">
        <v>2803</v>
      </c>
      <c r="C1" s="11" t="s">
        <v>2804</v>
      </c>
      <c r="D1" s="11" t="s">
        <v>2708</v>
      </c>
      <c r="E1" s="11" t="s">
        <v>50</v>
      </c>
      <c r="F1" s="11" t="s">
        <v>130</v>
      </c>
      <c r="G1" s="11" t="s">
        <v>729</v>
      </c>
      <c r="H1" s="11" t="s">
        <v>730</v>
      </c>
      <c r="I1" s="11" t="s">
        <v>2805</v>
      </c>
      <c r="J1" s="11" t="s">
        <v>2806</v>
      </c>
      <c r="K1" s="11" t="s">
        <v>2807</v>
      </c>
      <c r="L1" s="11" t="s">
        <v>2808</v>
      </c>
      <c r="M1" s="11" t="s">
        <v>2809</v>
      </c>
      <c r="N1" s="11" t="s">
        <v>2810</v>
      </c>
      <c r="O1" s="11" t="s">
        <v>2811</v>
      </c>
      <c r="P1" s="11" t="s">
        <v>2812</v>
      </c>
    </row>
    <row r="2" customFormat="false" ht="15" hidden="false" customHeight="false" outlineLevel="0" collapsed="false">
      <c r="A2" s="7" t="s">
        <v>137</v>
      </c>
      <c r="B2" s="20" t="n">
        <v>44926</v>
      </c>
      <c r="C2" s="7" t="s">
        <v>2813</v>
      </c>
      <c r="D2" s="7" t="s">
        <v>2814</v>
      </c>
      <c r="E2" s="7" t="s">
        <v>2815</v>
      </c>
      <c r="F2" s="7" t="s">
        <v>144</v>
      </c>
      <c r="G2" s="16" t="n">
        <v>3800</v>
      </c>
      <c r="H2" s="7" t="s">
        <v>798</v>
      </c>
      <c r="I2" s="22" t="n">
        <v>12.816</v>
      </c>
      <c r="J2" s="22" t="n">
        <v>14.24</v>
      </c>
      <c r="K2" s="8" t="n">
        <v>48700.8</v>
      </c>
      <c r="L2" s="8" t="n">
        <v>54112</v>
      </c>
      <c r="M2" s="7" t="s">
        <v>2816</v>
      </c>
      <c r="N2" s="7" t="s">
        <v>2817</v>
      </c>
      <c r="O2" s="7" t="s">
        <v>2818</v>
      </c>
      <c r="P2" s="7" t="s">
        <v>2819</v>
      </c>
    </row>
    <row r="3" customFormat="false" ht="15" hidden="false" customHeight="false" outlineLevel="0" collapsed="false">
      <c r="A3" s="7" t="s">
        <v>137</v>
      </c>
      <c r="B3" s="20" t="n">
        <v>45107</v>
      </c>
      <c r="C3" s="7" t="s">
        <v>2820</v>
      </c>
      <c r="D3" s="7" t="s">
        <v>2821</v>
      </c>
      <c r="E3" s="7" t="s">
        <v>2815</v>
      </c>
      <c r="F3" s="7" t="s">
        <v>146</v>
      </c>
      <c r="G3" s="16" t="n">
        <v>992</v>
      </c>
      <c r="H3" s="7" t="s">
        <v>798</v>
      </c>
      <c r="I3" s="22" t="n">
        <v>7.155</v>
      </c>
      <c r="J3" s="22" t="n">
        <v>7.95</v>
      </c>
      <c r="K3" s="8" t="n">
        <v>7097.76</v>
      </c>
      <c r="L3" s="8" t="n">
        <v>7886.4</v>
      </c>
      <c r="M3" s="7" t="s">
        <v>2816</v>
      </c>
      <c r="N3" s="7" t="s">
        <v>698</v>
      </c>
      <c r="O3" s="7" t="s">
        <v>2818</v>
      </c>
      <c r="P3" s="7" t="s">
        <v>2819</v>
      </c>
    </row>
    <row r="4" customFormat="false" ht="15" hidden="false" customHeight="false" outlineLevel="0" collapsed="false">
      <c r="A4" s="7" t="s">
        <v>137</v>
      </c>
      <c r="B4" s="20" t="n">
        <v>45138</v>
      </c>
      <c r="C4" s="7" t="s">
        <v>2820</v>
      </c>
      <c r="D4" s="7" t="s">
        <v>2821</v>
      </c>
      <c r="E4" s="7" t="s">
        <v>2815</v>
      </c>
      <c r="F4" s="7" t="s">
        <v>146</v>
      </c>
      <c r="G4" s="16" t="n">
        <v>992</v>
      </c>
      <c r="H4" s="7" t="s">
        <v>798</v>
      </c>
      <c r="I4" s="22" t="n">
        <v>6.822</v>
      </c>
      <c r="J4" s="22" t="n">
        <v>7.58</v>
      </c>
      <c r="K4" s="8" t="n">
        <v>6767.42</v>
      </c>
      <c r="L4" s="8" t="n">
        <v>7519.36</v>
      </c>
      <c r="M4" s="7" t="s">
        <v>2816</v>
      </c>
      <c r="N4" s="7" t="s">
        <v>698</v>
      </c>
      <c r="O4" s="7" t="s">
        <v>2818</v>
      </c>
      <c r="P4" s="7" t="s">
        <v>2819</v>
      </c>
    </row>
    <row r="5" customFormat="false" ht="15" hidden="false" customHeight="false" outlineLevel="0" collapsed="false">
      <c r="A5" s="7" t="s">
        <v>137</v>
      </c>
      <c r="B5" s="20" t="n">
        <v>45169</v>
      </c>
      <c r="C5" s="7" t="s">
        <v>2820</v>
      </c>
      <c r="D5" s="7" t="s">
        <v>2821</v>
      </c>
      <c r="E5" s="7" t="s">
        <v>2815</v>
      </c>
      <c r="F5" s="7" t="s">
        <v>146</v>
      </c>
      <c r="G5" s="16" t="n">
        <v>992</v>
      </c>
      <c r="H5" s="7" t="s">
        <v>798</v>
      </c>
      <c r="I5" s="22" t="n">
        <v>6.48</v>
      </c>
      <c r="J5" s="22" t="n">
        <v>7.2</v>
      </c>
      <c r="K5" s="8" t="n">
        <v>6428.16</v>
      </c>
      <c r="L5" s="8" t="n">
        <v>7142.4</v>
      </c>
      <c r="M5" s="7" t="s">
        <v>2816</v>
      </c>
      <c r="N5" s="7" t="s">
        <v>698</v>
      </c>
      <c r="O5" s="7" t="s">
        <v>2818</v>
      </c>
      <c r="P5" s="7" t="s">
        <v>2819</v>
      </c>
    </row>
    <row r="6" customFormat="false" ht="15" hidden="false" customHeight="false" outlineLevel="0" collapsed="false">
      <c r="A6" s="7" t="s">
        <v>137</v>
      </c>
      <c r="B6" s="20" t="n">
        <v>45199</v>
      </c>
      <c r="C6" s="7" t="s">
        <v>2820</v>
      </c>
      <c r="D6" s="7" t="s">
        <v>2821</v>
      </c>
      <c r="E6" s="7" t="s">
        <v>2815</v>
      </c>
      <c r="F6" s="7" t="s">
        <v>146</v>
      </c>
      <c r="G6" s="16" t="n">
        <v>992</v>
      </c>
      <c r="H6" s="7" t="s">
        <v>798</v>
      </c>
      <c r="I6" s="22" t="n">
        <v>6.138</v>
      </c>
      <c r="J6" s="22" t="n">
        <v>6.82</v>
      </c>
      <c r="K6" s="8" t="n">
        <v>6088.9</v>
      </c>
      <c r="L6" s="8" t="n">
        <v>6765.44</v>
      </c>
      <c r="M6" s="7" t="s">
        <v>2816</v>
      </c>
      <c r="N6" s="7" t="s">
        <v>698</v>
      </c>
      <c r="O6" s="7" t="s">
        <v>2818</v>
      </c>
      <c r="P6" s="7" t="s">
        <v>2819</v>
      </c>
    </row>
    <row r="7" customFormat="false" ht="15" hidden="false" customHeight="false" outlineLevel="0" collapsed="false">
      <c r="A7" s="7" t="s">
        <v>137</v>
      </c>
      <c r="B7" s="20" t="n">
        <v>45230</v>
      </c>
      <c r="C7" s="7" t="s">
        <v>2822</v>
      </c>
      <c r="D7" s="7" t="s">
        <v>2823</v>
      </c>
      <c r="E7" s="7" t="s">
        <v>2815</v>
      </c>
      <c r="F7" s="7" t="s">
        <v>141</v>
      </c>
      <c r="G7" s="16" t="n">
        <v>15525</v>
      </c>
      <c r="H7" s="7" t="s">
        <v>798</v>
      </c>
      <c r="I7" s="22" t="n">
        <v>4.14</v>
      </c>
      <c r="J7" s="22" t="n">
        <v>4.6</v>
      </c>
      <c r="K7" s="8" t="n">
        <v>64273.5</v>
      </c>
      <c r="L7" s="8" t="n">
        <v>71415</v>
      </c>
      <c r="M7" s="7" t="s">
        <v>2816</v>
      </c>
      <c r="N7" s="7" t="s">
        <v>704</v>
      </c>
      <c r="O7" s="7" t="s">
        <v>2818</v>
      </c>
      <c r="P7" s="7" t="s">
        <v>2819</v>
      </c>
    </row>
    <row r="8" customFormat="false" ht="15" hidden="false" customHeight="false" outlineLevel="0" collapsed="false">
      <c r="A8" s="7" t="s">
        <v>137</v>
      </c>
      <c r="B8" s="20" t="n">
        <v>45260</v>
      </c>
      <c r="C8" s="7" t="s">
        <v>2822</v>
      </c>
      <c r="D8" s="7" t="s">
        <v>2823</v>
      </c>
      <c r="E8" s="7" t="s">
        <v>2815</v>
      </c>
      <c r="F8" s="7" t="s">
        <v>141</v>
      </c>
      <c r="G8" s="16" t="n">
        <v>15525</v>
      </c>
      <c r="H8" s="7" t="s">
        <v>798</v>
      </c>
      <c r="I8" s="22" t="n">
        <v>4.095</v>
      </c>
      <c r="J8" s="22" t="n">
        <v>4.55</v>
      </c>
      <c r="K8" s="8" t="n">
        <v>63574.87</v>
      </c>
      <c r="L8" s="8" t="n">
        <v>70638.75</v>
      </c>
      <c r="M8" s="7" t="s">
        <v>2816</v>
      </c>
      <c r="N8" s="7" t="s">
        <v>704</v>
      </c>
      <c r="O8" s="7" t="s">
        <v>2818</v>
      </c>
      <c r="P8" s="7" t="s">
        <v>2819</v>
      </c>
    </row>
    <row r="9" customFormat="false" ht="15" hidden="false" customHeight="false" outlineLevel="0" collapsed="false">
      <c r="A9" s="7" t="s">
        <v>137</v>
      </c>
      <c r="B9" s="20" t="n">
        <v>45291</v>
      </c>
      <c r="C9" s="7" t="s">
        <v>2822</v>
      </c>
      <c r="D9" s="7" t="s">
        <v>2823</v>
      </c>
      <c r="E9" s="7" t="s">
        <v>2815</v>
      </c>
      <c r="F9" s="7" t="s">
        <v>141</v>
      </c>
      <c r="G9" s="16" t="n">
        <v>15525</v>
      </c>
      <c r="H9" s="7" t="s">
        <v>798</v>
      </c>
      <c r="I9" s="22" t="n">
        <v>4.005</v>
      </c>
      <c r="J9" s="22" t="n">
        <v>4.45</v>
      </c>
      <c r="K9" s="8" t="n">
        <v>62177.62</v>
      </c>
      <c r="L9" s="8" t="n">
        <v>69086.25</v>
      </c>
      <c r="M9" s="7" t="s">
        <v>2816</v>
      </c>
      <c r="N9" s="7" t="s">
        <v>704</v>
      </c>
      <c r="O9" s="7" t="s">
        <v>2818</v>
      </c>
      <c r="P9" s="7" t="s">
        <v>2819</v>
      </c>
    </row>
    <row r="10" customFormat="false" ht="15" hidden="false" customHeight="false" outlineLevel="0" collapsed="false">
      <c r="A10" s="7" t="s">
        <v>137</v>
      </c>
      <c r="B10" s="20" t="n">
        <v>45322</v>
      </c>
      <c r="C10" s="7" t="s">
        <v>2822</v>
      </c>
      <c r="D10" s="7" t="s">
        <v>2823</v>
      </c>
      <c r="E10" s="7" t="s">
        <v>2815</v>
      </c>
      <c r="F10" s="7" t="s">
        <v>141</v>
      </c>
      <c r="G10" s="16" t="n">
        <v>15525</v>
      </c>
      <c r="H10" s="7" t="s">
        <v>798</v>
      </c>
      <c r="I10" s="22" t="n">
        <v>3.915</v>
      </c>
      <c r="J10" s="22" t="n">
        <v>4.35</v>
      </c>
      <c r="K10" s="8" t="n">
        <v>60780.37</v>
      </c>
      <c r="L10" s="8" t="n">
        <v>67533.75</v>
      </c>
      <c r="M10" s="7" t="s">
        <v>2816</v>
      </c>
      <c r="N10" s="7" t="s">
        <v>704</v>
      </c>
      <c r="O10" s="7" t="s">
        <v>2818</v>
      </c>
      <c r="P10" s="7" t="s">
        <v>2819</v>
      </c>
    </row>
    <row r="11" customFormat="false" ht="15" hidden="false" customHeight="false" outlineLevel="0" collapsed="false">
      <c r="A11" s="7" t="s">
        <v>137</v>
      </c>
      <c r="B11" s="20" t="n">
        <v>45351</v>
      </c>
      <c r="C11" s="7" t="s">
        <v>2822</v>
      </c>
      <c r="D11" s="7" t="s">
        <v>2823</v>
      </c>
      <c r="E11" s="7" t="s">
        <v>2815</v>
      </c>
      <c r="F11" s="7" t="s">
        <v>141</v>
      </c>
      <c r="G11" s="16" t="n">
        <v>15525</v>
      </c>
      <c r="H11" s="7" t="s">
        <v>798</v>
      </c>
      <c r="I11" s="22" t="n">
        <v>3.834</v>
      </c>
      <c r="J11" s="22" t="n">
        <v>4.26</v>
      </c>
      <c r="K11" s="8" t="n">
        <v>59522.85</v>
      </c>
      <c r="L11" s="8" t="n">
        <v>66136.5</v>
      </c>
      <c r="M11" s="7" t="s">
        <v>2816</v>
      </c>
      <c r="N11" s="7" t="s">
        <v>704</v>
      </c>
      <c r="O11" s="7" t="s">
        <v>2818</v>
      </c>
      <c r="P11" s="7" t="s">
        <v>2819</v>
      </c>
    </row>
    <row r="12" customFormat="false" ht="15" hidden="false" customHeight="false" outlineLevel="0" collapsed="false">
      <c r="A12" s="7" t="s">
        <v>137</v>
      </c>
      <c r="B12" s="20" t="n">
        <v>45382</v>
      </c>
      <c r="C12" s="7" t="s">
        <v>2822</v>
      </c>
      <c r="D12" s="7" t="s">
        <v>2823</v>
      </c>
      <c r="E12" s="7" t="s">
        <v>2815</v>
      </c>
      <c r="F12" s="7" t="s">
        <v>141</v>
      </c>
      <c r="G12" s="16" t="n">
        <v>6469</v>
      </c>
      <c r="H12" s="7" t="s">
        <v>798</v>
      </c>
      <c r="I12" s="22" t="n">
        <v>3.843</v>
      </c>
      <c r="J12" s="22" t="n">
        <v>4.27</v>
      </c>
      <c r="K12" s="8" t="n">
        <v>24860.37</v>
      </c>
      <c r="L12" s="8" t="n">
        <v>27622.63</v>
      </c>
      <c r="M12" s="7" t="s">
        <v>2816</v>
      </c>
      <c r="N12" s="7" t="s">
        <v>704</v>
      </c>
      <c r="O12" s="7" t="s">
        <v>2818</v>
      </c>
      <c r="P12" s="7" t="s">
        <v>2819</v>
      </c>
    </row>
    <row r="13" customFormat="false" ht="15" hidden="false" customHeight="false" outlineLevel="0" collapsed="false">
      <c r="A13" s="7" t="s">
        <v>137</v>
      </c>
      <c r="B13" s="20" t="n">
        <v>45412</v>
      </c>
      <c r="C13" s="7" t="s">
        <v>2822</v>
      </c>
      <c r="D13" s="7" t="s">
        <v>2823</v>
      </c>
      <c r="E13" s="7" t="s">
        <v>2815</v>
      </c>
      <c r="F13" s="7" t="s">
        <v>141</v>
      </c>
      <c r="G13" s="16" t="n">
        <v>6469</v>
      </c>
      <c r="H13" s="7" t="s">
        <v>798</v>
      </c>
      <c r="I13" s="22" t="n">
        <v>3.87</v>
      </c>
      <c r="J13" s="22" t="n">
        <v>4.3</v>
      </c>
      <c r="K13" s="8" t="n">
        <v>25035.03</v>
      </c>
      <c r="L13" s="8" t="n">
        <v>27816.7</v>
      </c>
      <c r="M13" s="7" t="s">
        <v>2816</v>
      </c>
      <c r="N13" s="7" t="s">
        <v>704</v>
      </c>
      <c r="O13" s="7" t="s">
        <v>2818</v>
      </c>
      <c r="P13" s="7" t="s">
        <v>2819</v>
      </c>
    </row>
    <row r="14" customFormat="false" ht="15" hidden="false" customHeight="false" outlineLevel="0" collapsed="false">
      <c r="A14" s="7" t="s">
        <v>137</v>
      </c>
      <c r="B14" s="20" t="n">
        <v>45473</v>
      </c>
      <c r="C14" s="7" t="s">
        <v>2824</v>
      </c>
      <c r="D14" s="7" t="s">
        <v>2825</v>
      </c>
      <c r="E14" s="7" t="s">
        <v>2815</v>
      </c>
      <c r="F14" s="7" t="s">
        <v>146</v>
      </c>
      <c r="G14" s="16" t="n">
        <v>1472</v>
      </c>
      <c r="H14" s="7" t="s">
        <v>798</v>
      </c>
      <c r="I14" s="22" t="n">
        <v>4.932</v>
      </c>
      <c r="J14" s="22" t="n">
        <v>5.48</v>
      </c>
      <c r="K14" s="8" t="n">
        <v>7259.9</v>
      </c>
      <c r="L14" s="8" t="n">
        <v>8066.56</v>
      </c>
      <c r="M14" s="7" t="s">
        <v>2816</v>
      </c>
      <c r="N14" s="7" t="s">
        <v>705</v>
      </c>
      <c r="O14" s="7" t="s">
        <v>2818</v>
      </c>
      <c r="P14" s="7" t="s">
        <v>2819</v>
      </c>
    </row>
    <row r="15" customFormat="false" ht="15" hidden="false" customHeight="false" outlineLevel="0" collapsed="false">
      <c r="A15" s="7" t="s">
        <v>137</v>
      </c>
      <c r="B15" s="20" t="n">
        <v>45504</v>
      </c>
      <c r="C15" s="7" t="s">
        <v>2824</v>
      </c>
      <c r="D15" s="7" t="s">
        <v>2825</v>
      </c>
      <c r="E15" s="7" t="s">
        <v>2815</v>
      </c>
      <c r="F15" s="7" t="s">
        <v>146</v>
      </c>
      <c r="G15" s="16" t="n">
        <v>1472</v>
      </c>
      <c r="H15" s="7" t="s">
        <v>798</v>
      </c>
      <c r="I15" s="22" t="n">
        <v>4.923</v>
      </c>
      <c r="J15" s="22" t="n">
        <v>5.47</v>
      </c>
      <c r="K15" s="8" t="n">
        <v>7246.66</v>
      </c>
      <c r="L15" s="8" t="n">
        <v>8051.84</v>
      </c>
      <c r="M15" s="7" t="s">
        <v>2816</v>
      </c>
      <c r="N15" s="7" t="s">
        <v>705</v>
      </c>
      <c r="O15" s="7" t="s">
        <v>2818</v>
      </c>
      <c r="P15" s="7" t="s">
        <v>2819</v>
      </c>
    </row>
    <row r="16" customFormat="false" ht="15" hidden="false" customHeight="false" outlineLevel="0" collapsed="false">
      <c r="A16" s="7" t="s">
        <v>137</v>
      </c>
      <c r="B16" s="20" t="n">
        <v>45535</v>
      </c>
      <c r="C16" s="7" t="s">
        <v>2824</v>
      </c>
      <c r="D16" s="7" t="s">
        <v>2825</v>
      </c>
      <c r="E16" s="7" t="s">
        <v>2815</v>
      </c>
      <c r="F16" s="7" t="s">
        <v>146</v>
      </c>
      <c r="G16" s="16" t="n">
        <v>1472</v>
      </c>
      <c r="H16" s="7" t="s">
        <v>798</v>
      </c>
      <c r="I16" s="22" t="n">
        <v>4.932</v>
      </c>
      <c r="J16" s="22" t="n">
        <v>5.48</v>
      </c>
      <c r="K16" s="8" t="n">
        <v>7259.9</v>
      </c>
      <c r="L16" s="8" t="n">
        <v>8066.56</v>
      </c>
      <c r="M16" s="7" t="s">
        <v>2816</v>
      </c>
      <c r="N16" s="7" t="s">
        <v>705</v>
      </c>
      <c r="O16" s="7" t="s">
        <v>2818</v>
      </c>
      <c r="P16" s="7" t="s">
        <v>2819</v>
      </c>
    </row>
    <row r="17" customFormat="false" ht="15" hidden="false" customHeight="false" outlineLevel="0" collapsed="false">
      <c r="A17" s="7" t="s">
        <v>137</v>
      </c>
      <c r="B17" s="20" t="n">
        <v>45565</v>
      </c>
      <c r="C17" s="7" t="s">
        <v>2824</v>
      </c>
      <c r="D17" s="7" t="s">
        <v>2825</v>
      </c>
      <c r="E17" s="7" t="s">
        <v>2815</v>
      </c>
      <c r="F17" s="7" t="s">
        <v>146</v>
      </c>
      <c r="G17" s="16" t="n">
        <v>1472</v>
      </c>
      <c r="H17" s="7" t="s">
        <v>798</v>
      </c>
      <c r="I17" s="22" t="n">
        <v>4.95</v>
      </c>
      <c r="J17" s="22" t="n">
        <v>5.5</v>
      </c>
      <c r="K17" s="8" t="n">
        <v>7286.4</v>
      </c>
      <c r="L17" s="8" t="n">
        <v>8096</v>
      </c>
      <c r="M17" s="7" t="s">
        <v>2816</v>
      </c>
      <c r="N17" s="7" t="s">
        <v>705</v>
      </c>
      <c r="O17" s="7" t="s">
        <v>2818</v>
      </c>
      <c r="P17" s="7" t="s">
        <v>2819</v>
      </c>
    </row>
    <row r="18" customFormat="false" ht="15" hidden="false" customHeight="false" outlineLevel="0" collapsed="false">
      <c r="A18" s="7" t="s">
        <v>137</v>
      </c>
      <c r="B18" s="20" t="n">
        <v>45596</v>
      </c>
      <c r="C18" s="7" t="s">
        <v>2824</v>
      </c>
      <c r="D18" s="7" t="s">
        <v>2825</v>
      </c>
      <c r="E18" s="7" t="s">
        <v>2815</v>
      </c>
      <c r="F18" s="7" t="s">
        <v>146</v>
      </c>
      <c r="G18" s="16" t="n">
        <v>1472</v>
      </c>
      <c r="H18" s="7" t="s">
        <v>798</v>
      </c>
      <c r="I18" s="22" t="n">
        <v>4.86</v>
      </c>
      <c r="J18" s="22" t="n">
        <v>5.4</v>
      </c>
      <c r="K18" s="8" t="n">
        <v>7153.92</v>
      </c>
      <c r="L18" s="8" t="n">
        <v>7948.8</v>
      </c>
      <c r="M18" s="7" t="s">
        <v>2816</v>
      </c>
      <c r="N18" s="7" t="s">
        <v>705</v>
      </c>
      <c r="O18" s="7" t="s">
        <v>2818</v>
      </c>
      <c r="P18" s="7" t="s">
        <v>2819</v>
      </c>
    </row>
    <row r="19" customFormat="false" ht="15" hidden="false" customHeight="false" outlineLevel="0" collapsed="false">
      <c r="A19" s="7" t="s">
        <v>137</v>
      </c>
      <c r="B19" s="20" t="n">
        <v>45596</v>
      </c>
      <c r="C19" s="7" t="s">
        <v>2826</v>
      </c>
      <c r="D19" s="7" t="s">
        <v>2827</v>
      </c>
      <c r="E19" s="7" t="s">
        <v>2815</v>
      </c>
      <c r="F19" s="7" t="s">
        <v>144</v>
      </c>
      <c r="G19" s="16" t="n">
        <v>4000</v>
      </c>
      <c r="H19" s="7" t="s">
        <v>798</v>
      </c>
      <c r="I19" s="22" t="n">
        <v>8.802</v>
      </c>
      <c r="J19" s="22" t="n">
        <v>9.78</v>
      </c>
      <c r="K19" s="8" t="n">
        <v>35208</v>
      </c>
      <c r="L19" s="8" t="n">
        <v>39120</v>
      </c>
      <c r="M19" s="7" t="s">
        <v>2816</v>
      </c>
      <c r="N19" s="7" t="s">
        <v>706</v>
      </c>
      <c r="O19" s="7" t="s">
        <v>2818</v>
      </c>
      <c r="P19" s="7" t="s">
        <v>2819</v>
      </c>
    </row>
    <row r="20" customFormat="false" ht="15" hidden="false" customHeight="false" outlineLevel="0" collapsed="false">
      <c r="A20" s="7" t="s">
        <v>137</v>
      </c>
      <c r="B20" s="20" t="n">
        <v>45626</v>
      </c>
      <c r="C20" s="7" t="s">
        <v>2824</v>
      </c>
      <c r="D20" s="7" t="s">
        <v>2825</v>
      </c>
      <c r="E20" s="7" t="s">
        <v>2815</v>
      </c>
      <c r="F20" s="7" t="s">
        <v>146</v>
      </c>
      <c r="G20" s="16" t="n">
        <v>1472</v>
      </c>
      <c r="H20" s="7" t="s">
        <v>798</v>
      </c>
      <c r="I20" s="22" t="n">
        <v>4.779</v>
      </c>
      <c r="J20" s="22" t="n">
        <v>5.31</v>
      </c>
      <c r="K20" s="8" t="n">
        <v>7034.69</v>
      </c>
      <c r="L20" s="8" t="n">
        <v>7816.32</v>
      </c>
      <c r="M20" s="7" t="s">
        <v>2816</v>
      </c>
      <c r="N20" s="7" t="s">
        <v>705</v>
      </c>
      <c r="O20" s="7" t="s">
        <v>2818</v>
      </c>
      <c r="P20" s="7" t="s">
        <v>2819</v>
      </c>
    </row>
    <row r="21" customFormat="false" ht="15" hidden="false" customHeight="false" outlineLevel="0" collapsed="false">
      <c r="A21" s="7" t="s">
        <v>137</v>
      </c>
      <c r="B21" s="20" t="n">
        <v>45626</v>
      </c>
      <c r="C21" s="7" t="s">
        <v>2826</v>
      </c>
      <c r="D21" s="7" t="s">
        <v>2827</v>
      </c>
      <c r="E21" s="7" t="s">
        <v>2815</v>
      </c>
      <c r="F21" s="7" t="s">
        <v>144</v>
      </c>
      <c r="G21" s="16" t="n">
        <v>4000</v>
      </c>
      <c r="H21" s="7" t="s">
        <v>798</v>
      </c>
      <c r="I21" s="22" t="n">
        <v>8.874</v>
      </c>
      <c r="J21" s="22" t="n">
        <v>9.86</v>
      </c>
      <c r="K21" s="8" t="n">
        <v>35496</v>
      </c>
      <c r="L21" s="8" t="n">
        <v>39440</v>
      </c>
      <c r="M21" s="7" t="s">
        <v>2816</v>
      </c>
      <c r="N21" s="7" t="s">
        <v>706</v>
      </c>
      <c r="O21" s="7" t="s">
        <v>2818</v>
      </c>
      <c r="P21" s="7" t="s">
        <v>2819</v>
      </c>
    </row>
    <row r="22" customFormat="false" ht="15" hidden="false" customHeight="false" outlineLevel="0" collapsed="false">
      <c r="A22" s="7" t="s">
        <v>137</v>
      </c>
      <c r="B22" s="20" t="n">
        <v>45657</v>
      </c>
      <c r="C22" s="7" t="s">
        <v>2824</v>
      </c>
      <c r="D22" s="7" t="s">
        <v>2825</v>
      </c>
      <c r="E22" s="7" t="s">
        <v>2815</v>
      </c>
      <c r="F22" s="7" t="s">
        <v>146</v>
      </c>
      <c r="G22" s="16" t="n">
        <v>1472</v>
      </c>
      <c r="H22" s="7" t="s">
        <v>798</v>
      </c>
      <c r="I22" s="22" t="n">
        <v>4.68</v>
      </c>
      <c r="J22" s="22" t="n">
        <v>5.2</v>
      </c>
      <c r="K22" s="8" t="n">
        <v>6888.96</v>
      </c>
      <c r="L22" s="8" t="n">
        <v>7654.4</v>
      </c>
      <c r="M22" s="7" t="s">
        <v>2816</v>
      </c>
      <c r="N22" s="7" t="s">
        <v>705</v>
      </c>
      <c r="O22" s="7" t="s">
        <v>2818</v>
      </c>
      <c r="P22" s="7" t="s">
        <v>2819</v>
      </c>
    </row>
    <row r="23" customFormat="false" ht="15" hidden="false" customHeight="false" outlineLevel="0" collapsed="false">
      <c r="A23" s="7" t="s">
        <v>137</v>
      </c>
      <c r="B23" s="20" t="n">
        <v>45657</v>
      </c>
      <c r="C23" s="7" t="s">
        <v>2826</v>
      </c>
      <c r="D23" s="7" t="s">
        <v>2827</v>
      </c>
      <c r="E23" s="7" t="s">
        <v>2815</v>
      </c>
      <c r="F23" s="7" t="s">
        <v>144</v>
      </c>
      <c r="G23" s="16" t="n">
        <v>4000</v>
      </c>
      <c r="H23" s="7" t="s">
        <v>798</v>
      </c>
      <c r="I23" s="22" t="n">
        <v>8.955</v>
      </c>
      <c r="J23" s="22" t="n">
        <v>9.95</v>
      </c>
      <c r="K23" s="8" t="n">
        <v>35820</v>
      </c>
      <c r="L23" s="8" t="n">
        <v>39800</v>
      </c>
      <c r="M23" s="7" t="s">
        <v>2816</v>
      </c>
      <c r="N23" s="7" t="s">
        <v>706</v>
      </c>
      <c r="O23" s="7" t="s">
        <v>2818</v>
      </c>
      <c r="P23" s="7" t="s">
        <v>2819</v>
      </c>
    </row>
    <row r="24" customFormat="false" ht="15" hidden="false" customHeight="false" outlineLevel="0" collapsed="false">
      <c r="A24" s="7" t="s">
        <v>137</v>
      </c>
      <c r="B24" s="20" t="n">
        <v>45838</v>
      </c>
      <c r="C24" s="7" t="s">
        <v>2828</v>
      </c>
      <c r="D24" s="7" t="s">
        <v>2829</v>
      </c>
      <c r="E24" s="7" t="s">
        <v>2815</v>
      </c>
      <c r="F24" s="7" t="s">
        <v>146</v>
      </c>
      <c r="G24" s="16" t="n">
        <v>2120</v>
      </c>
      <c r="H24" s="7" t="s">
        <v>798</v>
      </c>
      <c r="I24" s="22" t="n">
        <v>4.329</v>
      </c>
      <c r="J24" s="22" t="n">
        <v>4.81</v>
      </c>
      <c r="K24" s="8" t="n">
        <v>9177.48</v>
      </c>
      <c r="L24" s="8" t="n">
        <v>10197.2</v>
      </c>
      <c r="M24" s="7" t="s">
        <v>2816</v>
      </c>
      <c r="N24" s="7" t="s">
        <v>709</v>
      </c>
      <c r="O24" s="7" t="s">
        <v>2818</v>
      </c>
      <c r="P24" s="7" t="s">
        <v>2819</v>
      </c>
    </row>
    <row r="25" customFormat="false" ht="15" hidden="false" customHeight="false" outlineLevel="0" collapsed="false">
      <c r="A25" s="7" t="s">
        <v>137</v>
      </c>
      <c r="B25" s="20" t="n">
        <v>45869</v>
      </c>
      <c r="C25" s="7" t="s">
        <v>2828</v>
      </c>
      <c r="D25" s="7" t="s">
        <v>2829</v>
      </c>
      <c r="E25" s="7" t="s">
        <v>2815</v>
      </c>
      <c r="F25" s="7" t="s">
        <v>146</v>
      </c>
      <c r="G25" s="16" t="n">
        <v>2120</v>
      </c>
      <c r="H25" s="7" t="s">
        <v>798</v>
      </c>
      <c r="I25" s="22" t="n">
        <v>4.338</v>
      </c>
      <c r="J25" s="22" t="n">
        <v>4.82</v>
      </c>
      <c r="K25" s="8" t="n">
        <v>9196.56</v>
      </c>
      <c r="L25" s="8" t="n">
        <v>10218.4</v>
      </c>
      <c r="M25" s="7" t="s">
        <v>2816</v>
      </c>
      <c r="N25" s="7" t="s">
        <v>709</v>
      </c>
      <c r="O25" s="7" t="s">
        <v>2818</v>
      </c>
      <c r="P25" s="7" t="s">
        <v>2819</v>
      </c>
    </row>
    <row r="26" customFormat="false" ht="15" hidden="false" customHeight="false" outlineLevel="0" collapsed="false">
      <c r="A26" s="7" t="s">
        <v>137</v>
      </c>
      <c r="B26" s="20" t="n">
        <v>45900</v>
      </c>
      <c r="C26" s="7" t="s">
        <v>2828</v>
      </c>
      <c r="D26" s="7" t="s">
        <v>2829</v>
      </c>
      <c r="E26" s="7" t="s">
        <v>2815</v>
      </c>
      <c r="F26" s="7" t="s">
        <v>146</v>
      </c>
      <c r="G26" s="16" t="n">
        <v>2120</v>
      </c>
      <c r="H26" s="7" t="s">
        <v>798</v>
      </c>
      <c r="I26" s="22" t="n">
        <v>4.347</v>
      </c>
      <c r="J26" s="22" t="n">
        <v>4.83</v>
      </c>
      <c r="K26" s="8" t="n">
        <v>9215.64</v>
      </c>
      <c r="L26" s="8" t="n">
        <v>10239.6</v>
      </c>
      <c r="M26" s="7" t="s">
        <v>2816</v>
      </c>
      <c r="N26" s="7" t="s">
        <v>709</v>
      </c>
      <c r="O26" s="7" t="s">
        <v>2818</v>
      </c>
      <c r="P26" s="7" t="s">
        <v>2819</v>
      </c>
    </row>
    <row r="27" customFormat="false" ht="15" hidden="false" customHeight="false" outlineLevel="0" collapsed="false">
      <c r="A27" s="7" t="s">
        <v>137</v>
      </c>
      <c r="B27" s="20" t="n">
        <v>45930</v>
      </c>
      <c r="C27" s="7" t="s">
        <v>2828</v>
      </c>
      <c r="D27" s="7" t="s">
        <v>2829</v>
      </c>
      <c r="E27" s="7" t="s">
        <v>2815</v>
      </c>
      <c r="F27" s="7" t="s">
        <v>146</v>
      </c>
      <c r="G27" s="16" t="n">
        <v>2120</v>
      </c>
      <c r="H27" s="7" t="s">
        <v>798</v>
      </c>
      <c r="I27" s="22" t="n">
        <v>4.365</v>
      </c>
      <c r="J27" s="22" t="n">
        <v>4.85</v>
      </c>
      <c r="K27" s="8" t="n">
        <v>9253.8</v>
      </c>
      <c r="L27" s="8" t="n">
        <v>10282</v>
      </c>
      <c r="M27" s="7" t="s">
        <v>2816</v>
      </c>
      <c r="N27" s="7" t="s">
        <v>709</v>
      </c>
      <c r="O27" s="7" t="s">
        <v>2818</v>
      </c>
      <c r="P27" s="7" t="s">
        <v>2819</v>
      </c>
    </row>
    <row r="28" customFormat="false" ht="15" hidden="false" customHeight="false" outlineLevel="0" collapsed="false">
      <c r="A28" s="7" t="s">
        <v>137</v>
      </c>
      <c r="B28" s="20" t="n">
        <v>45961</v>
      </c>
      <c r="C28" s="7" t="s">
        <v>2828</v>
      </c>
      <c r="D28" s="7" t="s">
        <v>2829</v>
      </c>
      <c r="E28" s="7" t="s">
        <v>2815</v>
      </c>
      <c r="F28" s="7" t="s">
        <v>146</v>
      </c>
      <c r="G28" s="16" t="n">
        <v>2120</v>
      </c>
      <c r="H28" s="7" t="s">
        <v>798</v>
      </c>
      <c r="I28" s="22" t="n">
        <v>4.419</v>
      </c>
      <c r="J28" s="22" t="n">
        <v>4.91</v>
      </c>
      <c r="K28" s="8" t="n">
        <v>9368.28</v>
      </c>
      <c r="L28" s="8" t="n">
        <v>10409.2</v>
      </c>
      <c r="M28" s="7" t="s">
        <v>2816</v>
      </c>
      <c r="N28" s="7" t="s">
        <v>709</v>
      </c>
      <c r="O28" s="7" t="s">
        <v>2818</v>
      </c>
      <c r="P28" s="7" t="s">
        <v>2819</v>
      </c>
    </row>
    <row r="29" customFormat="false" ht="15" hidden="false" customHeight="false" outlineLevel="0" collapsed="false">
      <c r="A29" s="7" t="s">
        <v>137</v>
      </c>
      <c r="B29" s="20" t="n">
        <v>45961</v>
      </c>
      <c r="C29" s="7" t="s">
        <v>2830</v>
      </c>
      <c r="D29" s="7" t="s">
        <v>2831</v>
      </c>
      <c r="E29" s="7" t="s">
        <v>2815</v>
      </c>
      <c r="F29" s="7" t="s">
        <v>141</v>
      </c>
      <c r="G29" s="16" t="n">
        <v>18769</v>
      </c>
      <c r="H29" s="7" t="s">
        <v>798</v>
      </c>
      <c r="I29" s="22" t="n">
        <v>3.573</v>
      </c>
      <c r="J29" s="22" t="n">
        <v>3.97</v>
      </c>
      <c r="K29" s="8" t="n">
        <v>67061.64</v>
      </c>
      <c r="L29" s="8" t="n">
        <v>74512.93</v>
      </c>
      <c r="M29" s="7" t="s">
        <v>2816</v>
      </c>
      <c r="N29" s="7" t="s">
        <v>710</v>
      </c>
      <c r="O29" s="7" t="s">
        <v>2818</v>
      </c>
      <c r="P29" s="7" t="s">
        <v>2819</v>
      </c>
    </row>
    <row r="30" customFormat="false" ht="15" hidden="false" customHeight="false" outlineLevel="0" collapsed="false">
      <c r="A30" s="7" t="s">
        <v>137</v>
      </c>
      <c r="B30" s="20" t="n">
        <v>45961</v>
      </c>
      <c r="C30" s="7" t="s">
        <v>2832</v>
      </c>
      <c r="D30" s="7" t="s">
        <v>2833</v>
      </c>
      <c r="E30" s="7" t="s">
        <v>2815</v>
      </c>
      <c r="F30" s="7" t="s">
        <v>144</v>
      </c>
      <c r="G30" s="16" t="n">
        <v>1680</v>
      </c>
      <c r="H30" s="7" t="s">
        <v>798</v>
      </c>
      <c r="I30" s="22" t="n">
        <v>9.072</v>
      </c>
      <c r="J30" s="22" t="n">
        <v>10.08</v>
      </c>
      <c r="K30" s="8" t="n">
        <v>15240.96</v>
      </c>
      <c r="L30" s="8" t="n">
        <v>16934.4</v>
      </c>
      <c r="M30" s="7" t="s">
        <v>2816</v>
      </c>
      <c r="N30" s="7" t="s">
        <v>711</v>
      </c>
      <c r="O30" s="7" t="s">
        <v>2818</v>
      </c>
      <c r="P30" s="7" t="s">
        <v>2819</v>
      </c>
    </row>
    <row r="31" customFormat="false" ht="15" hidden="false" customHeight="false" outlineLevel="0" collapsed="false">
      <c r="A31" s="7" t="s">
        <v>137</v>
      </c>
      <c r="B31" s="20" t="n">
        <v>45991</v>
      </c>
      <c r="C31" s="7" t="s">
        <v>2828</v>
      </c>
      <c r="D31" s="7" t="s">
        <v>2829</v>
      </c>
      <c r="E31" s="7" t="s">
        <v>2815</v>
      </c>
      <c r="F31" s="7" t="s">
        <v>146</v>
      </c>
      <c r="G31" s="16" t="n">
        <v>2120</v>
      </c>
      <c r="H31" s="7" t="s">
        <v>798</v>
      </c>
      <c r="I31" s="22" t="n">
        <v>4.473</v>
      </c>
      <c r="J31" s="22" t="n">
        <v>4.97</v>
      </c>
      <c r="K31" s="8" t="n">
        <v>9482.76</v>
      </c>
      <c r="L31" s="8" t="n">
        <v>10536.4</v>
      </c>
      <c r="M31" s="7" t="s">
        <v>2816</v>
      </c>
      <c r="N31" s="7" t="s">
        <v>709</v>
      </c>
      <c r="O31" s="7" t="s">
        <v>2818</v>
      </c>
      <c r="P31" s="7" t="s">
        <v>2819</v>
      </c>
    </row>
    <row r="32" customFormat="false" ht="15" hidden="false" customHeight="false" outlineLevel="0" collapsed="false">
      <c r="A32" s="7" t="s">
        <v>137</v>
      </c>
      <c r="B32" s="20" t="n">
        <v>45991</v>
      </c>
      <c r="C32" s="7" t="s">
        <v>2830</v>
      </c>
      <c r="D32" s="7" t="s">
        <v>2831</v>
      </c>
      <c r="E32" s="7" t="s">
        <v>2815</v>
      </c>
      <c r="F32" s="7" t="s">
        <v>141</v>
      </c>
      <c r="G32" s="16" t="n">
        <v>18769</v>
      </c>
      <c r="H32" s="7" t="s">
        <v>798</v>
      </c>
      <c r="I32" s="22" t="n">
        <v>3.681</v>
      </c>
      <c r="J32" s="22" t="n">
        <v>4.09</v>
      </c>
      <c r="K32" s="8" t="n">
        <v>69088.69</v>
      </c>
      <c r="L32" s="8" t="n">
        <v>76765.21</v>
      </c>
      <c r="M32" s="7" t="s">
        <v>2816</v>
      </c>
      <c r="N32" s="7" t="s">
        <v>710</v>
      </c>
      <c r="O32" s="7" t="s">
        <v>2818</v>
      </c>
      <c r="P32" s="7" t="s">
        <v>2819</v>
      </c>
    </row>
    <row r="33" customFormat="false" ht="15" hidden="false" customHeight="false" outlineLevel="0" collapsed="false">
      <c r="A33" s="7" t="s">
        <v>137</v>
      </c>
      <c r="B33" s="20" t="n">
        <v>45991</v>
      </c>
      <c r="C33" s="7" t="s">
        <v>2832</v>
      </c>
      <c r="D33" s="7" t="s">
        <v>2833</v>
      </c>
      <c r="E33" s="7" t="s">
        <v>2815</v>
      </c>
      <c r="F33" s="7" t="s">
        <v>144</v>
      </c>
      <c r="G33" s="16" t="n">
        <v>1680</v>
      </c>
      <c r="H33" s="7" t="s">
        <v>798</v>
      </c>
      <c r="I33" s="22" t="n">
        <v>9.189</v>
      </c>
      <c r="J33" s="22" t="n">
        <v>10.21</v>
      </c>
      <c r="K33" s="8" t="n">
        <v>15437.52</v>
      </c>
      <c r="L33" s="8" t="n">
        <v>17152.8</v>
      </c>
      <c r="M33" s="7" t="s">
        <v>2816</v>
      </c>
      <c r="N33" s="7" t="s">
        <v>711</v>
      </c>
      <c r="O33" s="7" t="s">
        <v>2818</v>
      </c>
      <c r="P33" s="7" t="s">
        <v>2819</v>
      </c>
    </row>
    <row r="34" customFormat="false" ht="15" hidden="false" customHeight="false" outlineLevel="0" collapsed="false">
      <c r="A34" s="7" t="s">
        <v>137</v>
      </c>
      <c r="B34" s="20" t="n">
        <v>46022</v>
      </c>
      <c r="C34" s="7" t="s">
        <v>2828</v>
      </c>
      <c r="D34" s="7" t="s">
        <v>2829</v>
      </c>
      <c r="E34" s="7" t="s">
        <v>2815</v>
      </c>
      <c r="F34" s="7" t="s">
        <v>146</v>
      </c>
      <c r="G34" s="16" t="n">
        <v>2120</v>
      </c>
      <c r="H34" s="7" t="s">
        <v>798</v>
      </c>
      <c r="I34" s="22" t="n">
        <v>4.527</v>
      </c>
      <c r="J34" s="22" t="n">
        <v>5.03</v>
      </c>
      <c r="K34" s="8" t="n">
        <v>9597.24</v>
      </c>
      <c r="L34" s="8" t="n">
        <v>10663.6</v>
      </c>
      <c r="M34" s="7" t="s">
        <v>2816</v>
      </c>
      <c r="N34" s="7" t="s">
        <v>709</v>
      </c>
      <c r="O34" s="7" t="s">
        <v>2818</v>
      </c>
      <c r="P34" s="7" t="s">
        <v>2819</v>
      </c>
    </row>
    <row r="35" customFormat="false" ht="15" hidden="false" customHeight="false" outlineLevel="0" collapsed="false">
      <c r="A35" s="7" t="s">
        <v>137</v>
      </c>
      <c r="B35" s="20" t="n">
        <v>46022</v>
      </c>
      <c r="C35" s="7" t="s">
        <v>2830</v>
      </c>
      <c r="D35" s="7" t="s">
        <v>2831</v>
      </c>
      <c r="E35" s="7" t="s">
        <v>2815</v>
      </c>
      <c r="F35" s="7" t="s">
        <v>141</v>
      </c>
      <c r="G35" s="16" t="n">
        <v>18769</v>
      </c>
      <c r="H35" s="7" t="s">
        <v>798</v>
      </c>
      <c r="I35" s="22" t="n">
        <v>3.735</v>
      </c>
      <c r="J35" s="22" t="n">
        <v>4.15</v>
      </c>
      <c r="K35" s="8" t="n">
        <v>70102.22</v>
      </c>
      <c r="L35" s="8" t="n">
        <v>77891.35</v>
      </c>
      <c r="M35" s="7" t="s">
        <v>2816</v>
      </c>
      <c r="N35" s="7" t="s">
        <v>710</v>
      </c>
      <c r="O35" s="7" t="s">
        <v>2818</v>
      </c>
      <c r="P35" s="7" t="s">
        <v>2819</v>
      </c>
    </row>
    <row r="36" customFormat="false" ht="15" hidden="false" customHeight="false" outlineLevel="0" collapsed="false">
      <c r="A36" s="7" t="s">
        <v>137</v>
      </c>
      <c r="B36" s="20" t="n">
        <v>46022</v>
      </c>
      <c r="C36" s="7" t="s">
        <v>2832</v>
      </c>
      <c r="D36" s="7" t="s">
        <v>2833</v>
      </c>
      <c r="E36" s="7" t="s">
        <v>2815</v>
      </c>
      <c r="F36" s="7" t="s">
        <v>144</v>
      </c>
      <c r="G36" s="16" t="n">
        <v>1680</v>
      </c>
      <c r="H36" s="7" t="s">
        <v>798</v>
      </c>
      <c r="I36" s="22" t="n">
        <v>9.315</v>
      </c>
      <c r="J36" s="22" t="n">
        <v>10.35</v>
      </c>
      <c r="K36" s="8" t="n">
        <v>15649.2</v>
      </c>
      <c r="L36" s="8" t="n">
        <v>17388</v>
      </c>
      <c r="M36" s="7" t="s">
        <v>2816</v>
      </c>
      <c r="N36" s="7" t="s">
        <v>711</v>
      </c>
      <c r="O36" s="7" t="s">
        <v>2818</v>
      </c>
      <c r="P36" s="7" t="s">
        <v>2819</v>
      </c>
    </row>
    <row r="37" customFormat="false" ht="15" hidden="false" customHeight="false" outlineLevel="0" collapsed="false">
      <c r="A37" s="7" t="s">
        <v>137</v>
      </c>
      <c r="B37" s="20" t="n">
        <v>46053</v>
      </c>
      <c r="C37" s="7" t="s">
        <v>2828</v>
      </c>
      <c r="D37" s="7" t="s">
        <v>2829</v>
      </c>
      <c r="E37" s="7" t="s">
        <v>2815</v>
      </c>
      <c r="F37" s="7" t="s">
        <v>146</v>
      </c>
      <c r="G37" s="16" t="n">
        <v>2120</v>
      </c>
      <c r="H37" s="7" t="s">
        <v>798</v>
      </c>
      <c r="I37" s="22" t="n">
        <v>4.581</v>
      </c>
      <c r="J37" s="22" t="n">
        <v>5.09</v>
      </c>
      <c r="K37" s="8" t="n">
        <v>9711.72</v>
      </c>
      <c r="L37" s="8" t="n">
        <v>10790.8</v>
      </c>
      <c r="M37" s="7" t="s">
        <v>2816</v>
      </c>
      <c r="N37" s="7" t="s">
        <v>709</v>
      </c>
      <c r="O37" s="7" t="s">
        <v>2818</v>
      </c>
      <c r="P37" s="7" t="s">
        <v>2819</v>
      </c>
    </row>
    <row r="38" customFormat="false" ht="15" hidden="false" customHeight="false" outlineLevel="0" collapsed="false">
      <c r="A38" s="7" t="s">
        <v>137</v>
      </c>
      <c r="B38" s="20" t="n">
        <v>46053</v>
      </c>
      <c r="C38" s="7" t="s">
        <v>2830</v>
      </c>
      <c r="D38" s="7" t="s">
        <v>2831</v>
      </c>
      <c r="E38" s="7" t="s">
        <v>2815</v>
      </c>
      <c r="F38" s="7" t="s">
        <v>141</v>
      </c>
      <c r="G38" s="16" t="n">
        <v>18769</v>
      </c>
      <c r="H38" s="7" t="s">
        <v>798</v>
      </c>
      <c r="I38" s="22" t="n">
        <v>3.78</v>
      </c>
      <c r="J38" s="22" t="n">
        <v>4.2</v>
      </c>
      <c r="K38" s="8" t="n">
        <v>70946.82</v>
      </c>
      <c r="L38" s="8" t="n">
        <v>78829.8</v>
      </c>
      <c r="M38" s="7" t="s">
        <v>2816</v>
      </c>
      <c r="N38" s="7" t="s">
        <v>710</v>
      </c>
      <c r="O38" s="7" t="s">
        <v>2818</v>
      </c>
      <c r="P38" s="7" t="s">
        <v>2819</v>
      </c>
    </row>
    <row r="39" customFormat="false" ht="15" hidden="false" customHeight="false" outlineLevel="0" collapsed="false">
      <c r="A39" s="7" t="s">
        <v>137</v>
      </c>
      <c r="B39" s="20" t="n">
        <v>46081</v>
      </c>
      <c r="C39" s="7" t="s">
        <v>2828</v>
      </c>
      <c r="D39" s="7" t="s">
        <v>2829</v>
      </c>
      <c r="E39" s="7" t="s">
        <v>2815</v>
      </c>
      <c r="F39" s="7" t="s">
        <v>146</v>
      </c>
      <c r="G39" s="16" t="n">
        <v>2120</v>
      </c>
      <c r="H39" s="7" t="s">
        <v>798</v>
      </c>
      <c r="I39" s="22" t="n">
        <v>4.626</v>
      </c>
      <c r="J39" s="22" t="n">
        <v>5.14</v>
      </c>
      <c r="K39" s="8" t="n">
        <v>9807.12</v>
      </c>
      <c r="L39" s="8" t="n">
        <v>10896.8</v>
      </c>
      <c r="M39" s="7" t="s">
        <v>2816</v>
      </c>
      <c r="N39" s="7" t="s">
        <v>709</v>
      </c>
      <c r="O39" s="7" t="s">
        <v>2818</v>
      </c>
      <c r="P39" s="7" t="s">
        <v>2819</v>
      </c>
    </row>
    <row r="40" customFormat="false" ht="15" hidden="false" customHeight="false" outlineLevel="0" collapsed="false">
      <c r="A40" s="7" t="s">
        <v>137</v>
      </c>
      <c r="B40" s="20" t="n">
        <v>46081</v>
      </c>
      <c r="C40" s="7" t="s">
        <v>2830</v>
      </c>
      <c r="D40" s="7" t="s">
        <v>2831</v>
      </c>
      <c r="E40" s="7" t="s">
        <v>2815</v>
      </c>
      <c r="F40" s="7" t="s">
        <v>141</v>
      </c>
      <c r="G40" s="16" t="n">
        <v>8663</v>
      </c>
      <c r="H40" s="7" t="s">
        <v>798</v>
      </c>
      <c r="I40" s="22" t="n">
        <v>3.816</v>
      </c>
      <c r="J40" s="22" t="n">
        <v>4.24</v>
      </c>
      <c r="K40" s="8" t="n">
        <v>33058.01</v>
      </c>
      <c r="L40" s="8" t="n">
        <v>36731.12</v>
      </c>
      <c r="M40" s="7" t="s">
        <v>2816</v>
      </c>
      <c r="N40" s="7" t="s">
        <v>710</v>
      </c>
      <c r="O40" s="7" t="s">
        <v>2818</v>
      </c>
      <c r="P40" s="7" t="s">
        <v>2819</v>
      </c>
    </row>
    <row r="41" customFormat="false" ht="15" hidden="false" customHeight="false" outlineLevel="0" collapsed="false">
      <c r="A41" s="7" t="s">
        <v>137</v>
      </c>
      <c r="B41" s="20" t="n">
        <v>46112</v>
      </c>
      <c r="C41" s="7" t="s">
        <v>2830</v>
      </c>
      <c r="D41" s="7" t="s">
        <v>2831</v>
      </c>
      <c r="E41" s="7" t="s">
        <v>2815</v>
      </c>
      <c r="F41" s="7" t="s">
        <v>141</v>
      </c>
      <c r="G41" s="16" t="n">
        <v>8663</v>
      </c>
      <c r="H41" s="7" t="s">
        <v>798</v>
      </c>
      <c r="I41" s="22" t="n">
        <v>3.87</v>
      </c>
      <c r="J41" s="22" t="n">
        <v>4.3</v>
      </c>
      <c r="K41" s="8" t="n">
        <v>33525.81</v>
      </c>
      <c r="L41" s="8" t="n">
        <v>37250.9</v>
      </c>
      <c r="M41" s="7" t="s">
        <v>2816</v>
      </c>
      <c r="N41" s="7" t="s">
        <v>710</v>
      </c>
      <c r="O41" s="7" t="s">
        <v>2818</v>
      </c>
      <c r="P41" s="7" t="s">
        <v>2819</v>
      </c>
    </row>
    <row r="42" customFormat="false" ht="15" hidden="false" customHeight="false" outlineLevel="0" collapsed="false">
      <c r="A42" s="7" t="s">
        <v>137</v>
      </c>
      <c r="B42" s="20" t="n">
        <v>46142</v>
      </c>
      <c r="C42" s="7" t="s">
        <v>2830</v>
      </c>
      <c r="D42" s="7" t="s">
        <v>2831</v>
      </c>
      <c r="E42" s="7" t="s">
        <v>2815</v>
      </c>
      <c r="F42" s="7" t="s">
        <v>141</v>
      </c>
      <c r="G42" s="16" t="n">
        <v>1</v>
      </c>
      <c r="H42" s="7" t="s">
        <v>798</v>
      </c>
      <c r="I42" s="22" t="n">
        <v>3.852</v>
      </c>
      <c r="J42" s="22" t="n">
        <v>4.28</v>
      </c>
      <c r="K42" s="8" t="n">
        <v>3.85</v>
      </c>
      <c r="L42" s="8" t="n">
        <v>4.28</v>
      </c>
      <c r="M42" s="7" t="s">
        <v>2816</v>
      </c>
      <c r="N42" s="7" t="s">
        <v>710</v>
      </c>
      <c r="O42" s="7" t="s">
        <v>2818</v>
      </c>
      <c r="P42" s="7" t="s">
        <v>2819</v>
      </c>
    </row>
    <row r="43" customFormat="false" ht="15" hidden="false" customHeight="false" outlineLevel="0" collapsed="false">
      <c r="A43" s="7" t="s">
        <v>137</v>
      </c>
      <c r="B43" s="20" t="n">
        <v>46173</v>
      </c>
      <c r="C43" s="7" t="s">
        <v>2830</v>
      </c>
      <c r="D43" s="7" t="s">
        <v>2831</v>
      </c>
      <c r="E43" s="7" t="s">
        <v>2815</v>
      </c>
      <c r="F43" s="7" t="s">
        <v>141</v>
      </c>
      <c r="G43" s="16" t="n">
        <v>1</v>
      </c>
      <c r="H43" s="7" t="s">
        <v>798</v>
      </c>
      <c r="I43" s="22" t="n">
        <v>3.825</v>
      </c>
      <c r="J43" s="22" t="n">
        <v>4.25</v>
      </c>
      <c r="K43" s="8" t="n">
        <v>3.83</v>
      </c>
      <c r="L43" s="8" t="n">
        <v>4.25</v>
      </c>
      <c r="M43" s="7" t="s">
        <v>2816</v>
      </c>
      <c r="N43" s="7" t="s">
        <v>710</v>
      </c>
      <c r="O43" s="7" t="s">
        <v>2818</v>
      </c>
      <c r="P43" s="7" t="s">
        <v>2819</v>
      </c>
    </row>
    <row r="44" customFormat="false" ht="15" hidden="false" customHeight="false" outlineLevel="0" collapsed="false">
      <c r="A44" s="7" t="s">
        <v>137</v>
      </c>
      <c r="B44" s="20" t="n">
        <v>46203</v>
      </c>
      <c r="C44" s="7" t="s">
        <v>2830</v>
      </c>
      <c r="D44" s="7" t="s">
        <v>2831</v>
      </c>
      <c r="E44" s="7" t="s">
        <v>2815</v>
      </c>
      <c r="F44" s="7" t="s">
        <v>141</v>
      </c>
      <c r="G44" s="16" t="n">
        <v>1</v>
      </c>
      <c r="H44" s="7" t="s">
        <v>798</v>
      </c>
      <c r="I44" s="22" t="n">
        <v>3.771</v>
      </c>
      <c r="J44" s="22" t="n">
        <v>4.19</v>
      </c>
      <c r="K44" s="8" t="n">
        <v>3.77</v>
      </c>
      <c r="L44" s="8" t="n">
        <v>4.19</v>
      </c>
      <c r="M44" s="7" t="s">
        <v>2816</v>
      </c>
      <c r="N44" s="7" t="s">
        <v>710</v>
      </c>
      <c r="O44" s="7" t="s">
        <v>2818</v>
      </c>
      <c r="P44" s="7" t="s">
        <v>2819</v>
      </c>
    </row>
    <row r="45" customFormat="false" ht="15" hidden="false" customHeight="false" outlineLevel="0" collapsed="false">
      <c r="A45" s="7" t="s">
        <v>137</v>
      </c>
      <c r="B45" s="20" t="n">
        <v>46203</v>
      </c>
      <c r="C45" s="7" t="s">
        <v>2834</v>
      </c>
      <c r="D45" s="7" t="s">
        <v>2835</v>
      </c>
      <c r="E45" s="7" t="s">
        <v>2815</v>
      </c>
      <c r="F45" s="7" t="s">
        <v>146</v>
      </c>
      <c r="G45" s="16" t="n">
        <v>864</v>
      </c>
      <c r="H45" s="7" t="s">
        <v>798</v>
      </c>
      <c r="I45" s="22" t="n">
        <v>5.139</v>
      </c>
      <c r="J45" s="22" t="n">
        <v>5.71</v>
      </c>
      <c r="K45" s="8" t="n">
        <v>4440.1</v>
      </c>
      <c r="L45" s="8" t="n">
        <v>4933.44</v>
      </c>
      <c r="M45" s="7" t="s">
        <v>2816</v>
      </c>
      <c r="N45" s="7" t="s">
        <v>712</v>
      </c>
      <c r="O45" s="7" t="s">
        <v>2818</v>
      </c>
      <c r="P45" s="7" t="s">
        <v>2819</v>
      </c>
    </row>
    <row r="46" customFormat="false" ht="15" hidden="false" customHeight="false" outlineLevel="0" collapsed="false">
      <c r="A46" s="7" t="s">
        <v>137</v>
      </c>
      <c r="B46" s="20" t="n">
        <v>46234</v>
      </c>
      <c r="C46" s="7" t="s">
        <v>2830</v>
      </c>
      <c r="D46" s="7" t="s">
        <v>2831</v>
      </c>
      <c r="E46" s="7" t="s">
        <v>2815</v>
      </c>
      <c r="F46" s="7" t="s">
        <v>141</v>
      </c>
      <c r="G46" s="16" t="n">
        <v>1</v>
      </c>
      <c r="H46" s="7" t="s">
        <v>798</v>
      </c>
      <c r="I46" s="22" t="n">
        <v>3.708</v>
      </c>
      <c r="J46" s="22" t="n">
        <v>4.12</v>
      </c>
      <c r="K46" s="8" t="n">
        <v>3.71</v>
      </c>
      <c r="L46" s="8" t="n">
        <v>4.12</v>
      </c>
      <c r="M46" s="7" t="s">
        <v>2816</v>
      </c>
      <c r="N46" s="7" t="s">
        <v>710</v>
      </c>
      <c r="O46" s="7" t="s">
        <v>2818</v>
      </c>
      <c r="P46" s="7" t="s">
        <v>2819</v>
      </c>
    </row>
    <row r="47" customFormat="false" ht="15" hidden="false" customHeight="false" outlineLevel="0" collapsed="false">
      <c r="A47" s="7" t="s">
        <v>137</v>
      </c>
      <c r="B47" s="20" t="n">
        <v>46234</v>
      </c>
      <c r="C47" s="7" t="s">
        <v>2834</v>
      </c>
      <c r="D47" s="7" t="s">
        <v>2835</v>
      </c>
      <c r="E47" s="7" t="s">
        <v>2815</v>
      </c>
      <c r="F47" s="7" t="s">
        <v>146</v>
      </c>
      <c r="G47" s="16" t="n">
        <v>864</v>
      </c>
      <c r="H47" s="7" t="s">
        <v>798</v>
      </c>
      <c r="I47" s="22" t="n">
        <v>4.995</v>
      </c>
      <c r="J47" s="22" t="n">
        <v>5.55</v>
      </c>
      <c r="K47" s="8" t="n">
        <v>4315.68</v>
      </c>
      <c r="L47" s="8" t="n">
        <v>4795.2</v>
      </c>
      <c r="M47" s="7" t="s">
        <v>2816</v>
      </c>
      <c r="N47" s="7" t="s">
        <v>712</v>
      </c>
      <c r="O47" s="7" t="s">
        <v>2818</v>
      </c>
      <c r="P47" s="7" t="s">
        <v>2819</v>
      </c>
    </row>
    <row r="48" customFormat="false" ht="15" hidden="false" customHeight="false" outlineLevel="0" collapsed="false">
      <c r="A48" s="7" t="s">
        <v>137</v>
      </c>
      <c r="B48" s="20" t="n">
        <v>46265</v>
      </c>
      <c r="C48" s="7" t="s">
        <v>2830</v>
      </c>
      <c r="D48" s="7" t="s">
        <v>2831</v>
      </c>
      <c r="E48" s="7" t="s">
        <v>2815</v>
      </c>
      <c r="F48" s="7" t="s">
        <v>141</v>
      </c>
      <c r="G48" s="16" t="n">
        <v>1</v>
      </c>
      <c r="H48" s="7" t="s">
        <v>798</v>
      </c>
      <c r="I48" s="22" t="n">
        <v>3.645</v>
      </c>
      <c r="J48" s="22" t="n">
        <v>4.05</v>
      </c>
      <c r="K48" s="8" t="n">
        <v>3.65</v>
      </c>
      <c r="L48" s="8" t="n">
        <v>4.05</v>
      </c>
      <c r="M48" s="7" t="s">
        <v>2816</v>
      </c>
      <c r="N48" s="7" t="s">
        <v>710</v>
      </c>
      <c r="O48" s="7" t="s">
        <v>2818</v>
      </c>
      <c r="P48" s="7" t="s">
        <v>2819</v>
      </c>
    </row>
    <row r="49" customFormat="false" ht="15" hidden="false" customHeight="false" outlineLevel="0" collapsed="false">
      <c r="A49" s="7" t="s">
        <v>137</v>
      </c>
      <c r="B49" s="20" t="n">
        <v>46265</v>
      </c>
      <c r="C49" s="7" t="s">
        <v>2834</v>
      </c>
      <c r="D49" s="7" t="s">
        <v>2835</v>
      </c>
      <c r="E49" s="7" t="s">
        <v>2815</v>
      </c>
      <c r="F49" s="7" t="s">
        <v>146</v>
      </c>
      <c r="G49" s="16" t="n">
        <v>864</v>
      </c>
      <c r="H49" s="7" t="s">
        <v>798</v>
      </c>
      <c r="I49" s="22" t="n">
        <v>4.86</v>
      </c>
      <c r="J49" s="22" t="n">
        <v>5.4</v>
      </c>
      <c r="K49" s="8" t="n">
        <v>4199.04</v>
      </c>
      <c r="L49" s="8" t="n">
        <v>4665.6</v>
      </c>
      <c r="M49" s="7" t="s">
        <v>2816</v>
      </c>
      <c r="N49" s="7" t="s">
        <v>712</v>
      </c>
      <c r="O49" s="7" t="s">
        <v>2818</v>
      </c>
      <c r="P49" s="7" t="s">
        <v>2819</v>
      </c>
    </row>
    <row r="50" customFormat="false" ht="15" hidden="false" customHeight="false" outlineLevel="0" collapsed="false">
      <c r="A50" s="7" t="s">
        <v>137</v>
      </c>
      <c r="B50" s="20" t="n">
        <v>46295</v>
      </c>
      <c r="C50" s="7" t="s">
        <v>2830</v>
      </c>
      <c r="D50" s="7" t="s">
        <v>2831</v>
      </c>
      <c r="E50" s="7" t="s">
        <v>2815</v>
      </c>
      <c r="F50" s="7" t="s">
        <v>141</v>
      </c>
      <c r="G50" s="16" t="n">
        <v>1</v>
      </c>
      <c r="H50" s="7" t="s">
        <v>798</v>
      </c>
      <c r="I50" s="22" t="n">
        <v>3.645</v>
      </c>
      <c r="J50" s="22" t="n">
        <v>4.05</v>
      </c>
      <c r="K50" s="8" t="n">
        <v>3.65</v>
      </c>
      <c r="L50" s="8" t="n">
        <v>4.05</v>
      </c>
      <c r="M50" s="7" t="s">
        <v>2816</v>
      </c>
      <c r="N50" s="7" t="s">
        <v>710</v>
      </c>
      <c r="O50" s="7" t="s">
        <v>2818</v>
      </c>
      <c r="P50" s="7" t="s">
        <v>2819</v>
      </c>
    </row>
    <row r="51" customFormat="false" ht="15" hidden="false" customHeight="false" outlineLevel="0" collapsed="false">
      <c r="A51" s="7" t="s">
        <v>137</v>
      </c>
      <c r="B51" s="20" t="n">
        <v>46295</v>
      </c>
      <c r="C51" s="7" t="s">
        <v>2834</v>
      </c>
      <c r="D51" s="7" t="s">
        <v>2835</v>
      </c>
      <c r="E51" s="7" t="s">
        <v>2815</v>
      </c>
      <c r="F51" s="7" t="s">
        <v>146</v>
      </c>
      <c r="G51" s="16" t="n">
        <v>864</v>
      </c>
      <c r="H51" s="7" t="s">
        <v>798</v>
      </c>
      <c r="I51" s="22" t="n">
        <v>4.86</v>
      </c>
      <c r="J51" s="22" t="n">
        <v>5.4</v>
      </c>
      <c r="K51" s="8" t="n">
        <v>4199.04</v>
      </c>
      <c r="L51" s="8" t="n">
        <v>4665.6</v>
      </c>
      <c r="M51" s="7" t="s">
        <v>2816</v>
      </c>
      <c r="N51" s="7" t="s">
        <v>712</v>
      </c>
      <c r="O51" s="7" t="s">
        <v>2818</v>
      </c>
      <c r="P51" s="7" t="s">
        <v>2819</v>
      </c>
    </row>
    <row r="52" customFormat="false" ht="15" hidden="false" customHeight="false" outlineLevel="0" collapsed="false">
      <c r="A52" s="7" t="s">
        <v>137</v>
      </c>
      <c r="B52" s="20" t="n">
        <v>44926</v>
      </c>
      <c r="C52" s="7" t="s">
        <v>2836</v>
      </c>
      <c r="D52" s="7" t="s">
        <v>2837</v>
      </c>
      <c r="E52" s="7" t="s">
        <v>2838</v>
      </c>
      <c r="F52" s="7" t="s">
        <v>146</v>
      </c>
      <c r="G52" s="16" t="n">
        <v>1</v>
      </c>
      <c r="H52" s="7" t="s">
        <v>672</v>
      </c>
      <c r="I52" s="22" t="n">
        <v>4819.2</v>
      </c>
      <c r="J52" s="22" t="n">
        <v>4819.2</v>
      </c>
      <c r="K52" s="8" t="n">
        <v>4819.2</v>
      </c>
      <c r="L52" s="8" t="n">
        <v>4819.2</v>
      </c>
      <c r="M52" s="7" t="s">
        <v>2839</v>
      </c>
      <c r="N52" s="20" t="n">
        <v>44840</v>
      </c>
      <c r="O52" s="7" t="s">
        <v>2840</v>
      </c>
      <c r="P52" s="7"/>
    </row>
    <row r="53" customFormat="false" ht="15" hidden="false" customHeight="false" outlineLevel="0" collapsed="false">
      <c r="A53" s="7" t="s">
        <v>137</v>
      </c>
      <c r="B53" s="20" t="n">
        <v>44957</v>
      </c>
      <c r="C53" s="7" t="s">
        <v>2836</v>
      </c>
      <c r="D53" s="7" t="s">
        <v>2837</v>
      </c>
      <c r="E53" s="7" t="s">
        <v>2838</v>
      </c>
      <c r="F53" s="7" t="s">
        <v>146</v>
      </c>
      <c r="G53" s="16" t="n">
        <v>1</v>
      </c>
      <c r="H53" s="7" t="s">
        <v>672</v>
      </c>
      <c r="I53" s="22" t="n">
        <v>4819.2</v>
      </c>
      <c r="J53" s="22" t="n">
        <v>4819.2</v>
      </c>
      <c r="K53" s="8" t="n">
        <v>4819.2</v>
      </c>
      <c r="L53" s="8" t="n">
        <v>4819.2</v>
      </c>
      <c r="M53" s="7" t="s">
        <v>2839</v>
      </c>
      <c r="N53" s="20" t="n">
        <v>44840</v>
      </c>
      <c r="O53" s="7" t="s">
        <v>2840</v>
      </c>
      <c r="P53" s="7"/>
    </row>
    <row r="54" customFormat="false" ht="15" hidden="false" customHeight="false" outlineLevel="0" collapsed="false">
      <c r="A54" s="7" t="s">
        <v>137</v>
      </c>
      <c r="B54" s="20" t="n">
        <v>44985</v>
      </c>
      <c r="C54" s="7" t="s">
        <v>2836</v>
      </c>
      <c r="D54" s="7" t="s">
        <v>2837</v>
      </c>
      <c r="E54" s="7" t="s">
        <v>2838</v>
      </c>
      <c r="F54" s="7" t="s">
        <v>146</v>
      </c>
      <c r="G54" s="16" t="n">
        <v>1</v>
      </c>
      <c r="H54" s="7" t="s">
        <v>672</v>
      </c>
      <c r="I54" s="22" t="n">
        <v>4819.2</v>
      </c>
      <c r="J54" s="22" t="n">
        <v>4819.2</v>
      </c>
      <c r="K54" s="8" t="n">
        <v>4819.2</v>
      </c>
      <c r="L54" s="8" t="n">
        <v>4819.2</v>
      </c>
      <c r="M54" s="7" t="s">
        <v>2839</v>
      </c>
      <c r="N54" s="20" t="n">
        <v>44840</v>
      </c>
      <c r="O54" s="7" t="s">
        <v>2840</v>
      </c>
      <c r="P54" s="7"/>
    </row>
    <row r="55" customFormat="false" ht="15" hidden="false" customHeight="false" outlineLevel="0" collapsed="false">
      <c r="A55" s="7" t="s">
        <v>137</v>
      </c>
      <c r="B55" s="20" t="n">
        <v>45016</v>
      </c>
      <c r="C55" s="7" t="s">
        <v>2836</v>
      </c>
      <c r="D55" s="7" t="s">
        <v>2837</v>
      </c>
      <c r="E55" s="7" t="s">
        <v>2838</v>
      </c>
      <c r="F55" s="7" t="s">
        <v>146</v>
      </c>
      <c r="G55" s="16" t="n">
        <v>1</v>
      </c>
      <c r="H55" s="7" t="s">
        <v>672</v>
      </c>
      <c r="I55" s="22" t="n">
        <v>11475.2</v>
      </c>
      <c r="J55" s="22" t="n">
        <v>11475.2</v>
      </c>
      <c r="K55" s="8" t="n">
        <v>11475.2</v>
      </c>
      <c r="L55" s="8" t="n">
        <v>11475.2</v>
      </c>
      <c r="M55" s="7" t="s">
        <v>2839</v>
      </c>
      <c r="N55" s="20" t="n">
        <v>44840</v>
      </c>
      <c r="O55" s="7" t="s">
        <v>2840</v>
      </c>
      <c r="P55" s="7"/>
    </row>
    <row r="56" customFormat="false" ht="15" hidden="false" customHeight="false" outlineLevel="0" collapsed="false">
      <c r="A56" s="7" t="s">
        <v>137</v>
      </c>
      <c r="B56" s="20" t="n">
        <v>45046</v>
      </c>
      <c r="C56" s="7" t="s">
        <v>2836</v>
      </c>
      <c r="D56" s="7" t="s">
        <v>2837</v>
      </c>
      <c r="E56" s="7" t="s">
        <v>2838</v>
      </c>
      <c r="F56" s="7" t="s">
        <v>146</v>
      </c>
      <c r="G56" s="16" t="n">
        <v>1</v>
      </c>
      <c r="H56" s="7" t="s">
        <v>672</v>
      </c>
      <c r="I56" s="22" t="n">
        <v>11475.2</v>
      </c>
      <c r="J56" s="22" t="n">
        <v>11475.2</v>
      </c>
      <c r="K56" s="8" t="n">
        <v>11475.2</v>
      </c>
      <c r="L56" s="8" t="n">
        <v>11475.2</v>
      </c>
      <c r="M56" s="7" t="s">
        <v>2839</v>
      </c>
      <c r="N56" s="20" t="n">
        <v>44840</v>
      </c>
      <c r="O56" s="7" t="s">
        <v>2840</v>
      </c>
      <c r="P56" s="7"/>
    </row>
    <row r="57" customFormat="false" ht="15" hidden="false" customHeight="false" outlineLevel="0" collapsed="false">
      <c r="A57" s="7" t="s">
        <v>137</v>
      </c>
      <c r="B57" s="20" t="n">
        <v>45077</v>
      </c>
      <c r="C57" s="7" t="s">
        <v>2836</v>
      </c>
      <c r="D57" s="7" t="s">
        <v>2837</v>
      </c>
      <c r="E57" s="7" t="s">
        <v>2838</v>
      </c>
      <c r="F57" s="7" t="s">
        <v>146</v>
      </c>
      <c r="G57" s="16" t="n">
        <v>1</v>
      </c>
      <c r="H57" s="7" t="s">
        <v>672</v>
      </c>
      <c r="I57" s="22" t="n">
        <v>11475.2</v>
      </c>
      <c r="J57" s="22" t="n">
        <v>11475.2</v>
      </c>
      <c r="K57" s="8" t="n">
        <v>11475.2</v>
      </c>
      <c r="L57" s="8" t="n">
        <v>11475.2</v>
      </c>
      <c r="M57" s="7" t="s">
        <v>2839</v>
      </c>
      <c r="N57" s="20" t="n">
        <v>44840</v>
      </c>
      <c r="O57" s="7" t="s">
        <v>2840</v>
      </c>
      <c r="P57" s="7"/>
    </row>
    <row r="58" customFormat="false" ht="15" hidden="false" customHeight="false" outlineLevel="0" collapsed="false">
      <c r="A58" s="7" t="s">
        <v>137</v>
      </c>
      <c r="B58" s="20" t="n">
        <v>45046</v>
      </c>
      <c r="C58" s="7" t="s">
        <v>2841</v>
      </c>
      <c r="D58" s="7" t="s">
        <v>2842</v>
      </c>
      <c r="E58" s="7" t="s">
        <v>2838</v>
      </c>
      <c r="F58" s="7" t="s">
        <v>141</v>
      </c>
      <c r="G58" s="16" t="n">
        <v>1</v>
      </c>
      <c r="H58" s="7" t="s">
        <v>672</v>
      </c>
      <c r="I58" s="22" t="n">
        <v>19092.32</v>
      </c>
      <c r="J58" s="22" t="n">
        <v>19092.32</v>
      </c>
      <c r="K58" s="8" t="n">
        <v>19092.32</v>
      </c>
      <c r="L58" s="8" t="n">
        <v>19092.32</v>
      </c>
      <c r="M58" s="7" t="s">
        <v>2839</v>
      </c>
      <c r="N58" s="20" t="n">
        <v>45040</v>
      </c>
      <c r="O58" s="7" t="s">
        <v>2843</v>
      </c>
      <c r="P58" s="7"/>
    </row>
    <row r="59" customFormat="false" ht="15" hidden="false" customHeight="false" outlineLevel="0" collapsed="false">
      <c r="A59" s="7" t="s">
        <v>137</v>
      </c>
      <c r="B59" s="20" t="n">
        <v>45077</v>
      </c>
      <c r="C59" s="7" t="s">
        <v>2841</v>
      </c>
      <c r="D59" s="7" t="s">
        <v>2842</v>
      </c>
      <c r="E59" s="7" t="s">
        <v>2838</v>
      </c>
      <c r="F59" s="7" t="s">
        <v>141</v>
      </c>
      <c r="G59" s="16" t="n">
        <v>1</v>
      </c>
      <c r="H59" s="7" t="s">
        <v>672</v>
      </c>
      <c r="I59" s="22" t="n">
        <v>19092.32</v>
      </c>
      <c r="J59" s="22" t="n">
        <v>19092.32</v>
      </c>
      <c r="K59" s="8" t="n">
        <v>19092.32</v>
      </c>
      <c r="L59" s="8" t="n">
        <v>19092.32</v>
      </c>
      <c r="M59" s="7" t="s">
        <v>2839</v>
      </c>
      <c r="N59" s="20" t="n">
        <v>45040</v>
      </c>
      <c r="O59" s="7" t="s">
        <v>2843</v>
      </c>
      <c r="P59" s="7"/>
    </row>
    <row r="60" customFormat="false" ht="15" hidden="false" customHeight="false" outlineLevel="0" collapsed="false">
      <c r="A60" s="7" t="s">
        <v>137</v>
      </c>
      <c r="B60" s="20" t="n">
        <v>45107</v>
      </c>
      <c r="C60" s="7" t="s">
        <v>2841</v>
      </c>
      <c r="D60" s="7" t="s">
        <v>2842</v>
      </c>
      <c r="E60" s="7" t="s">
        <v>2838</v>
      </c>
      <c r="F60" s="7" t="s">
        <v>141</v>
      </c>
      <c r="G60" s="16" t="n">
        <v>1</v>
      </c>
      <c r="H60" s="7" t="s">
        <v>672</v>
      </c>
      <c r="I60" s="22" t="n">
        <v>20892.32</v>
      </c>
      <c r="J60" s="22" t="n">
        <v>20892.32</v>
      </c>
      <c r="K60" s="8" t="n">
        <v>20892.32</v>
      </c>
      <c r="L60" s="8" t="n">
        <v>20892.32</v>
      </c>
      <c r="M60" s="7" t="s">
        <v>2839</v>
      </c>
      <c r="N60" s="20" t="n">
        <v>45040</v>
      </c>
      <c r="O60" s="7" t="s">
        <v>2843</v>
      </c>
      <c r="P60" s="7"/>
    </row>
    <row r="61" customFormat="false" ht="15" hidden="false" customHeight="false" outlineLevel="0" collapsed="false">
      <c r="A61" s="7" t="s">
        <v>137</v>
      </c>
      <c r="B61" s="20" t="n">
        <v>45138</v>
      </c>
      <c r="C61" s="7" t="s">
        <v>2841</v>
      </c>
      <c r="D61" s="7" t="s">
        <v>2842</v>
      </c>
      <c r="E61" s="7" t="s">
        <v>2838</v>
      </c>
      <c r="F61" s="7" t="s">
        <v>141</v>
      </c>
      <c r="G61" s="16" t="n">
        <v>1</v>
      </c>
      <c r="H61" s="7" t="s">
        <v>672</v>
      </c>
      <c r="I61" s="22" t="n">
        <v>20892.32</v>
      </c>
      <c r="J61" s="22" t="n">
        <v>20892.32</v>
      </c>
      <c r="K61" s="8" t="n">
        <v>20892.32</v>
      </c>
      <c r="L61" s="8" t="n">
        <v>20892.32</v>
      </c>
      <c r="M61" s="7" t="s">
        <v>2839</v>
      </c>
      <c r="N61" s="20" t="n">
        <v>45040</v>
      </c>
      <c r="O61" s="7" t="s">
        <v>2843</v>
      </c>
      <c r="P61" s="7"/>
    </row>
    <row r="62" customFormat="false" ht="15" hidden="false" customHeight="false" outlineLevel="0" collapsed="false">
      <c r="A62" s="7" t="s">
        <v>137</v>
      </c>
      <c r="B62" s="20" t="n">
        <v>45169</v>
      </c>
      <c r="C62" s="7" t="s">
        <v>2841</v>
      </c>
      <c r="D62" s="7" t="s">
        <v>2842</v>
      </c>
      <c r="E62" s="7" t="s">
        <v>2838</v>
      </c>
      <c r="F62" s="7" t="s">
        <v>141</v>
      </c>
      <c r="G62" s="16" t="n">
        <v>1</v>
      </c>
      <c r="H62" s="7" t="s">
        <v>672</v>
      </c>
      <c r="I62" s="22" t="n">
        <v>20892.32</v>
      </c>
      <c r="J62" s="22" t="n">
        <v>20892.32</v>
      </c>
      <c r="K62" s="8" t="n">
        <v>20892.32</v>
      </c>
      <c r="L62" s="8" t="n">
        <v>20892.32</v>
      </c>
      <c r="M62" s="7" t="s">
        <v>2839</v>
      </c>
      <c r="N62" s="20" t="n">
        <v>45040</v>
      </c>
      <c r="O62" s="7" t="s">
        <v>2843</v>
      </c>
      <c r="P62" s="7"/>
    </row>
    <row r="63" customFormat="false" ht="15" hidden="false" customHeight="false" outlineLevel="0" collapsed="false">
      <c r="A63" s="7" t="s">
        <v>137</v>
      </c>
      <c r="B63" s="20" t="n">
        <v>45046</v>
      </c>
      <c r="C63" s="7" t="s">
        <v>2844</v>
      </c>
      <c r="D63" s="7" t="s">
        <v>2845</v>
      </c>
      <c r="E63" s="7" t="s">
        <v>2838</v>
      </c>
      <c r="F63" s="7" t="s">
        <v>141</v>
      </c>
      <c r="G63" s="16" t="n">
        <v>1</v>
      </c>
      <c r="H63" s="7" t="s">
        <v>672</v>
      </c>
      <c r="I63" s="22" t="n">
        <v>49494.25</v>
      </c>
      <c r="J63" s="22" t="n">
        <v>49494.25</v>
      </c>
      <c r="K63" s="8" t="n">
        <v>49494.25</v>
      </c>
      <c r="L63" s="8" t="n">
        <v>49494.25</v>
      </c>
      <c r="M63" s="7" t="s">
        <v>2839</v>
      </c>
      <c r="N63" s="20" t="n">
        <v>45035</v>
      </c>
      <c r="O63" s="7" t="s">
        <v>2846</v>
      </c>
      <c r="P63" s="7"/>
    </row>
    <row r="64" customFormat="false" ht="15" hidden="false" customHeight="false" outlineLevel="0" collapsed="false">
      <c r="A64" s="7" t="s">
        <v>137</v>
      </c>
      <c r="B64" s="20" t="n">
        <v>45077</v>
      </c>
      <c r="C64" s="7" t="s">
        <v>2844</v>
      </c>
      <c r="D64" s="7" t="s">
        <v>2845</v>
      </c>
      <c r="E64" s="7" t="s">
        <v>2838</v>
      </c>
      <c r="F64" s="7" t="s">
        <v>141</v>
      </c>
      <c r="G64" s="16" t="n">
        <v>1</v>
      </c>
      <c r="H64" s="7" t="s">
        <v>672</v>
      </c>
      <c r="I64" s="22" t="n">
        <v>52756.75</v>
      </c>
      <c r="J64" s="22" t="n">
        <v>52756.75</v>
      </c>
      <c r="K64" s="8" t="n">
        <v>52756.75</v>
      </c>
      <c r="L64" s="8" t="n">
        <v>52756.75</v>
      </c>
      <c r="M64" s="7" t="s">
        <v>2839</v>
      </c>
      <c r="N64" s="20" t="n">
        <v>45035</v>
      </c>
      <c r="O64" s="7" t="s">
        <v>2846</v>
      </c>
      <c r="P64" s="7"/>
    </row>
    <row r="65" customFormat="false" ht="15" hidden="false" customHeight="false" outlineLevel="0" collapsed="false">
      <c r="A65" s="7" t="s">
        <v>137</v>
      </c>
      <c r="B65" s="20" t="n">
        <v>45107</v>
      </c>
      <c r="C65" s="7" t="s">
        <v>2844</v>
      </c>
      <c r="D65" s="7" t="s">
        <v>2845</v>
      </c>
      <c r="E65" s="7" t="s">
        <v>2838</v>
      </c>
      <c r="F65" s="7" t="s">
        <v>141</v>
      </c>
      <c r="G65" s="16" t="n">
        <v>1</v>
      </c>
      <c r="H65" s="7" t="s">
        <v>672</v>
      </c>
      <c r="I65" s="22" t="n">
        <v>57163</v>
      </c>
      <c r="J65" s="22" t="n">
        <v>57163</v>
      </c>
      <c r="K65" s="8" t="n">
        <v>57163</v>
      </c>
      <c r="L65" s="8" t="n">
        <v>57163</v>
      </c>
      <c r="M65" s="7" t="s">
        <v>2839</v>
      </c>
      <c r="N65" s="20" t="n">
        <v>45035</v>
      </c>
      <c r="O65" s="7" t="s">
        <v>2846</v>
      </c>
      <c r="P65" s="7"/>
    </row>
    <row r="66" customFormat="false" ht="15" hidden="false" customHeight="false" outlineLevel="0" collapsed="false">
      <c r="A66" s="7" t="s">
        <v>137</v>
      </c>
      <c r="B66" s="20" t="n">
        <v>45138</v>
      </c>
      <c r="C66" s="7" t="s">
        <v>2844</v>
      </c>
      <c r="D66" s="7" t="s">
        <v>2845</v>
      </c>
      <c r="E66" s="7" t="s">
        <v>2838</v>
      </c>
      <c r="F66" s="7" t="s">
        <v>141</v>
      </c>
      <c r="G66" s="16" t="n">
        <v>1</v>
      </c>
      <c r="H66" s="7" t="s">
        <v>672</v>
      </c>
      <c r="I66" s="22" t="n">
        <v>68594.25</v>
      </c>
      <c r="J66" s="22" t="n">
        <v>68594.25</v>
      </c>
      <c r="K66" s="8" t="n">
        <v>68594.25</v>
      </c>
      <c r="L66" s="8" t="n">
        <v>68594.25</v>
      </c>
      <c r="M66" s="7" t="s">
        <v>2839</v>
      </c>
      <c r="N66" s="20" t="n">
        <v>45035</v>
      </c>
      <c r="O66" s="7" t="s">
        <v>2846</v>
      </c>
      <c r="P66" s="7"/>
    </row>
    <row r="67" customFormat="false" ht="15" hidden="false" customHeight="false" outlineLevel="0" collapsed="false">
      <c r="A67" s="7" t="s">
        <v>137</v>
      </c>
      <c r="B67" s="20" t="n">
        <v>45169</v>
      </c>
      <c r="C67" s="7" t="s">
        <v>2844</v>
      </c>
      <c r="D67" s="7" t="s">
        <v>2845</v>
      </c>
      <c r="E67" s="7" t="s">
        <v>2838</v>
      </c>
      <c r="F67" s="7" t="s">
        <v>141</v>
      </c>
      <c r="G67" s="16" t="n">
        <v>1</v>
      </c>
      <c r="H67" s="7" t="s">
        <v>672</v>
      </c>
      <c r="I67" s="22" t="n">
        <v>73881.75</v>
      </c>
      <c r="J67" s="22" t="n">
        <v>73881.75</v>
      </c>
      <c r="K67" s="8" t="n">
        <v>73881.75</v>
      </c>
      <c r="L67" s="8" t="n">
        <v>73881.75</v>
      </c>
      <c r="M67" s="7" t="s">
        <v>2839</v>
      </c>
      <c r="N67" s="20" t="n">
        <v>45035</v>
      </c>
      <c r="O67" s="7" t="s">
        <v>2846</v>
      </c>
      <c r="P67" s="7"/>
    </row>
    <row r="68" customFormat="false" ht="15" hidden="false" customHeight="false" outlineLevel="0" collapsed="false">
      <c r="A68" s="7" t="s">
        <v>137</v>
      </c>
      <c r="B68" s="20" t="n">
        <v>45199</v>
      </c>
      <c r="C68" s="7" t="s">
        <v>2844</v>
      </c>
      <c r="D68" s="7" t="s">
        <v>2845</v>
      </c>
      <c r="E68" s="7" t="s">
        <v>2838</v>
      </c>
      <c r="F68" s="7" t="s">
        <v>141</v>
      </c>
      <c r="G68" s="16" t="n">
        <v>1</v>
      </c>
      <c r="H68" s="7" t="s">
        <v>672</v>
      </c>
      <c r="I68" s="22" t="n">
        <v>73881.75</v>
      </c>
      <c r="J68" s="22" t="n">
        <v>73881.75</v>
      </c>
      <c r="K68" s="8" t="n">
        <v>73881.75</v>
      </c>
      <c r="L68" s="8" t="n">
        <v>73881.75</v>
      </c>
      <c r="M68" s="7" t="s">
        <v>2839</v>
      </c>
      <c r="N68" s="20" t="n">
        <v>45035</v>
      </c>
      <c r="O68" s="7" t="s">
        <v>2846</v>
      </c>
      <c r="P68" s="7"/>
    </row>
    <row r="69" customFormat="false" ht="15" hidden="false" customHeight="false" outlineLevel="0" collapsed="false">
      <c r="A69" s="7" t="s">
        <v>137</v>
      </c>
      <c r="B69" s="20" t="n">
        <v>45230</v>
      </c>
      <c r="C69" s="7" t="s">
        <v>2847</v>
      </c>
      <c r="D69" s="7" t="s">
        <v>2848</v>
      </c>
      <c r="E69" s="7" t="s">
        <v>2838</v>
      </c>
      <c r="F69" s="7" t="s">
        <v>146</v>
      </c>
      <c r="G69" s="16" t="n">
        <v>1</v>
      </c>
      <c r="H69" s="7" t="s">
        <v>672</v>
      </c>
      <c r="I69" s="22" t="n">
        <v>4777.6</v>
      </c>
      <c r="J69" s="22" t="n">
        <v>4777.6</v>
      </c>
      <c r="K69" s="8" t="n">
        <v>4777.6</v>
      </c>
      <c r="L69" s="8" t="n">
        <v>4777.6</v>
      </c>
      <c r="M69" s="7" t="s">
        <v>2839</v>
      </c>
      <c r="N69" s="20" t="n">
        <v>45201</v>
      </c>
      <c r="O69" s="7" t="s">
        <v>2849</v>
      </c>
      <c r="P69" s="7"/>
    </row>
    <row r="70" customFormat="false" ht="15" hidden="false" customHeight="false" outlineLevel="0" collapsed="false">
      <c r="A70" s="7" t="s">
        <v>137</v>
      </c>
      <c r="B70" s="20" t="n">
        <v>45260</v>
      </c>
      <c r="C70" s="7" t="s">
        <v>2847</v>
      </c>
      <c r="D70" s="7" t="s">
        <v>2848</v>
      </c>
      <c r="E70" s="7" t="s">
        <v>2838</v>
      </c>
      <c r="F70" s="7" t="s">
        <v>146</v>
      </c>
      <c r="G70" s="16" t="n">
        <v>1</v>
      </c>
      <c r="H70" s="7" t="s">
        <v>672</v>
      </c>
      <c r="I70" s="22" t="n">
        <v>4777.6</v>
      </c>
      <c r="J70" s="22" t="n">
        <v>4777.6</v>
      </c>
      <c r="K70" s="8" t="n">
        <v>4777.6</v>
      </c>
      <c r="L70" s="8" t="n">
        <v>4777.6</v>
      </c>
      <c r="M70" s="7" t="s">
        <v>2839</v>
      </c>
      <c r="N70" s="20" t="n">
        <v>45201</v>
      </c>
      <c r="O70" s="7" t="s">
        <v>2849</v>
      </c>
      <c r="P70" s="7"/>
    </row>
    <row r="71" customFormat="false" ht="15" hidden="false" customHeight="false" outlineLevel="0" collapsed="false">
      <c r="A71" s="7" t="s">
        <v>137</v>
      </c>
      <c r="B71" s="20" t="n">
        <v>45291</v>
      </c>
      <c r="C71" s="7" t="s">
        <v>2847</v>
      </c>
      <c r="D71" s="7" t="s">
        <v>2848</v>
      </c>
      <c r="E71" s="7" t="s">
        <v>2838</v>
      </c>
      <c r="F71" s="7" t="s">
        <v>146</v>
      </c>
      <c r="G71" s="16" t="n">
        <v>1</v>
      </c>
      <c r="H71" s="7" t="s">
        <v>672</v>
      </c>
      <c r="I71" s="22" t="n">
        <v>4777.6</v>
      </c>
      <c r="J71" s="22" t="n">
        <v>4777.6</v>
      </c>
      <c r="K71" s="8" t="n">
        <v>4777.6</v>
      </c>
      <c r="L71" s="8" t="n">
        <v>4777.6</v>
      </c>
      <c r="M71" s="7" t="s">
        <v>2839</v>
      </c>
      <c r="N71" s="20" t="n">
        <v>45201</v>
      </c>
      <c r="O71" s="7" t="s">
        <v>2849</v>
      </c>
      <c r="P71" s="7"/>
    </row>
    <row r="72" customFormat="false" ht="15" hidden="false" customHeight="false" outlineLevel="0" collapsed="false">
      <c r="A72" s="7" t="s">
        <v>137</v>
      </c>
      <c r="B72" s="20" t="n">
        <v>45322</v>
      </c>
      <c r="C72" s="7" t="s">
        <v>2847</v>
      </c>
      <c r="D72" s="7" t="s">
        <v>2848</v>
      </c>
      <c r="E72" s="7" t="s">
        <v>2838</v>
      </c>
      <c r="F72" s="7" t="s">
        <v>146</v>
      </c>
      <c r="G72" s="16" t="n">
        <v>1</v>
      </c>
      <c r="H72" s="7" t="s">
        <v>672</v>
      </c>
      <c r="I72" s="22" t="n">
        <v>4777.6</v>
      </c>
      <c r="J72" s="22" t="n">
        <v>4777.6</v>
      </c>
      <c r="K72" s="8" t="n">
        <v>4777.6</v>
      </c>
      <c r="L72" s="8" t="n">
        <v>4777.6</v>
      </c>
      <c r="M72" s="7" t="s">
        <v>2839</v>
      </c>
      <c r="N72" s="20" t="n">
        <v>45201</v>
      </c>
      <c r="O72" s="7" t="s">
        <v>2849</v>
      </c>
      <c r="P72" s="7"/>
    </row>
    <row r="73" customFormat="false" ht="15" hidden="false" customHeight="false" outlineLevel="0" collapsed="false">
      <c r="A73" s="7" t="s">
        <v>137</v>
      </c>
      <c r="B73" s="20" t="n">
        <v>45351</v>
      </c>
      <c r="C73" s="7" t="s">
        <v>2847</v>
      </c>
      <c r="D73" s="7" t="s">
        <v>2848</v>
      </c>
      <c r="E73" s="7" t="s">
        <v>2838</v>
      </c>
      <c r="F73" s="7" t="s">
        <v>146</v>
      </c>
      <c r="G73" s="16" t="n">
        <v>1</v>
      </c>
      <c r="H73" s="7" t="s">
        <v>672</v>
      </c>
      <c r="I73" s="22" t="n">
        <v>4777.6</v>
      </c>
      <c r="J73" s="22" t="n">
        <v>4777.6</v>
      </c>
      <c r="K73" s="8" t="n">
        <v>4777.6</v>
      </c>
      <c r="L73" s="8" t="n">
        <v>4777.6</v>
      </c>
      <c r="M73" s="7" t="s">
        <v>2839</v>
      </c>
      <c r="N73" s="20" t="n">
        <v>45201</v>
      </c>
      <c r="O73" s="7" t="s">
        <v>2849</v>
      </c>
      <c r="P73" s="7"/>
    </row>
    <row r="74" customFormat="false" ht="15" hidden="false" customHeight="false" outlineLevel="0" collapsed="false">
      <c r="A74" s="7" t="s">
        <v>137</v>
      </c>
      <c r="B74" s="20" t="n">
        <v>45382</v>
      </c>
      <c r="C74" s="7" t="s">
        <v>2847</v>
      </c>
      <c r="D74" s="7" t="s">
        <v>2848</v>
      </c>
      <c r="E74" s="7" t="s">
        <v>2838</v>
      </c>
      <c r="F74" s="7" t="s">
        <v>146</v>
      </c>
      <c r="G74" s="16" t="n">
        <v>1</v>
      </c>
      <c r="H74" s="7" t="s">
        <v>672</v>
      </c>
      <c r="I74" s="22" t="n">
        <v>10565.6</v>
      </c>
      <c r="J74" s="22" t="n">
        <v>10565.6</v>
      </c>
      <c r="K74" s="8" t="n">
        <v>10565.6</v>
      </c>
      <c r="L74" s="8" t="n">
        <v>10565.6</v>
      </c>
      <c r="M74" s="7" t="s">
        <v>2839</v>
      </c>
      <c r="N74" s="20" t="n">
        <v>45201</v>
      </c>
      <c r="O74" s="7" t="s">
        <v>2849</v>
      </c>
      <c r="P74" s="7"/>
    </row>
    <row r="75" customFormat="false" ht="15" hidden="false" customHeight="false" outlineLevel="0" collapsed="false">
      <c r="A75" s="7" t="s">
        <v>137</v>
      </c>
      <c r="B75" s="20" t="n">
        <v>45412</v>
      </c>
      <c r="C75" s="7" t="s">
        <v>2847</v>
      </c>
      <c r="D75" s="7" t="s">
        <v>2848</v>
      </c>
      <c r="E75" s="7" t="s">
        <v>2838</v>
      </c>
      <c r="F75" s="7" t="s">
        <v>146</v>
      </c>
      <c r="G75" s="16" t="n">
        <v>1</v>
      </c>
      <c r="H75" s="7" t="s">
        <v>672</v>
      </c>
      <c r="I75" s="22" t="n">
        <v>10565.6</v>
      </c>
      <c r="J75" s="22" t="n">
        <v>10565.6</v>
      </c>
      <c r="K75" s="8" t="n">
        <v>10565.6</v>
      </c>
      <c r="L75" s="8" t="n">
        <v>10565.6</v>
      </c>
      <c r="M75" s="7" t="s">
        <v>2839</v>
      </c>
      <c r="N75" s="20" t="n">
        <v>45201</v>
      </c>
      <c r="O75" s="7" t="s">
        <v>2849</v>
      </c>
      <c r="P75" s="7"/>
    </row>
    <row r="76" customFormat="false" ht="15" hidden="false" customHeight="false" outlineLevel="0" collapsed="false">
      <c r="A76" s="7" t="s">
        <v>137</v>
      </c>
      <c r="B76" s="20" t="n">
        <v>45443</v>
      </c>
      <c r="C76" s="7" t="s">
        <v>2847</v>
      </c>
      <c r="D76" s="7" t="s">
        <v>2848</v>
      </c>
      <c r="E76" s="7" t="s">
        <v>2838</v>
      </c>
      <c r="F76" s="7" t="s">
        <v>146</v>
      </c>
      <c r="G76" s="16" t="n">
        <v>1</v>
      </c>
      <c r="H76" s="7" t="s">
        <v>672</v>
      </c>
      <c r="I76" s="22" t="n">
        <v>10565.6</v>
      </c>
      <c r="J76" s="22" t="n">
        <v>10565.6</v>
      </c>
      <c r="K76" s="8" t="n">
        <v>10565.6</v>
      </c>
      <c r="L76" s="8" t="n">
        <v>10565.6</v>
      </c>
      <c r="M76" s="7" t="s">
        <v>2839</v>
      </c>
      <c r="N76" s="20" t="n">
        <v>45201</v>
      </c>
      <c r="O76" s="7" t="s">
        <v>2849</v>
      </c>
      <c r="P76" s="7"/>
    </row>
    <row r="77" customFormat="false" ht="15" hidden="false" customHeight="false" outlineLevel="0" collapsed="false">
      <c r="A77" s="7" t="s">
        <v>137</v>
      </c>
      <c r="B77" s="20" t="n">
        <v>45443</v>
      </c>
      <c r="C77" s="7" t="s">
        <v>2850</v>
      </c>
      <c r="D77" s="7" t="s">
        <v>2851</v>
      </c>
      <c r="E77" s="7" t="s">
        <v>2838</v>
      </c>
      <c r="F77" s="7" t="s">
        <v>144</v>
      </c>
      <c r="G77" s="16" t="n">
        <v>1</v>
      </c>
      <c r="H77" s="7" t="s">
        <v>672</v>
      </c>
      <c r="I77" s="22" t="n">
        <v>18502.44</v>
      </c>
      <c r="J77" s="22" t="n">
        <v>18502.44</v>
      </c>
      <c r="K77" s="8" t="n">
        <v>18502.44</v>
      </c>
      <c r="L77" s="8" t="n">
        <v>18502.44</v>
      </c>
      <c r="M77" s="7" t="s">
        <v>2839</v>
      </c>
      <c r="N77" s="20" t="n">
        <v>45426</v>
      </c>
      <c r="O77" s="7" t="s">
        <v>2852</v>
      </c>
      <c r="P77" s="7"/>
    </row>
    <row r="78" customFormat="false" ht="15" hidden="false" customHeight="false" outlineLevel="0" collapsed="false">
      <c r="A78" s="7" t="s">
        <v>137</v>
      </c>
      <c r="B78" s="20" t="n">
        <v>45473</v>
      </c>
      <c r="C78" s="7" t="s">
        <v>2850</v>
      </c>
      <c r="D78" s="7" t="s">
        <v>2851</v>
      </c>
      <c r="E78" s="7" t="s">
        <v>2838</v>
      </c>
      <c r="F78" s="7" t="s">
        <v>144</v>
      </c>
      <c r="G78" s="16" t="n">
        <v>1</v>
      </c>
      <c r="H78" s="7" t="s">
        <v>672</v>
      </c>
      <c r="I78" s="22" t="n">
        <v>21269.94</v>
      </c>
      <c r="J78" s="22" t="n">
        <v>21269.94</v>
      </c>
      <c r="K78" s="8" t="n">
        <v>21269.94</v>
      </c>
      <c r="L78" s="8" t="n">
        <v>21269.94</v>
      </c>
      <c r="M78" s="7" t="s">
        <v>2839</v>
      </c>
      <c r="N78" s="20" t="n">
        <v>45426</v>
      </c>
      <c r="O78" s="7" t="s">
        <v>2852</v>
      </c>
      <c r="P78" s="7"/>
    </row>
    <row r="79" customFormat="false" ht="15" hidden="false" customHeight="false" outlineLevel="0" collapsed="false">
      <c r="A79" s="7" t="s">
        <v>137</v>
      </c>
      <c r="B79" s="20" t="n">
        <v>45504</v>
      </c>
      <c r="C79" s="7" t="s">
        <v>2850</v>
      </c>
      <c r="D79" s="7" t="s">
        <v>2851</v>
      </c>
      <c r="E79" s="7" t="s">
        <v>2838</v>
      </c>
      <c r="F79" s="7" t="s">
        <v>144</v>
      </c>
      <c r="G79" s="16" t="n">
        <v>1</v>
      </c>
      <c r="H79" s="7" t="s">
        <v>672</v>
      </c>
      <c r="I79" s="22" t="n">
        <v>28083.69</v>
      </c>
      <c r="J79" s="22" t="n">
        <v>28083.69</v>
      </c>
      <c r="K79" s="8" t="n">
        <v>28083.69</v>
      </c>
      <c r="L79" s="8" t="n">
        <v>28083.69</v>
      </c>
      <c r="M79" s="7" t="s">
        <v>2839</v>
      </c>
      <c r="N79" s="20" t="n">
        <v>45426</v>
      </c>
      <c r="O79" s="7" t="s">
        <v>2852</v>
      </c>
      <c r="P79" s="7"/>
    </row>
    <row r="80" customFormat="false" ht="15" hidden="false" customHeight="false" outlineLevel="0" collapsed="false">
      <c r="A80" s="7" t="s">
        <v>137</v>
      </c>
      <c r="B80" s="20" t="n">
        <v>45535</v>
      </c>
      <c r="C80" s="7" t="s">
        <v>2850</v>
      </c>
      <c r="D80" s="7" t="s">
        <v>2851</v>
      </c>
      <c r="E80" s="7" t="s">
        <v>2838</v>
      </c>
      <c r="F80" s="7" t="s">
        <v>144</v>
      </c>
      <c r="G80" s="16" t="n">
        <v>1</v>
      </c>
      <c r="H80" s="7" t="s">
        <v>672</v>
      </c>
      <c r="I80" s="22" t="n">
        <v>32078.69</v>
      </c>
      <c r="J80" s="22" t="n">
        <v>32078.69</v>
      </c>
      <c r="K80" s="8" t="n">
        <v>32078.69</v>
      </c>
      <c r="L80" s="8" t="n">
        <v>32078.69</v>
      </c>
      <c r="M80" s="7" t="s">
        <v>2839</v>
      </c>
      <c r="N80" s="20" t="n">
        <v>45426</v>
      </c>
      <c r="O80" s="7" t="s">
        <v>2852</v>
      </c>
      <c r="P80" s="7"/>
    </row>
    <row r="81" customFormat="false" ht="15" hidden="false" customHeight="false" outlineLevel="0" collapsed="false">
      <c r="A81" s="7" t="s">
        <v>137</v>
      </c>
      <c r="B81" s="20" t="n">
        <v>45565</v>
      </c>
      <c r="C81" s="7" t="s">
        <v>2850</v>
      </c>
      <c r="D81" s="7" t="s">
        <v>2851</v>
      </c>
      <c r="E81" s="7" t="s">
        <v>2838</v>
      </c>
      <c r="F81" s="7" t="s">
        <v>144</v>
      </c>
      <c r="G81" s="16" t="n">
        <v>1</v>
      </c>
      <c r="H81" s="7" t="s">
        <v>672</v>
      </c>
      <c r="I81" s="22" t="n">
        <v>32078.69</v>
      </c>
      <c r="J81" s="22" t="n">
        <v>32078.69</v>
      </c>
      <c r="K81" s="8" t="n">
        <v>32078.69</v>
      </c>
      <c r="L81" s="8" t="n">
        <v>32078.69</v>
      </c>
      <c r="M81" s="7" t="s">
        <v>2839</v>
      </c>
      <c r="N81" s="20" t="n">
        <v>45426</v>
      </c>
      <c r="O81" s="7" t="s">
        <v>2852</v>
      </c>
      <c r="P81" s="7"/>
    </row>
    <row r="82" customFormat="false" ht="15" hidden="false" customHeight="false" outlineLevel="0" collapsed="false">
      <c r="A82" s="7" t="s">
        <v>137</v>
      </c>
      <c r="B82" s="20" t="n">
        <v>45443</v>
      </c>
      <c r="C82" s="7" t="s">
        <v>2853</v>
      </c>
      <c r="D82" s="7" t="s">
        <v>2854</v>
      </c>
      <c r="E82" s="7" t="s">
        <v>2838</v>
      </c>
      <c r="F82" s="7" t="s">
        <v>144</v>
      </c>
      <c r="G82" s="16" t="n">
        <v>1</v>
      </c>
      <c r="H82" s="7" t="s">
        <v>672</v>
      </c>
      <c r="I82" s="22" t="n">
        <v>8282.26</v>
      </c>
      <c r="J82" s="22" t="n">
        <v>8282.26</v>
      </c>
      <c r="K82" s="8" t="n">
        <v>8282.26</v>
      </c>
      <c r="L82" s="8" t="n">
        <v>8282.26</v>
      </c>
      <c r="M82" s="7" t="s">
        <v>2839</v>
      </c>
      <c r="N82" s="20" t="n">
        <v>45432</v>
      </c>
      <c r="O82" s="7" t="s">
        <v>2852</v>
      </c>
      <c r="P82" s="7"/>
    </row>
    <row r="83" customFormat="false" ht="15" hidden="false" customHeight="false" outlineLevel="0" collapsed="false">
      <c r="A83" s="7" t="s">
        <v>137</v>
      </c>
      <c r="B83" s="20" t="n">
        <v>45473</v>
      </c>
      <c r="C83" s="7" t="s">
        <v>2853</v>
      </c>
      <c r="D83" s="7" t="s">
        <v>2854</v>
      </c>
      <c r="E83" s="7" t="s">
        <v>2838</v>
      </c>
      <c r="F83" s="7" t="s">
        <v>144</v>
      </c>
      <c r="G83" s="16" t="n">
        <v>1</v>
      </c>
      <c r="H83" s="7" t="s">
        <v>672</v>
      </c>
      <c r="I83" s="22" t="n">
        <v>9942.76</v>
      </c>
      <c r="J83" s="22" t="n">
        <v>9942.76</v>
      </c>
      <c r="K83" s="8" t="n">
        <v>9942.76</v>
      </c>
      <c r="L83" s="8" t="n">
        <v>9942.76</v>
      </c>
      <c r="M83" s="7" t="s">
        <v>2839</v>
      </c>
      <c r="N83" s="20" t="n">
        <v>45432</v>
      </c>
      <c r="O83" s="7" t="s">
        <v>2852</v>
      </c>
      <c r="P83" s="7"/>
    </row>
    <row r="84" customFormat="false" ht="15" hidden="false" customHeight="false" outlineLevel="0" collapsed="false">
      <c r="A84" s="7" t="s">
        <v>137</v>
      </c>
      <c r="B84" s="20" t="n">
        <v>45504</v>
      </c>
      <c r="C84" s="7" t="s">
        <v>2853</v>
      </c>
      <c r="D84" s="7" t="s">
        <v>2854</v>
      </c>
      <c r="E84" s="7" t="s">
        <v>2838</v>
      </c>
      <c r="F84" s="7" t="s">
        <v>144</v>
      </c>
      <c r="G84" s="16" t="n">
        <v>1</v>
      </c>
      <c r="H84" s="7" t="s">
        <v>672</v>
      </c>
      <c r="I84" s="22" t="n">
        <v>9942.76</v>
      </c>
      <c r="J84" s="22" t="n">
        <v>9942.76</v>
      </c>
      <c r="K84" s="8" t="n">
        <v>9942.76</v>
      </c>
      <c r="L84" s="8" t="n">
        <v>9942.76</v>
      </c>
      <c r="M84" s="7" t="s">
        <v>2839</v>
      </c>
      <c r="N84" s="20" t="n">
        <v>45432</v>
      </c>
      <c r="O84" s="7" t="s">
        <v>2852</v>
      </c>
      <c r="P84" s="7"/>
    </row>
    <row r="85" customFormat="false" ht="15" hidden="false" customHeight="false" outlineLevel="0" collapsed="false">
      <c r="A85" s="7" t="s">
        <v>137</v>
      </c>
      <c r="B85" s="20" t="n">
        <v>45535</v>
      </c>
      <c r="C85" s="7" t="s">
        <v>2853</v>
      </c>
      <c r="D85" s="7" t="s">
        <v>2854</v>
      </c>
      <c r="E85" s="7" t="s">
        <v>2838</v>
      </c>
      <c r="F85" s="7" t="s">
        <v>144</v>
      </c>
      <c r="G85" s="16" t="n">
        <v>1</v>
      </c>
      <c r="H85" s="7" t="s">
        <v>672</v>
      </c>
      <c r="I85" s="22" t="n">
        <v>9942.76</v>
      </c>
      <c r="J85" s="22" t="n">
        <v>9942.76</v>
      </c>
      <c r="K85" s="8" t="n">
        <v>9942.76</v>
      </c>
      <c r="L85" s="8" t="n">
        <v>9942.76</v>
      </c>
      <c r="M85" s="7" t="s">
        <v>2839</v>
      </c>
      <c r="N85" s="20" t="n">
        <v>45432</v>
      </c>
      <c r="O85" s="7" t="s">
        <v>2852</v>
      </c>
      <c r="P85" s="7"/>
    </row>
    <row r="86" customFormat="false" ht="15" hidden="false" customHeight="false" outlineLevel="0" collapsed="false">
      <c r="A86" s="7" t="s">
        <v>137</v>
      </c>
      <c r="B86" s="20" t="n">
        <v>45565</v>
      </c>
      <c r="C86" s="7" t="s">
        <v>2853</v>
      </c>
      <c r="D86" s="7" t="s">
        <v>2854</v>
      </c>
      <c r="E86" s="7" t="s">
        <v>2838</v>
      </c>
      <c r="F86" s="7" t="s">
        <v>144</v>
      </c>
      <c r="G86" s="16" t="n">
        <v>1</v>
      </c>
      <c r="H86" s="7" t="s">
        <v>672</v>
      </c>
      <c r="I86" s="22" t="n">
        <v>9942.76</v>
      </c>
      <c r="J86" s="22" t="n">
        <v>9942.76</v>
      </c>
      <c r="K86" s="8" t="n">
        <v>9942.76</v>
      </c>
      <c r="L86" s="8" t="n">
        <v>9942.76</v>
      </c>
      <c r="M86" s="7" t="s">
        <v>2839</v>
      </c>
      <c r="N86" s="20" t="n">
        <v>45432</v>
      </c>
      <c r="O86" s="7" t="s">
        <v>2852</v>
      </c>
      <c r="P86" s="7"/>
    </row>
    <row r="87" customFormat="false" ht="15" hidden="false" customHeight="false" outlineLevel="0" collapsed="false">
      <c r="A87" s="7" t="s">
        <v>137</v>
      </c>
      <c r="B87" s="20" t="n">
        <v>45596</v>
      </c>
      <c r="C87" s="7" t="s">
        <v>2855</v>
      </c>
      <c r="D87" s="7" t="s">
        <v>2856</v>
      </c>
      <c r="E87" s="7" t="s">
        <v>2838</v>
      </c>
      <c r="F87" s="7" t="s">
        <v>146</v>
      </c>
      <c r="G87" s="16" t="n">
        <v>1</v>
      </c>
      <c r="H87" s="7" t="s">
        <v>672</v>
      </c>
      <c r="I87" s="22" t="n">
        <v>4886.4</v>
      </c>
      <c r="J87" s="22" t="n">
        <v>4886.4</v>
      </c>
      <c r="K87" s="8" t="n">
        <v>4886.4</v>
      </c>
      <c r="L87" s="8" t="n">
        <v>4886.4</v>
      </c>
      <c r="M87" s="7" t="s">
        <v>2839</v>
      </c>
      <c r="N87" s="20" t="n">
        <v>45583</v>
      </c>
      <c r="O87" s="7" t="s">
        <v>2857</v>
      </c>
      <c r="P87" s="7"/>
    </row>
    <row r="88" customFormat="false" ht="15" hidden="false" customHeight="false" outlineLevel="0" collapsed="false">
      <c r="A88" s="7" t="s">
        <v>137</v>
      </c>
      <c r="B88" s="20" t="n">
        <v>45626</v>
      </c>
      <c r="C88" s="7" t="s">
        <v>2855</v>
      </c>
      <c r="D88" s="7" t="s">
        <v>2856</v>
      </c>
      <c r="E88" s="7" t="s">
        <v>2838</v>
      </c>
      <c r="F88" s="7" t="s">
        <v>146</v>
      </c>
      <c r="G88" s="16" t="n">
        <v>1</v>
      </c>
      <c r="H88" s="7" t="s">
        <v>672</v>
      </c>
      <c r="I88" s="22" t="n">
        <v>4886.4</v>
      </c>
      <c r="J88" s="22" t="n">
        <v>4886.4</v>
      </c>
      <c r="K88" s="8" t="n">
        <v>4886.4</v>
      </c>
      <c r="L88" s="8" t="n">
        <v>4886.4</v>
      </c>
      <c r="M88" s="7" t="s">
        <v>2839</v>
      </c>
      <c r="N88" s="20" t="n">
        <v>45583</v>
      </c>
      <c r="O88" s="7" t="s">
        <v>2857</v>
      </c>
      <c r="P88" s="7"/>
    </row>
    <row r="89" customFormat="false" ht="15" hidden="false" customHeight="false" outlineLevel="0" collapsed="false">
      <c r="A89" s="7" t="s">
        <v>137</v>
      </c>
      <c r="B89" s="20" t="n">
        <v>45657</v>
      </c>
      <c r="C89" s="7" t="s">
        <v>2855</v>
      </c>
      <c r="D89" s="7" t="s">
        <v>2856</v>
      </c>
      <c r="E89" s="7" t="s">
        <v>2838</v>
      </c>
      <c r="F89" s="7" t="s">
        <v>146</v>
      </c>
      <c r="G89" s="16" t="n">
        <v>1</v>
      </c>
      <c r="H89" s="7" t="s">
        <v>672</v>
      </c>
      <c r="I89" s="22" t="n">
        <v>4886.4</v>
      </c>
      <c r="J89" s="22" t="n">
        <v>4886.4</v>
      </c>
      <c r="K89" s="8" t="n">
        <v>4886.4</v>
      </c>
      <c r="L89" s="8" t="n">
        <v>4886.4</v>
      </c>
      <c r="M89" s="7" t="s">
        <v>2839</v>
      </c>
      <c r="N89" s="20" t="n">
        <v>45583</v>
      </c>
      <c r="O89" s="7" t="s">
        <v>2857</v>
      </c>
      <c r="P89" s="7"/>
    </row>
    <row r="90" customFormat="false" ht="15" hidden="false" customHeight="false" outlineLevel="0" collapsed="false">
      <c r="A90" s="7" t="s">
        <v>137</v>
      </c>
      <c r="B90" s="20" t="n">
        <v>45688</v>
      </c>
      <c r="C90" s="7" t="s">
        <v>2855</v>
      </c>
      <c r="D90" s="7" t="s">
        <v>2856</v>
      </c>
      <c r="E90" s="7" t="s">
        <v>2838</v>
      </c>
      <c r="F90" s="7" t="s">
        <v>146</v>
      </c>
      <c r="G90" s="16" t="n">
        <v>1</v>
      </c>
      <c r="H90" s="7" t="s">
        <v>672</v>
      </c>
      <c r="I90" s="22" t="n">
        <v>4886.4</v>
      </c>
      <c r="J90" s="22" t="n">
        <v>4886.4</v>
      </c>
      <c r="K90" s="8" t="n">
        <v>4886.4</v>
      </c>
      <c r="L90" s="8" t="n">
        <v>4886.4</v>
      </c>
      <c r="M90" s="7" t="s">
        <v>2839</v>
      </c>
      <c r="N90" s="20" t="n">
        <v>45583</v>
      </c>
      <c r="O90" s="7" t="s">
        <v>2857</v>
      </c>
      <c r="P90" s="7"/>
    </row>
    <row r="91" customFormat="false" ht="15" hidden="false" customHeight="false" outlineLevel="0" collapsed="false">
      <c r="A91" s="7" t="s">
        <v>137</v>
      </c>
      <c r="B91" s="20" t="n">
        <v>45716</v>
      </c>
      <c r="C91" s="7" t="s">
        <v>2855</v>
      </c>
      <c r="D91" s="7" t="s">
        <v>2856</v>
      </c>
      <c r="E91" s="7" t="s">
        <v>2838</v>
      </c>
      <c r="F91" s="7" t="s">
        <v>146</v>
      </c>
      <c r="G91" s="16" t="n">
        <v>1</v>
      </c>
      <c r="H91" s="7" t="s">
        <v>672</v>
      </c>
      <c r="I91" s="22" t="n">
        <v>4886.4</v>
      </c>
      <c r="J91" s="22" t="n">
        <v>4886.4</v>
      </c>
      <c r="K91" s="8" t="n">
        <v>4886.4</v>
      </c>
      <c r="L91" s="8" t="n">
        <v>4886.4</v>
      </c>
      <c r="M91" s="7" t="s">
        <v>2839</v>
      </c>
      <c r="N91" s="20" t="n">
        <v>45583</v>
      </c>
      <c r="O91" s="7" t="s">
        <v>2857</v>
      </c>
      <c r="P91" s="7"/>
    </row>
    <row r="92" customFormat="false" ht="15" hidden="false" customHeight="false" outlineLevel="0" collapsed="false">
      <c r="A92" s="7" t="s">
        <v>137</v>
      </c>
      <c r="B92" s="20" t="n">
        <v>45747</v>
      </c>
      <c r="C92" s="7" t="s">
        <v>2855</v>
      </c>
      <c r="D92" s="7" t="s">
        <v>2856</v>
      </c>
      <c r="E92" s="7" t="s">
        <v>2838</v>
      </c>
      <c r="F92" s="7" t="s">
        <v>146</v>
      </c>
      <c r="G92" s="16" t="n">
        <v>1</v>
      </c>
      <c r="H92" s="7" t="s">
        <v>672</v>
      </c>
      <c r="I92" s="22" t="n">
        <v>10510.4</v>
      </c>
      <c r="J92" s="22" t="n">
        <v>10510.4</v>
      </c>
      <c r="K92" s="8" t="n">
        <v>10510.4</v>
      </c>
      <c r="L92" s="8" t="n">
        <v>10510.4</v>
      </c>
      <c r="M92" s="7" t="s">
        <v>2839</v>
      </c>
      <c r="N92" s="20" t="n">
        <v>45583</v>
      </c>
      <c r="O92" s="7" t="s">
        <v>2857</v>
      </c>
      <c r="P92" s="7"/>
    </row>
    <row r="93" customFormat="false" ht="15" hidden="false" customHeight="false" outlineLevel="0" collapsed="false">
      <c r="A93" s="7" t="s">
        <v>137</v>
      </c>
      <c r="B93" s="20" t="n">
        <v>45777</v>
      </c>
      <c r="C93" s="7" t="s">
        <v>2855</v>
      </c>
      <c r="D93" s="7" t="s">
        <v>2856</v>
      </c>
      <c r="E93" s="7" t="s">
        <v>2838</v>
      </c>
      <c r="F93" s="7" t="s">
        <v>146</v>
      </c>
      <c r="G93" s="16" t="n">
        <v>1</v>
      </c>
      <c r="H93" s="7" t="s">
        <v>672</v>
      </c>
      <c r="I93" s="22" t="n">
        <v>10510.4</v>
      </c>
      <c r="J93" s="22" t="n">
        <v>10510.4</v>
      </c>
      <c r="K93" s="8" t="n">
        <v>10510.4</v>
      </c>
      <c r="L93" s="8" t="n">
        <v>10510.4</v>
      </c>
      <c r="M93" s="7" t="s">
        <v>2839</v>
      </c>
      <c r="N93" s="20" t="n">
        <v>45583</v>
      </c>
      <c r="O93" s="7" t="s">
        <v>2857</v>
      </c>
      <c r="P93" s="7"/>
    </row>
    <row r="94" customFormat="false" ht="15" hidden="false" customHeight="false" outlineLevel="0" collapsed="false">
      <c r="A94" s="7" t="s">
        <v>137</v>
      </c>
      <c r="B94" s="20" t="n">
        <v>45808</v>
      </c>
      <c r="C94" s="7" t="s">
        <v>2855</v>
      </c>
      <c r="D94" s="7" t="s">
        <v>2856</v>
      </c>
      <c r="E94" s="7" t="s">
        <v>2838</v>
      </c>
      <c r="F94" s="7" t="s">
        <v>146</v>
      </c>
      <c r="G94" s="16" t="n">
        <v>1</v>
      </c>
      <c r="H94" s="7" t="s">
        <v>672</v>
      </c>
      <c r="I94" s="22" t="n">
        <v>11990.4</v>
      </c>
      <c r="J94" s="22" t="n">
        <v>11990.4</v>
      </c>
      <c r="K94" s="8" t="n">
        <v>11990.4</v>
      </c>
      <c r="L94" s="8" t="n">
        <v>11990.4</v>
      </c>
      <c r="M94" s="7" t="s">
        <v>2839</v>
      </c>
      <c r="N94" s="20" t="n">
        <v>45583</v>
      </c>
      <c r="O94" s="7" t="s">
        <v>2857</v>
      </c>
      <c r="P94" s="7"/>
    </row>
    <row r="95" customFormat="false" ht="15" hidden="false" customHeight="false" outlineLevel="0" collapsed="false">
      <c r="A95" s="7" t="s">
        <v>137</v>
      </c>
      <c r="B95" s="20" t="n">
        <v>45777</v>
      </c>
      <c r="C95" s="7" t="s">
        <v>2858</v>
      </c>
      <c r="D95" s="7" t="s">
        <v>2859</v>
      </c>
      <c r="E95" s="7" t="s">
        <v>2838</v>
      </c>
      <c r="F95" s="7" t="s">
        <v>141</v>
      </c>
      <c r="G95" s="16" t="n">
        <v>1</v>
      </c>
      <c r="H95" s="7" t="s">
        <v>672</v>
      </c>
      <c r="I95" s="22" t="n">
        <v>43782.88</v>
      </c>
      <c r="J95" s="22" t="n">
        <v>43782.88</v>
      </c>
      <c r="K95" s="8" t="n">
        <v>43782.88</v>
      </c>
      <c r="L95" s="8" t="n">
        <v>43782.88</v>
      </c>
      <c r="M95" s="7" t="s">
        <v>2839</v>
      </c>
      <c r="N95" s="20" t="n">
        <v>45768</v>
      </c>
      <c r="O95" s="7" t="s">
        <v>2860</v>
      </c>
      <c r="P95" s="7"/>
    </row>
    <row r="96" customFormat="false" ht="15" hidden="false" customHeight="false" outlineLevel="0" collapsed="false">
      <c r="A96" s="7" t="s">
        <v>137</v>
      </c>
      <c r="B96" s="20" t="n">
        <v>45808</v>
      </c>
      <c r="C96" s="7" t="s">
        <v>2858</v>
      </c>
      <c r="D96" s="7" t="s">
        <v>2859</v>
      </c>
      <c r="E96" s="7" t="s">
        <v>2838</v>
      </c>
      <c r="F96" s="7" t="s">
        <v>141</v>
      </c>
      <c r="G96" s="16" t="n">
        <v>1</v>
      </c>
      <c r="H96" s="7" t="s">
        <v>672</v>
      </c>
      <c r="I96" s="22" t="n">
        <v>47208.5</v>
      </c>
      <c r="J96" s="22" t="n">
        <v>47208.5</v>
      </c>
      <c r="K96" s="8" t="n">
        <v>47208.5</v>
      </c>
      <c r="L96" s="8" t="n">
        <v>47208.5</v>
      </c>
      <c r="M96" s="7" t="s">
        <v>2839</v>
      </c>
      <c r="N96" s="20" t="n">
        <v>45768</v>
      </c>
      <c r="O96" s="7" t="s">
        <v>2860</v>
      </c>
      <c r="P96" s="7"/>
    </row>
    <row r="97" customFormat="false" ht="15" hidden="false" customHeight="false" outlineLevel="0" collapsed="false">
      <c r="A97" s="7" t="s">
        <v>137</v>
      </c>
      <c r="B97" s="20" t="n">
        <v>45838</v>
      </c>
      <c r="C97" s="7" t="s">
        <v>2858</v>
      </c>
      <c r="D97" s="7" t="s">
        <v>2859</v>
      </c>
      <c r="E97" s="7" t="s">
        <v>2838</v>
      </c>
      <c r="F97" s="7" t="s">
        <v>141</v>
      </c>
      <c r="G97" s="16" t="n">
        <v>1</v>
      </c>
      <c r="H97" s="7" t="s">
        <v>672</v>
      </c>
      <c r="I97" s="22" t="n">
        <v>50733.5</v>
      </c>
      <c r="J97" s="22" t="n">
        <v>50733.5</v>
      </c>
      <c r="K97" s="8" t="n">
        <v>50733.5</v>
      </c>
      <c r="L97" s="8" t="n">
        <v>50733.5</v>
      </c>
      <c r="M97" s="7" t="s">
        <v>2839</v>
      </c>
      <c r="N97" s="20" t="n">
        <v>45768</v>
      </c>
      <c r="O97" s="7" t="s">
        <v>2860</v>
      </c>
      <c r="P97" s="7"/>
    </row>
    <row r="98" customFormat="false" ht="15" hidden="false" customHeight="false" outlineLevel="0" collapsed="false">
      <c r="A98" s="7" t="s">
        <v>137</v>
      </c>
      <c r="B98" s="20" t="n">
        <v>45869</v>
      </c>
      <c r="C98" s="7" t="s">
        <v>2858</v>
      </c>
      <c r="D98" s="7" t="s">
        <v>2859</v>
      </c>
      <c r="E98" s="7" t="s">
        <v>2838</v>
      </c>
      <c r="F98" s="7" t="s">
        <v>141</v>
      </c>
      <c r="G98" s="16" t="n">
        <v>1</v>
      </c>
      <c r="H98" s="7" t="s">
        <v>672</v>
      </c>
      <c r="I98" s="22" t="n">
        <v>60753.5</v>
      </c>
      <c r="J98" s="22" t="n">
        <v>60753.5</v>
      </c>
      <c r="K98" s="8" t="n">
        <v>60753.5</v>
      </c>
      <c r="L98" s="8" t="n">
        <v>60753.5</v>
      </c>
      <c r="M98" s="7" t="s">
        <v>2839</v>
      </c>
      <c r="N98" s="20" t="n">
        <v>45768</v>
      </c>
      <c r="O98" s="7" t="s">
        <v>2860</v>
      </c>
      <c r="P98" s="7"/>
    </row>
    <row r="99" customFormat="false" ht="15" hidden="false" customHeight="false" outlineLevel="0" collapsed="false">
      <c r="A99" s="7" t="s">
        <v>137</v>
      </c>
      <c r="B99" s="20" t="n">
        <v>45900</v>
      </c>
      <c r="C99" s="7" t="s">
        <v>2858</v>
      </c>
      <c r="D99" s="7" t="s">
        <v>2859</v>
      </c>
      <c r="E99" s="7" t="s">
        <v>2838</v>
      </c>
      <c r="F99" s="7" t="s">
        <v>141</v>
      </c>
      <c r="G99" s="16" t="n">
        <v>1</v>
      </c>
      <c r="H99" s="7" t="s">
        <v>672</v>
      </c>
      <c r="I99" s="22" t="n">
        <v>64983.5</v>
      </c>
      <c r="J99" s="22" t="n">
        <v>64983.5</v>
      </c>
      <c r="K99" s="8" t="n">
        <v>64983.5</v>
      </c>
      <c r="L99" s="8" t="n">
        <v>64983.5</v>
      </c>
      <c r="M99" s="7" t="s">
        <v>2839</v>
      </c>
      <c r="N99" s="20" t="n">
        <v>45768</v>
      </c>
      <c r="O99" s="7" t="s">
        <v>2860</v>
      </c>
      <c r="P99" s="7"/>
    </row>
    <row r="100" customFormat="false" ht="15" hidden="false" customHeight="false" outlineLevel="0" collapsed="false">
      <c r="A100" s="7" t="s">
        <v>137</v>
      </c>
      <c r="B100" s="20" t="n">
        <v>45930</v>
      </c>
      <c r="C100" s="7" t="s">
        <v>2858</v>
      </c>
      <c r="D100" s="7" t="s">
        <v>2859</v>
      </c>
      <c r="E100" s="7" t="s">
        <v>2838</v>
      </c>
      <c r="F100" s="7" t="s">
        <v>141</v>
      </c>
      <c r="G100" s="16" t="n">
        <v>1</v>
      </c>
      <c r="H100" s="7" t="s">
        <v>672</v>
      </c>
      <c r="I100" s="22" t="n">
        <v>64983.5</v>
      </c>
      <c r="J100" s="22" t="n">
        <v>64983.5</v>
      </c>
      <c r="K100" s="8" t="n">
        <v>64983.5</v>
      </c>
      <c r="L100" s="8" t="n">
        <v>64983.5</v>
      </c>
      <c r="M100" s="7" t="s">
        <v>2839</v>
      </c>
      <c r="N100" s="20" t="n">
        <v>45768</v>
      </c>
      <c r="O100" s="7" t="s">
        <v>2860</v>
      </c>
      <c r="P100" s="7"/>
    </row>
    <row r="101" customFormat="false" ht="15" hidden="false" customHeight="false" outlineLevel="0" collapsed="false">
      <c r="A101" s="7" t="s">
        <v>137</v>
      </c>
      <c r="B101" s="20" t="n">
        <v>45808</v>
      </c>
      <c r="C101" s="7" t="s">
        <v>2861</v>
      </c>
      <c r="D101" s="7" t="s">
        <v>2862</v>
      </c>
      <c r="E101" s="7" t="s">
        <v>2838</v>
      </c>
      <c r="F101" s="7" t="s">
        <v>144</v>
      </c>
      <c r="G101" s="16" t="n">
        <v>1</v>
      </c>
      <c r="H101" s="7" t="s">
        <v>672</v>
      </c>
      <c r="I101" s="22" t="n">
        <v>8425.08</v>
      </c>
      <c r="J101" s="22" t="n">
        <v>8425.08</v>
      </c>
      <c r="K101" s="8" t="n">
        <v>8425.08</v>
      </c>
      <c r="L101" s="8" t="n">
        <v>8425.08</v>
      </c>
      <c r="M101" s="7" t="s">
        <v>2839</v>
      </c>
      <c r="N101" s="20" t="n">
        <v>45796</v>
      </c>
      <c r="O101" s="7" t="s">
        <v>2860</v>
      </c>
      <c r="P101" s="7"/>
    </row>
    <row r="102" customFormat="false" ht="15" hidden="false" customHeight="false" outlineLevel="0" collapsed="false">
      <c r="A102" s="7" t="s">
        <v>137</v>
      </c>
      <c r="B102" s="20" t="n">
        <v>45838</v>
      </c>
      <c r="C102" s="7" t="s">
        <v>2861</v>
      </c>
      <c r="D102" s="7" t="s">
        <v>2862</v>
      </c>
      <c r="E102" s="7" t="s">
        <v>2838</v>
      </c>
      <c r="F102" s="7" t="s">
        <v>144</v>
      </c>
      <c r="G102" s="16" t="n">
        <v>1</v>
      </c>
      <c r="H102" s="7" t="s">
        <v>672</v>
      </c>
      <c r="I102" s="22" t="n">
        <v>10126.08</v>
      </c>
      <c r="J102" s="22" t="n">
        <v>10126.08</v>
      </c>
      <c r="K102" s="8" t="n">
        <v>10126.08</v>
      </c>
      <c r="L102" s="8" t="n">
        <v>10126.08</v>
      </c>
      <c r="M102" s="7" t="s">
        <v>2839</v>
      </c>
      <c r="N102" s="20" t="n">
        <v>45796</v>
      </c>
      <c r="O102" s="7" t="s">
        <v>2860</v>
      </c>
      <c r="P102" s="7"/>
    </row>
    <row r="103" customFormat="false" ht="15" hidden="false" customHeight="false" outlineLevel="0" collapsed="false">
      <c r="A103" s="7" t="s">
        <v>137</v>
      </c>
      <c r="B103" s="20" t="n">
        <v>45869</v>
      </c>
      <c r="C103" s="7" t="s">
        <v>2861</v>
      </c>
      <c r="D103" s="7" t="s">
        <v>2862</v>
      </c>
      <c r="E103" s="7" t="s">
        <v>2838</v>
      </c>
      <c r="F103" s="7" t="s">
        <v>144</v>
      </c>
      <c r="G103" s="16" t="n">
        <v>1</v>
      </c>
      <c r="H103" s="7" t="s">
        <v>672</v>
      </c>
      <c r="I103" s="22" t="n">
        <v>10126.08</v>
      </c>
      <c r="J103" s="22" t="n">
        <v>10126.08</v>
      </c>
      <c r="K103" s="8" t="n">
        <v>10126.08</v>
      </c>
      <c r="L103" s="8" t="n">
        <v>10126.08</v>
      </c>
      <c r="M103" s="7" t="s">
        <v>2839</v>
      </c>
      <c r="N103" s="20" t="n">
        <v>45796</v>
      </c>
      <c r="O103" s="7" t="s">
        <v>2860</v>
      </c>
      <c r="P103" s="7"/>
    </row>
    <row r="104" customFormat="false" ht="15" hidden="false" customHeight="false" outlineLevel="0" collapsed="false">
      <c r="A104" s="7" t="s">
        <v>137</v>
      </c>
      <c r="B104" s="20" t="n">
        <v>45900</v>
      </c>
      <c r="C104" s="7" t="s">
        <v>2861</v>
      </c>
      <c r="D104" s="7" t="s">
        <v>2862</v>
      </c>
      <c r="E104" s="7" t="s">
        <v>2838</v>
      </c>
      <c r="F104" s="7" t="s">
        <v>144</v>
      </c>
      <c r="G104" s="16" t="n">
        <v>1</v>
      </c>
      <c r="H104" s="7" t="s">
        <v>672</v>
      </c>
      <c r="I104" s="22" t="n">
        <v>10126.08</v>
      </c>
      <c r="J104" s="22" t="n">
        <v>10126.08</v>
      </c>
      <c r="K104" s="8" t="n">
        <v>10126.08</v>
      </c>
      <c r="L104" s="8" t="n">
        <v>10126.08</v>
      </c>
      <c r="M104" s="7" t="s">
        <v>2839</v>
      </c>
      <c r="N104" s="20" t="n">
        <v>45796</v>
      </c>
      <c r="O104" s="7" t="s">
        <v>2860</v>
      </c>
      <c r="P104" s="7"/>
    </row>
    <row r="105" customFormat="false" ht="15" hidden="false" customHeight="false" outlineLevel="0" collapsed="false">
      <c r="A105" s="7" t="s">
        <v>137</v>
      </c>
      <c r="B105" s="20" t="n">
        <v>45930</v>
      </c>
      <c r="C105" s="7" t="s">
        <v>2861</v>
      </c>
      <c r="D105" s="7" t="s">
        <v>2862</v>
      </c>
      <c r="E105" s="7" t="s">
        <v>2838</v>
      </c>
      <c r="F105" s="7" t="s">
        <v>144</v>
      </c>
      <c r="G105" s="16" t="n">
        <v>1</v>
      </c>
      <c r="H105" s="7" t="s">
        <v>672</v>
      </c>
      <c r="I105" s="22" t="n">
        <v>10126.08</v>
      </c>
      <c r="J105" s="22" t="n">
        <v>10126.08</v>
      </c>
      <c r="K105" s="8" t="n">
        <v>10126.08</v>
      </c>
      <c r="L105" s="8" t="n">
        <v>10126.08</v>
      </c>
      <c r="M105" s="7" t="s">
        <v>2839</v>
      </c>
      <c r="N105" s="20" t="n">
        <v>45796</v>
      </c>
      <c r="O105" s="7" t="s">
        <v>2860</v>
      </c>
      <c r="P105" s="7"/>
    </row>
    <row r="106" customFormat="false" ht="15" hidden="false" customHeight="false" outlineLevel="0" collapsed="false">
      <c r="A106" s="7" t="s">
        <v>137</v>
      </c>
      <c r="B106" s="20" t="n">
        <v>45961</v>
      </c>
      <c r="C106" s="7" t="s">
        <v>2863</v>
      </c>
      <c r="D106" s="7" t="s">
        <v>2864</v>
      </c>
      <c r="E106" s="7" t="s">
        <v>2838</v>
      </c>
      <c r="F106" s="7" t="s">
        <v>146</v>
      </c>
      <c r="G106" s="16" t="n">
        <v>1</v>
      </c>
      <c r="H106" s="7" t="s">
        <v>672</v>
      </c>
      <c r="I106" s="22" t="n">
        <v>5089.6</v>
      </c>
      <c r="J106" s="22" t="n">
        <v>5089.6</v>
      </c>
      <c r="K106" s="8" t="n">
        <v>5089.6</v>
      </c>
      <c r="L106" s="8" t="n">
        <v>5089.6</v>
      </c>
      <c r="M106" s="7" t="s">
        <v>2839</v>
      </c>
      <c r="N106" s="20" t="n">
        <v>45950</v>
      </c>
      <c r="O106" s="7" t="s">
        <v>2865</v>
      </c>
      <c r="P106" s="7"/>
    </row>
    <row r="107" customFormat="false" ht="15" hidden="false" customHeight="false" outlineLevel="0" collapsed="false">
      <c r="A107" s="7" t="s">
        <v>137</v>
      </c>
      <c r="B107" s="20" t="n">
        <v>45991</v>
      </c>
      <c r="C107" s="7" t="s">
        <v>2863</v>
      </c>
      <c r="D107" s="7" t="s">
        <v>2864</v>
      </c>
      <c r="E107" s="7" t="s">
        <v>2838</v>
      </c>
      <c r="F107" s="7" t="s">
        <v>146</v>
      </c>
      <c r="G107" s="16" t="n">
        <v>1</v>
      </c>
      <c r="H107" s="7" t="s">
        <v>672</v>
      </c>
      <c r="I107" s="22" t="n">
        <v>5089.6</v>
      </c>
      <c r="J107" s="22" t="n">
        <v>5089.6</v>
      </c>
      <c r="K107" s="8" t="n">
        <v>5089.6</v>
      </c>
      <c r="L107" s="8" t="n">
        <v>5089.6</v>
      </c>
      <c r="M107" s="7" t="s">
        <v>2839</v>
      </c>
      <c r="N107" s="20" t="n">
        <v>45950</v>
      </c>
      <c r="O107" s="7" t="s">
        <v>2865</v>
      </c>
      <c r="P107" s="7"/>
    </row>
    <row r="108" customFormat="false" ht="15" hidden="false" customHeight="false" outlineLevel="0" collapsed="false">
      <c r="A108" s="7" t="s">
        <v>137</v>
      </c>
      <c r="B108" s="20" t="n">
        <v>46022</v>
      </c>
      <c r="C108" s="7" t="s">
        <v>2863</v>
      </c>
      <c r="D108" s="7" t="s">
        <v>2864</v>
      </c>
      <c r="E108" s="7" t="s">
        <v>2838</v>
      </c>
      <c r="F108" s="7" t="s">
        <v>146</v>
      </c>
      <c r="G108" s="16" t="n">
        <v>1</v>
      </c>
      <c r="H108" s="7" t="s">
        <v>672</v>
      </c>
      <c r="I108" s="22" t="n">
        <v>5089.6</v>
      </c>
      <c r="J108" s="22" t="n">
        <v>5089.6</v>
      </c>
      <c r="K108" s="8" t="n">
        <v>5089.6</v>
      </c>
      <c r="L108" s="8" t="n">
        <v>5089.6</v>
      </c>
      <c r="M108" s="7" t="s">
        <v>2839</v>
      </c>
      <c r="N108" s="20" t="n">
        <v>45950</v>
      </c>
      <c r="O108" s="7" t="s">
        <v>2865</v>
      </c>
      <c r="P108" s="7"/>
    </row>
    <row r="109" customFormat="false" ht="15" hidden="false" customHeight="false" outlineLevel="0" collapsed="false">
      <c r="A109" s="7" t="s">
        <v>137</v>
      </c>
      <c r="B109" s="20" t="n">
        <v>46053</v>
      </c>
      <c r="C109" s="7" t="s">
        <v>2863</v>
      </c>
      <c r="D109" s="7" t="s">
        <v>2864</v>
      </c>
      <c r="E109" s="7" t="s">
        <v>2838</v>
      </c>
      <c r="F109" s="7" t="s">
        <v>146</v>
      </c>
      <c r="G109" s="16" t="n">
        <v>1</v>
      </c>
      <c r="H109" s="7" t="s">
        <v>672</v>
      </c>
      <c r="I109" s="22" t="n">
        <v>5089.6</v>
      </c>
      <c r="J109" s="22" t="n">
        <v>5089.6</v>
      </c>
      <c r="K109" s="8" t="n">
        <v>5089.6</v>
      </c>
      <c r="L109" s="8" t="n">
        <v>5089.6</v>
      </c>
      <c r="M109" s="7" t="s">
        <v>2839</v>
      </c>
      <c r="N109" s="20" t="n">
        <v>45950</v>
      </c>
      <c r="O109" s="7" t="s">
        <v>2865</v>
      </c>
      <c r="P109" s="7"/>
    </row>
    <row r="110" customFormat="false" ht="15" hidden="false" customHeight="false" outlineLevel="0" collapsed="false">
      <c r="A110" s="7" t="s">
        <v>137</v>
      </c>
      <c r="B110" s="20" t="n">
        <v>46081</v>
      </c>
      <c r="C110" s="7" t="s">
        <v>2863</v>
      </c>
      <c r="D110" s="7" t="s">
        <v>2864</v>
      </c>
      <c r="E110" s="7" t="s">
        <v>2838</v>
      </c>
      <c r="F110" s="7" t="s">
        <v>146</v>
      </c>
      <c r="G110" s="16" t="n">
        <v>1</v>
      </c>
      <c r="H110" s="7" t="s">
        <v>672</v>
      </c>
      <c r="I110" s="22" t="n">
        <v>5089.6</v>
      </c>
      <c r="J110" s="22" t="n">
        <v>5089.6</v>
      </c>
      <c r="K110" s="8" t="n">
        <v>5089.6</v>
      </c>
      <c r="L110" s="8" t="n">
        <v>5089.6</v>
      </c>
      <c r="M110" s="7" t="s">
        <v>2839</v>
      </c>
      <c r="N110" s="20" t="n">
        <v>45950</v>
      </c>
      <c r="O110" s="7" t="s">
        <v>2865</v>
      </c>
      <c r="P110" s="7"/>
    </row>
    <row r="111" customFormat="false" ht="15" hidden="false" customHeight="false" outlineLevel="0" collapsed="false">
      <c r="A111" s="7" t="s">
        <v>137</v>
      </c>
      <c r="B111" s="20" t="n">
        <v>46112</v>
      </c>
      <c r="C111" s="7" t="s">
        <v>2863</v>
      </c>
      <c r="D111" s="7" t="s">
        <v>2864</v>
      </c>
      <c r="E111" s="7" t="s">
        <v>2838</v>
      </c>
      <c r="F111" s="7" t="s">
        <v>146</v>
      </c>
      <c r="G111" s="16" t="n">
        <v>1</v>
      </c>
      <c r="H111" s="7" t="s">
        <v>672</v>
      </c>
      <c r="I111" s="22" t="n">
        <v>11701.6</v>
      </c>
      <c r="J111" s="22" t="n">
        <v>11701.6</v>
      </c>
      <c r="K111" s="8" t="n">
        <v>11701.6</v>
      </c>
      <c r="L111" s="8" t="n">
        <v>11701.6</v>
      </c>
      <c r="M111" s="7" t="s">
        <v>2839</v>
      </c>
      <c r="N111" s="20" t="n">
        <v>45950</v>
      </c>
      <c r="O111" s="7" t="s">
        <v>2865</v>
      </c>
      <c r="P111" s="7"/>
    </row>
    <row r="112" customFormat="false" ht="15" hidden="false" customHeight="false" outlineLevel="0" collapsed="false">
      <c r="A112" s="7" t="s">
        <v>137</v>
      </c>
      <c r="B112" s="20" t="n">
        <v>46142</v>
      </c>
      <c r="C112" s="7" t="s">
        <v>2863</v>
      </c>
      <c r="D112" s="7" t="s">
        <v>2864</v>
      </c>
      <c r="E112" s="7" t="s">
        <v>2838</v>
      </c>
      <c r="F112" s="7" t="s">
        <v>146</v>
      </c>
      <c r="G112" s="16" t="n">
        <v>1</v>
      </c>
      <c r="H112" s="7" t="s">
        <v>672</v>
      </c>
      <c r="I112" s="22" t="n">
        <v>11701.6</v>
      </c>
      <c r="J112" s="22" t="n">
        <v>11701.6</v>
      </c>
      <c r="K112" s="8" t="n">
        <v>11701.6</v>
      </c>
      <c r="L112" s="8" t="n">
        <v>11701.6</v>
      </c>
      <c r="M112" s="7" t="s">
        <v>2839</v>
      </c>
      <c r="N112" s="20" t="n">
        <v>45950</v>
      </c>
      <c r="O112" s="7" t="s">
        <v>2865</v>
      </c>
      <c r="P112" s="7"/>
    </row>
    <row r="113" customFormat="false" ht="15" hidden="false" customHeight="false" outlineLevel="0" collapsed="false">
      <c r="A113" s="7" t="s">
        <v>137</v>
      </c>
      <c r="B113" s="20" t="n">
        <v>46173</v>
      </c>
      <c r="C113" s="7" t="s">
        <v>2863</v>
      </c>
      <c r="D113" s="7" t="s">
        <v>2864</v>
      </c>
      <c r="E113" s="7" t="s">
        <v>2838</v>
      </c>
      <c r="F113" s="7" t="s">
        <v>146</v>
      </c>
      <c r="G113" s="16" t="n">
        <v>1</v>
      </c>
      <c r="H113" s="7" t="s">
        <v>672</v>
      </c>
      <c r="I113" s="22" t="n">
        <v>11701.6</v>
      </c>
      <c r="J113" s="22" t="n">
        <v>11701.6</v>
      </c>
      <c r="K113" s="8" t="n">
        <v>11701.6</v>
      </c>
      <c r="L113" s="8" t="n">
        <v>11701.6</v>
      </c>
      <c r="M113" s="7" t="s">
        <v>2839</v>
      </c>
      <c r="N113" s="20" t="n">
        <v>45950</v>
      </c>
      <c r="O113" s="7" t="s">
        <v>2865</v>
      </c>
      <c r="P113" s="7"/>
    </row>
    <row r="114" customFormat="false" ht="15" hidden="false" customHeight="false" outlineLevel="0" collapsed="false">
      <c r="A114" s="7" t="s">
        <v>137</v>
      </c>
      <c r="B114" s="20" t="n">
        <v>46142</v>
      </c>
      <c r="C114" s="7" t="s">
        <v>2866</v>
      </c>
      <c r="D114" s="7" t="s">
        <v>2867</v>
      </c>
      <c r="E114" s="7" t="s">
        <v>2838</v>
      </c>
      <c r="F114" s="7" t="s">
        <v>141</v>
      </c>
      <c r="G114" s="16" t="n">
        <v>1</v>
      </c>
      <c r="H114" s="7" t="s">
        <v>672</v>
      </c>
      <c r="I114" s="22" t="n">
        <v>19474.28</v>
      </c>
      <c r="J114" s="22" t="n">
        <v>19474.28</v>
      </c>
      <c r="K114" s="8" t="n">
        <v>19474.28</v>
      </c>
      <c r="L114" s="8" t="n">
        <v>19474.28</v>
      </c>
      <c r="M114" s="7" t="s">
        <v>2839</v>
      </c>
      <c r="N114" s="20" t="n">
        <v>46139</v>
      </c>
      <c r="O114" s="7" t="s">
        <v>2868</v>
      </c>
      <c r="P114" s="7"/>
    </row>
    <row r="115" customFormat="false" ht="15" hidden="false" customHeight="false" outlineLevel="0" collapsed="false">
      <c r="A115" s="7" t="s">
        <v>137</v>
      </c>
      <c r="B115" s="20" t="n">
        <v>46173</v>
      </c>
      <c r="C115" s="7" t="s">
        <v>2866</v>
      </c>
      <c r="D115" s="7" t="s">
        <v>2867</v>
      </c>
      <c r="E115" s="7" t="s">
        <v>2838</v>
      </c>
      <c r="F115" s="7" t="s">
        <v>141</v>
      </c>
      <c r="G115" s="16" t="n">
        <v>1</v>
      </c>
      <c r="H115" s="7" t="s">
        <v>672</v>
      </c>
      <c r="I115" s="22" t="n">
        <v>19474.28</v>
      </c>
      <c r="J115" s="22" t="n">
        <v>19474.28</v>
      </c>
      <c r="K115" s="8" t="n">
        <v>19474.28</v>
      </c>
      <c r="L115" s="8" t="n">
        <v>19474.28</v>
      </c>
      <c r="M115" s="7" t="s">
        <v>2839</v>
      </c>
      <c r="N115" s="20" t="n">
        <v>46139</v>
      </c>
      <c r="O115" s="7" t="s">
        <v>2868</v>
      </c>
      <c r="P115" s="7"/>
    </row>
    <row r="116" customFormat="false" ht="15" hidden="false" customHeight="false" outlineLevel="0" collapsed="false">
      <c r="A116" s="7" t="s">
        <v>137</v>
      </c>
      <c r="B116" s="20" t="n">
        <v>46203</v>
      </c>
      <c r="C116" s="7" t="s">
        <v>2866</v>
      </c>
      <c r="D116" s="7" t="s">
        <v>2867</v>
      </c>
      <c r="E116" s="7" t="s">
        <v>2838</v>
      </c>
      <c r="F116" s="7" t="s">
        <v>141</v>
      </c>
      <c r="G116" s="16" t="n">
        <v>1</v>
      </c>
      <c r="H116" s="7" t="s">
        <v>672</v>
      </c>
      <c r="I116" s="22" t="n">
        <v>21409.28</v>
      </c>
      <c r="J116" s="22" t="n">
        <v>21409.28</v>
      </c>
      <c r="K116" s="8" t="n">
        <v>21409.28</v>
      </c>
      <c r="L116" s="8" t="n">
        <v>21409.28</v>
      </c>
      <c r="M116" s="7" t="s">
        <v>2839</v>
      </c>
      <c r="N116" s="20" t="n">
        <v>46139</v>
      </c>
      <c r="O116" s="7" t="s">
        <v>2868</v>
      </c>
      <c r="P116" s="7"/>
    </row>
    <row r="117" customFormat="false" ht="15" hidden="false" customHeight="false" outlineLevel="0" collapsed="false">
      <c r="A117" s="7" t="s">
        <v>137</v>
      </c>
      <c r="B117" s="20" t="n">
        <v>46234</v>
      </c>
      <c r="C117" s="7" t="s">
        <v>2866</v>
      </c>
      <c r="D117" s="7" t="s">
        <v>2867</v>
      </c>
      <c r="E117" s="7" t="s">
        <v>2838</v>
      </c>
      <c r="F117" s="7" t="s">
        <v>141</v>
      </c>
      <c r="G117" s="16" t="n">
        <v>1</v>
      </c>
      <c r="H117" s="7" t="s">
        <v>672</v>
      </c>
      <c r="I117" s="22" t="n">
        <v>21409.28</v>
      </c>
      <c r="J117" s="22" t="n">
        <v>21409.28</v>
      </c>
      <c r="K117" s="8" t="n">
        <v>21409.28</v>
      </c>
      <c r="L117" s="8" t="n">
        <v>21409.28</v>
      </c>
      <c r="M117" s="7" t="s">
        <v>2839</v>
      </c>
      <c r="N117" s="20" t="n">
        <v>46139</v>
      </c>
      <c r="O117" s="7" t="s">
        <v>2868</v>
      </c>
      <c r="P117" s="7"/>
    </row>
    <row r="118" customFormat="false" ht="15" hidden="false" customHeight="false" outlineLevel="0" collapsed="false">
      <c r="A118" s="7" t="s">
        <v>137</v>
      </c>
      <c r="B118" s="20" t="n">
        <v>46265</v>
      </c>
      <c r="C118" s="7" t="s">
        <v>2866</v>
      </c>
      <c r="D118" s="7" t="s">
        <v>2867</v>
      </c>
      <c r="E118" s="7" t="s">
        <v>2838</v>
      </c>
      <c r="F118" s="7" t="s">
        <v>141</v>
      </c>
      <c r="G118" s="16" t="n">
        <v>1</v>
      </c>
      <c r="H118" s="7" t="s">
        <v>672</v>
      </c>
      <c r="I118" s="22" t="n">
        <v>21409.28</v>
      </c>
      <c r="J118" s="22" t="n">
        <v>21409.28</v>
      </c>
      <c r="K118" s="8" t="n">
        <v>21409.28</v>
      </c>
      <c r="L118" s="8" t="n">
        <v>21409.28</v>
      </c>
      <c r="M118" s="7" t="s">
        <v>2839</v>
      </c>
      <c r="N118" s="20" t="n">
        <v>46139</v>
      </c>
      <c r="O118" s="7" t="s">
        <v>2868</v>
      </c>
      <c r="P118" s="7"/>
    </row>
    <row r="119" customFormat="false" ht="15" hidden="false" customHeight="false" outlineLevel="0" collapsed="false">
      <c r="A119" s="7" t="s">
        <v>137</v>
      </c>
      <c r="B119" s="20" t="n">
        <v>46173</v>
      </c>
      <c r="C119" s="7" t="s">
        <v>2869</v>
      </c>
      <c r="D119" s="7" t="s">
        <v>2870</v>
      </c>
      <c r="E119" s="7" t="s">
        <v>2838</v>
      </c>
      <c r="F119" s="7" t="s">
        <v>144</v>
      </c>
      <c r="G119" s="16" t="n">
        <v>1</v>
      </c>
      <c r="H119" s="7" t="s">
        <v>672</v>
      </c>
      <c r="I119" s="22" t="n">
        <v>19651.5</v>
      </c>
      <c r="J119" s="22" t="n">
        <v>19651.5</v>
      </c>
      <c r="K119" s="8" t="n">
        <v>19651.5</v>
      </c>
      <c r="L119" s="8" t="n">
        <v>19651.5</v>
      </c>
      <c r="M119" s="7" t="s">
        <v>2839</v>
      </c>
      <c r="N119" s="20" t="n">
        <v>46154</v>
      </c>
      <c r="O119" s="7" t="s">
        <v>2871</v>
      </c>
      <c r="P119" s="7"/>
    </row>
    <row r="120" customFormat="false" ht="15" hidden="false" customHeight="false" outlineLevel="0" collapsed="false">
      <c r="A120" s="7" t="s">
        <v>137</v>
      </c>
      <c r="B120" s="20" t="n">
        <v>46203</v>
      </c>
      <c r="C120" s="7" t="s">
        <v>2869</v>
      </c>
      <c r="D120" s="7" t="s">
        <v>2870</v>
      </c>
      <c r="E120" s="7" t="s">
        <v>2838</v>
      </c>
      <c r="F120" s="7" t="s">
        <v>144</v>
      </c>
      <c r="G120" s="16" t="n">
        <v>1</v>
      </c>
      <c r="H120" s="7" t="s">
        <v>672</v>
      </c>
      <c r="I120" s="22" t="n">
        <v>22554</v>
      </c>
      <c r="J120" s="22" t="n">
        <v>22554</v>
      </c>
      <c r="K120" s="8" t="n">
        <v>22554</v>
      </c>
      <c r="L120" s="8" t="n">
        <v>22554</v>
      </c>
      <c r="M120" s="7" t="s">
        <v>2839</v>
      </c>
      <c r="N120" s="20" t="n">
        <v>46154</v>
      </c>
      <c r="O120" s="7" t="s">
        <v>2871</v>
      </c>
      <c r="P120" s="7"/>
    </row>
    <row r="121" customFormat="false" ht="15" hidden="false" customHeight="false" outlineLevel="0" collapsed="false">
      <c r="A121" s="7" t="s">
        <v>137</v>
      </c>
      <c r="B121" s="20" t="n">
        <v>46234</v>
      </c>
      <c r="C121" s="7" t="s">
        <v>2869</v>
      </c>
      <c r="D121" s="7" t="s">
        <v>2870</v>
      </c>
      <c r="E121" s="7" t="s">
        <v>2838</v>
      </c>
      <c r="F121" s="7" t="s">
        <v>144</v>
      </c>
      <c r="G121" s="16" t="n">
        <v>1</v>
      </c>
      <c r="H121" s="7" t="s">
        <v>672</v>
      </c>
      <c r="I121" s="22" t="n">
        <v>30680.25</v>
      </c>
      <c r="J121" s="22" t="n">
        <v>30680.25</v>
      </c>
      <c r="K121" s="8" t="n">
        <v>30680.25</v>
      </c>
      <c r="L121" s="8" t="n">
        <v>30680.25</v>
      </c>
      <c r="M121" s="7" t="s">
        <v>2839</v>
      </c>
      <c r="N121" s="20" t="n">
        <v>46154</v>
      </c>
      <c r="O121" s="7" t="s">
        <v>2871</v>
      </c>
      <c r="P121" s="7"/>
    </row>
    <row r="122" customFormat="false" ht="15" hidden="false" customHeight="false" outlineLevel="0" collapsed="false">
      <c r="A122" s="7" t="s">
        <v>137</v>
      </c>
      <c r="B122" s="20" t="n">
        <v>46265</v>
      </c>
      <c r="C122" s="7" t="s">
        <v>2869</v>
      </c>
      <c r="D122" s="7" t="s">
        <v>2870</v>
      </c>
      <c r="E122" s="7" t="s">
        <v>2838</v>
      </c>
      <c r="F122" s="7" t="s">
        <v>144</v>
      </c>
      <c r="G122" s="16" t="n">
        <v>1</v>
      </c>
      <c r="H122" s="7" t="s">
        <v>672</v>
      </c>
      <c r="I122" s="22" t="n">
        <v>35850.25</v>
      </c>
      <c r="J122" s="22" t="n">
        <v>35850.25</v>
      </c>
      <c r="K122" s="8" t="n">
        <v>35850.25</v>
      </c>
      <c r="L122" s="8" t="n">
        <v>35850.25</v>
      </c>
      <c r="M122" s="7" t="s">
        <v>2839</v>
      </c>
      <c r="N122" s="20" t="n">
        <v>46154</v>
      </c>
      <c r="O122" s="7" t="s">
        <v>2871</v>
      </c>
      <c r="P122" s="7"/>
    </row>
    <row r="123" customFormat="false" ht="15" hidden="false" customHeight="false" outlineLevel="0" collapsed="false">
      <c r="A123" s="7" t="s">
        <v>137</v>
      </c>
      <c r="B123" s="20" t="n">
        <v>46295</v>
      </c>
      <c r="C123" s="7" t="s">
        <v>2869</v>
      </c>
      <c r="D123" s="7" t="s">
        <v>2870</v>
      </c>
      <c r="E123" s="7" t="s">
        <v>2838</v>
      </c>
      <c r="F123" s="7" t="s">
        <v>144</v>
      </c>
      <c r="G123" s="16" t="n">
        <v>1</v>
      </c>
      <c r="H123" s="7" t="s">
        <v>672</v>
      </c>
      <c r="I123" s="22" t="n">
        <v>35850.25</v>
      </c>
      <c r="J123" s="22" t="n">
        <v>35850.25</v>
      </c>
      <c r="K123" s="8" t="n">
        <v>35850.25</v>
      </c>
      <c r="L123" s="8" t="n">
        <v>35850.25</v>
      </c>
      <c r="M123" s="7" t="s">
        <v>2839</v>
      </c>
      <c r="N123" s="20" t="n">
        <v>46154</v>
      </c>
      <c r="O123" s="7" t="s">
        <v>2871</v>
      </c>
      <c r="P123" s="7"/>
    </row>
    <row r="124" customFormat="false" ht="15" hidden="false" customHeight="false" outlineLevel="0" collapsed="false">
      <c r="A124" s="7" t="s">
        <v>137</v>
      </c>
      <c r="B124" s="20" t="n">
        <v>44957</v>
      </c>
      <c r="C124" s="7" t="s">
        <v>2872</v>
      </c>
      <c r="D124" s="7" t="s">
        <v>2873</v>
      </c>
      <c r="E124" s="7" t="s">
        <v>2838</v>
      </c>
      <c r="F124" s="7" t="s">
        <v>136</v>
      </c>
      <c r="G124" s="16" t="n">
        <v>1</v>
      </c>
      <c r="H124" s="7" t="s">
        <v>672</v>
      </c>
      <c r="I124" s="22" t="n">
        <v>1344</v>
      </c>
      <c r="J124" s="22" t="n">
        <v>1344</v>
      </c>
      <c r="K124" s="8" t="n">
        <v>1344</v>
      </c>
      <c r="L124" s="8" t="n">
        <v>1344</v>
      </c>
      <c r="M124" s="7" t="s">
        <v>2839</v>
      </c>
      <c r="N124" s="20" t="n">
        <v>44946</v>
      </c>
      <c r="O124" s="7" t="s">
        <v>2874</v>
      </c>
      <c r="P124" s="7"/>
    </row>
    <row r="125" customFormat="false" ht="15" hidden="false" customHeight="false" outlineLevel="0" collapsed="false">
      <c r="A125" s="7" t="s">
        <v>137</v>
      </c>
      <c r="B125" s="20" t="n">
        <v>44985</v>
      </c>
      <c r="C125" s="7" t="s">
        <v>2872</v>
      </c>
      <c r="D125" s="7" t="s">
        <v>2873</v>
      </c>
      <c r="E125" s="7" t="s">
        <v>2838</v>
      </c>
      <c r="F125" s="7" t="s">
        <v>136</v>
      </c>
      <c r="G125" s="16" t="n">
        <v>1</v>
      </c>
      <c r="H125" s="7" t="s">
        <v>672</v>
      </c>
      <c r="I125" s="22" t="n">
        <v>1344</v>
      </c>
      <c r="J125" s="22" t="n">
        <v>1344</v>
      </c>
      <c r="K125" s="8" t="n">
        <v>1344</v>
      </c>
      <c r="L125" s="8" t="n">
        <v>1344</v>
      </c>
      <c r="M125" s="7" t="s">
        <v>2839</v>
      </c>
      <c r="N125" s="20" t="n">
        <v>44946</v>
      </c>
      <c r="O125" s="7" t="s">
        <v>2874</v>
      </c>
      <c r="P125" s="7"/>
    </row>
    <row r="126" customFormat="false" ht="15" hidden="false" customHeight="false" outlineLevel="0" collapsed="false">
      <c r="A126" s="7" t="s">
        <v>137</v>
      </c>
      <c r="B126" s="20" t="n">
        <v>45016</v>
      </c>
      <c r="C126" s="7" t="s">
        <v>2872</v>
      </c>
      <c r="D126" s="7" t="s">
        <v>2873</v>
      </c>
      <c r="E126" s="7" t="s">
        <v>2838</v>
      </c>
      <c r="F126" s="7" t="s">
        <v>136</v>
      </c>
      <c r="G126" s="16" t="n">
        <v>1</v>
      </c>
      <c r="H126" s="7" t="s">
        <v>672</v>
      </c>
      <c r="I126" s="22" t="n">
        <v>3648</v>
      </c>
      <c r="J126" s="22" t="n">
        <v>3648</v>
      </c>
      <c r="K126" s="8" t="n">
        <v>3648</v>
      </c>
      <c r="L126" s="8" t="n">
        <v>3648</v>
      </c>
      <c r="M126" s="7" t="s">
        <v>2839</v>
      </c>
      <c r="N126" s="20" t="n">
        <v>44946</v>
      </c>
      <c r="O126" s="7" t="s">
        <v>2874</v>
      </c>
      <c r="P126" s="7"/>
    </row>
    <row r="127" customFormat="false" ht="15" hidden="false" customHeight="false" outlineLevel="0" collapsed="false">
      <c r="A127" s="7" t="s">
        <v>137</v>
      </c>
      <c r="B127" s="20" t="n">
        <v>45046</v>
      </c>
      <c r="C127" s="7" t="s">
        <v>2872</v>
      </c>
      <c r="D127" s="7" t="s">
        <v>2873</v>
      </c>
      <c r="E127" s="7" t="s">
        <v>2838</v>
      </c>
      <c r="F127" s="7" t="s">
        <v>136</v>
      </c>
      <c r="G127" s="16" t="n">
        <v>1</v>
      </c>
      <c r="H127" s="7" t="s">
        <v>672</v>
      </c>
      <c r="I127" s="22" t="n">
        <v>10876.8</v>
      </c>
      <c r="J127" s="22" t="n">
        <v>10876.8</v>
      </c>
      <c r="K127" s="8" t="n">
        <v>10876.8</v>
      </c>
      <c r="L127" s="8" t="n">
        <v>10876.8</v>
      </c>
      <c r="M127" s="7" t="s">
        <v>2839</v>
      </c>
      <c r="N127" s="20" t="n">
        <v>44946</v>
      </c>
      <c r="O127" s="7" t="s">
        <v>2874</v>
      </c>
      <c r="P127" s="7"/>
    </row>
    <row r="128" customFormat="false" ht="15" hidden="false" customHeight="false" outlineLevel="0" collapsed="false">
      <c r="A128" s="7" t="s">
        <v>137</v>
      </c>
      <c r="B128" s="20" t="n">
        <v>45077</v>
      </c>
      <c r="C128" s="7" t="s">
        <v>2872</v>
      </c>
      <c r="D128" s="7" t="s">
        <v>2873</v>
      </c>
      <c r="E128" s="7" t="s">
        <v>2838</v>
      </c>
      <c r="F128" s="7" t="s">
        <v>136</v>
      </c>
      <c r="G128" s="16" t="n">
        <v>1</v>
      </c>
      <c r="H128" s="7" t="s">
        <v>672</v>
      </c>
      <c r="I128" s="22" t="n">
        <v>22780.8</v>
      </c>
      <c r="J128" s="22" t="n">
        <v>22780.8</v>
      </c>
      <c r="K128" s="8" t="n">
        <v>22780.8</v>
      </c>
      <c r="L128" s="8" t="n">
        <v>22780.8</v>
      </c>
      <c r="M128" s="7" t="s">
        <v>2839</v>
      </c>
      <c r="N128" s="20" t="n">
        <v>44946</v>
      </c>
      <c r="O128" s="7" t="s">
        <v>2874</v>
      </c>
      <c r="P128" s="7"/>
    </row>
    <row r="129" customFormat="false" ht="15" hidden="false" customHeight="false" outlineLevel="0" collapsed="false">
      <c r="A129" s="7" t="s">
        <v>137</v>
      </c>
      <c r="B129" s="20" t="n">
        <v>45107</v>
      </c>
      <c r="C129" s="7" t="s">
        <v>2872</v>
      </c>
      <c r="D129" s="7" t="s">
        <v>2873</v>
      </c>
      <c r="E129" s="7" t="s">
        <v>2838</v>
      </c>
      <c r="F129" s="7" t="s">
        <v>136</v>
      </c>
      <c r="G129" s="16" t="n">
        <v>1</v>
      </c>
      <c r="H129" s="7" t="s">
        <v>672</v>
      </c>
      <c r="I129" s="22" t="n">
        <v>24988.8</v>
      </c>
      <c r="J129" s="22" t="n">
        <v>24988.8</v>
      </c>
      <c r="K129" s="8" t="n">
        <v>24988.8</v>
      </c>
      <c r="L129" s="8" t="n">
        <v>24988.8</v>
      </c>
      <c r="M129" s="7" t="s">
        <v>2839</v>
      </c>
      <c r="N129" s="20" t="n">
        <v>44946</v>
      </c>
      <c r="O129" s="7" t="s">
        <v>2874</v>
      </c>
      <c r="P129" s="7"/>
    </row>
    <row r="130" customFormat="false" ht="15" hidden="false" customHeight="false" outlineLevel="0" collapsed="false">
      <c r="A130" s="7" t="s">
        <v>137</v>
      </c>
      <c r="B130" s="20" t="n">
        <v>45138</v>
      </c>
      <c r="C130" s="7" t="s">
        <v>2872</v>
      </c>
      <c r="D130" s="7" t="s">
        <v>2873</v>
      </c>
      <c r="E130" s="7" t="s">
        <v>2838</v>
      </c>
      <c r="F130" s="7" t="s">
        <v>136</v>
      </c>
      <c r="G130" s="16" t="n">
        <v>1</v>
      </c>
      <c r="H130" s="7" t="s">
        <v>672</v>
      </c>
      <c r="I130" s="22" t="n">
        <v>24988.8</v>
      </c>
      <c r="J130" s="22" t="n">
        <v>24988.8</v>
      </c>
      <c r="K130" s="8" t="n">
        <v>24988.8</v>
      </c>
      <c r="L130" s="8" t="n">
        <v>24988.8</v>
      </c>
      <c r="M130" s="7" t="s">
        <v>2839</v>
      </c>
      <c r="N130" s="20" t="n">
        <v>44946</v>
      </c>
      <c r="O130" s="7" t="s">
        <v>2874</v>
      </c>
      <c r="P130" s="7"/>
    </row>
    <row r="131" customFormat="false" ht="15" hidden="false" customHeight="false" outlineLevel="0" collapsed="false">
      <c r="A131" s="7" t="s">
        <v>137</v>
      </c>
      <c r="B131" s="20" t="n">
        <v>45169</v>
      </c>
      <c r="C131" s="7" t="s">
        <v>2872</v>
      </c>
      <c r="D131" s="7" t="s">
        <v>2873</v>
      </c>
      <c r="E131" s="7" t="s">
        <v>2838</v>
      </c>
      <c r="F131" s="7" t="s">
        <v>136</v>
      </c>
      <c r="G131" s="16" t="n">
        <v>1</v>
      </c>
      <c r="H131" s="7" t="s">
        <v>672</v>
      </c>
      <c r="I131" s="22" t="n">
        <v>26380.8</v>
      </c>
      <c r="J131" s="22" t="n">
        <v>26380.8</v>
      </c>
      <c r="K131" s="8" t="n">
        <v>26380.8</v>
      </c>
      <c r="L131" s="8" t="n">
        <v>26380.8</v>
      </c>
      <c r="M131" s="7" t="s">
        <v>2839</v>
      </c>
      <c r="N131" s="20" t="n">
        <v>44946</v>
      </c>
      <c r="O131" s="7" t="s">
        <v>2874</v>
      </c>
      <c r="P131" s="7"/>
    </row>
    <row r="132" customFormat="false" ht="15" hidden="false" customHeight="false" outlineLevel="0" collapsed="false">
      <c r="A132" s="7" t="s">
        <v>137</v>
      </c>
      <c r="B132" s="20" t="n">
        <v>45199</v>
      </c>
      <c r="C132" s="7" t="s">
        <v>2872</v>
      </c>
      <c r="D132" s="7" t="s">
        <v>2873</v>
      </c>
      <c r="E132" s="7" t="s">
        <v>2838</v>
      </c>
      <c r="F132" s="7" t="s">
        <v>136</v>
      </c>
      <c r="G132" s="16" t="n">
        <v>1</v>
      </c>
      <c r="H132" s="7" t="s">
        <v>672</v>
      </c>
      <c r="I132" s="22" t="n">
        <v>26500.8</v>
      </c>
      <c r="J132" s="22" t="n">
        <v>26500.8</v>
      </c>
      <c r="K132" s="8" t="n">
        <v>26500.8</v>
      </c>
      <c r="L132" s="8" t="n">
        <v>26500.8</v>
      </c>
      <c r="M132" s="7" t="s">
        <v>2839</v>
      </c>
      <c r="N132" s="20" t="n">
        <v>44946</v>
      </c>
      <c r="O132" s="7" t="s">
        <v>2874</v>
      </c>
      <c r="P132" s="7"/>
    </row>
    <row r="133" customFormat="false" ht="15" hidden="false" customHeight="false" outlineLevel="0" collapsed="false">
      <c r="A133" s="7" t="s">
        <v>137</v>
      </c>
      <c r="B133" s="20" t="n">
        <v>45230</v>
      </c>
      <c r="C133" s="7" t="s">
        <v>2872</v>
      </c>
      <c r="D133" s="7" t="s">
        <v>2873</v>
      </c>
      <c r="E133" s="7" t="s">
        <v>2838</v>
      </c>
      <c r="F133" s="7" t="s">
        <v>136</v>
      </c>
      <c r="G133" s="16" t="n">
        <v>1</v>
      </c>
      <c r="H133" s="7" t="s">
        <v>672</v>
      </c>
      <c r="I133" s="22" t="n">
        <v>26500.8</v>
      </c>
      <c r="J133" s="22" t="n">
        <v>26500.8</v>
      </c>
      <c r="K133" s="8" t="n">
        <v>26500.8</v>
      </c>
      <c r="L133" s="8" t="n">
        <v>26500.8</v>
      </c>
      <c r="M133" s="7" t="s">
        <v>2839</v>
      </c>
      <c r="N133" s="20" t="n">
        <v>44946</v>
      </c>
      <c r="O133" s="7" t="s">
        <v>2874</v>
      </c>
      <c r="P133" s="7"/>
    </row>
    <row r="134" customFormat="false" ht="15" hidden="false" customHeight="false" outlineLevel="0" collapsed="false">
      <c r="A134" s="7" t="s">
        <v>137</v>
      </c>
      <c r="B134" s="20" t="n">
        <v>45322</v>
      </c>
      <c r="C134" s="7" t="s">
        <v>2875</v>
      </c>
      <c r="D134" s="7" t="s">
        <v>2876</v>
      </c>
      <c r="E134" s="7" t="s">
        <v>2838</v>
      </c>
      <c r="F134" s="7" t="s">
        <v>136</v>
      </c>
      <c r="G134" s="16" t="n">
        <v>1</v>
      </c>
      <c r="H134" s="7" t="s">
        <v>672</v>
      </c>
      <c r="I134" s="22" t="n">
        <v>1384.32</v>
      </c>
      <c r="J134" s="22" t="n">
        <v>1384.32</v>
      </c>
      <c r="K134" s="8" t="n">
        <v>1384.32</v>
      </c>
      <c r="L134" s="8" t="n">
        <v>1384.32</v>
      </c>
      <c r="M134" s="7" t="s">
        <v>2839</v>
      </c>
      <c r="N134" s="20" t="n">
        <v>45311</v>
      </c>
      <c r="O134" s="7" t="s">
        <v>2877</v>
      </c>
      <c r="P134" s="7"/>
    </row>
    <row r="135" customFormat="false" ht="15" hidden="false" customHeight="false" outlineLevel="0" collapsed="false">
      <c r="A135" s="7" t="s">
        <v>137</v>
      </c>
      <c r="B135" s="20" t="n">
        <v>45351</v>
      </c>
      <c r="C135" s="7" t="s">
        <v>2875</v>
      </c>
      <c r="D135" s="7" t="s">
        <v>2876</v>
      </c>
      <c r="E135" s="7" t="s">
        <v>2838</v>
      </c>
      <c r="F135" s="7" t="s">
        <v>136</v>
      </c>
      <c r="G135" s="16" t="n">
        <v>1</v>
      </c>
      <c r="H135" s="7" t="s">
        <v>672</v>
      </c>
      <c r="I135" s="22" t="n">
        <v>1384.32</v>
      </c>
      <c r="J135" s="22" t="n">
        <v>1384.32</v>
      </c>
      <c r="K135" s="8" t="n">
        <v>1384.32</v>
      </c>
      <c r="L135" s="8" t="n">
        <v>1384.32</v>
      </c>
      <c r="M135" s="7" t="s">
        <v>2839</v>
      </c>
      <c r="N135" s="20" t="n">
        <v>45311</v>
      </c>
      <c r="O135" s="7" t="s">
        <v>2877</v>
      </c>
      <c r="P135" s="7"/>
    </row>
    <row r="136" customFormat="false" ht="15" hidden="false" customHeight="false" outlineLevel="0" collapsed="false">
      <c r="A136" s="7" t="s">
        <v>137</v>
      </c>
      <c r="B136" s="20" t="n">
        <v>45382</v>
      </c>
      <c r="C136" s="7" t="s">
        <v>2875</v>
      </c>
      <c r="D136" s="7" t="s">
        <v>2876</v>
      </c>
      <c r="E136" s="7" t="s">
        <v>2838</v>
      </c>
      <c r="F136" s="7" t="s">
        <v>136</v>
      </c>
      <c r="G136" s="16" t="n">
        <v>1</v>
      </c>
      <c r="H136" s="7" t="s">
        <v>672</v>
      </c>
      <c r="I136" s="22" t="n">
        <v>3757.44</v>
      </c>
      <c r="J136" s="22" t="n">
        <v>3757.44</v>
      </c>
      <c r="K136" s="8" t="n">
        <v>3757.44</v>
      </c>
      <c r="L136" s="8" t="n">
        <v>3757.44</v>
      </c>
      <c r="M136" s="7" t="s">
        <v>2839</v>
      </c>
      <c r="N136" s="20" t="n">
        <v>45311</v>
      </c>
      <c r="O136" s="7" t="s">
        <v>2877</v>
      </c>
      <c r="P136" s="7"/>
    </row>
    <row r="137" customFormat="false" ht="15" hidden="false" customHeight="false" outlineLevel="0" collapsed="false">
      <c r="A137" s="7" t="s">
        <v>137</v>
      </c>
      <c r="B137" s="20" t="n">
        <v>45412</v>
      </c>
      <c r="C137" s="7" t="s">
        <v>2875</v>
      </c>
      <c r="D137" s="7" t="s">
        <v>2876</v>
      </c>
      <c r="E137" s="7" t="s">
        <v>2838</v>
      </c>
      <c r="F137" s="7" t="s">
        <v>136</v>
      </c>
      <c r="G137" s="16" t="n">
        <v>1</v>
      </c>
      <c r="H137" s="7" t="s">
        <v>672</v>
      </c>
      <c r="I137" s="22" t="n">
        <v>10293.12</v>
      </c>
      <c r="J137" s="22" t="n">
        <v>10293.12</v>
      </c>
      <c r="K137" s="8" t="n">
        <v>10293.12</v>
      </c>
      <c r="L137" s="8" t="n">
        <v>10293.12</v>
      </c>
      <c r="M137" s="7" t="s">
        <v>2839</v>
      </c>
      <c r="N137" s="20" t="n">
        <v>45311</v>
      </c>
      <c r="O137" s="7" t="s">
        <v>2877</v>
      </c>
      <c r="P137" s="7"/>
    </row>
    <row r="138" customFormat="false" ht="15" hidden="false" customHeight="false" outlineLevel="0" collapsed="false">
      <c r="A138" s="7" t="s">
        <v>137</v>
      </c>
      <c r="B138" s="20" t="n">
        <v>45443</v>
      </c>
      <c r="C138" s="7" t="s">
        <v>2875</v>
      </c>
      <c r="D138" s="7" t="s">
        <v>2876</v>
      </c>
      <c r="E138" s="7" t="s">
        <v>2838</v>
      </c>
      <c r="F138" s="7" t="s">
        <v>136</v>
      </c>
      <c r="G138" s="16" t="n">
        <v>1</v>
      </c>
      <c r="H138" s="7" t="s">
        <v>672</v>
      </c>
      <c r="I138" s="22" t="n">
        <v>22554.24</v>
      </c>
      <c r="J138" s="22" t="n">
        <v>22554.24</v>
      </c>
      <c r="K138" s="8" t="n">
        <v>22554.24</v>
      </c>
      <c r="L138" s="8" t="n">
        <v>22554.24</v>
      </c>
      <c r="M138" s="7" t="s">
        <v>2839</v>
      </c>
      <c r="N138" s="20" t="n">
        <v>45311</v>
      </c>
      <c r="O138" s="7" t="s">
        <v>2877</v>
      </c>
      <c r="P138" s="7"/>
    </row>
    <row r="139" customFormat="false" ht="15" hidden="false" customHeight="false" outlineLevel="0" collapsed="false">
      <c r="A139" s="7" t="s">
        <v>137</v>
      </c>
      <c r="B139" s="20" t="n">
        <v>45473</v>
      </c>
      <c r="C139" s="7" t="s">
        <v>2875</v>
      </c>
      <c r="D139" s="7" t="s">
        <v>2876</v>
      </c>
      <c r="E139" s="7" t="s">
        <v>2838</v>
      </c>
      <c r="F139" s="7" t="s">
        <v>136</v>
      </c>
      <c r="G139" s="16" t="n">
        <v>1</v>
      </c>
      <c r="H139" s="7" t="s">
        <v>672</v>
      </c>
      <c r="I139" s="22" t="n">
        <v>24828.48</v>
      </c>
      <c r="J139" s="22" t="n">
        <v>24828.48</v>
      </c>
      <c r="K139" s="8" t="n">
        <v>24828.48</v>
      </c>
      <c r="L139" s="8" t="n">
        <v>24828.48</v>
      </c>
      <c r="M139" s="7" t="s">
        <v>2839</v>
      </c>
      <c r="N139" s="20" t="n">
        <v>45311</v>
      </c>
      <c r="O139" s="7" t="s">
        <v>2877</v>
      </c>
      <c r="P139" s="7"/>
    </row>
    <row r="140" customFormat="false" ht="15" hidden="false" customHeight="false" outlineLevel="0" collapsed="false">
      <c r="A140" s="7" t="s">
        <v>137</v>
      </c>
      <c r="B140" s="20" t="n">
        <v>45504</v>
      </c>
      <c r="C140" s="7" t="s">
        <v>2875</v>
      </c>
      <c r="D140" s="7" t="s">
        <v>2876</v>
      </c>
      <c r="E140" s="7" t="s">
        <v>2838</v>
      </c>
      <c r="F140" s="7" t="s">
        <v>136</v>
      </c>
      <c r="G140" s="16" t="n">
        <v>1</v>
      </c>
      <c r="H140" s="7" t="s">
        <v>672</v>
      </c>
      <c r="I140" s="22" t="n">
        <v>27102.72</v>
      </c>
      <c r="J140" s="22" t="n">
        <v>27102.72</v>
      </c>
      <c r="K140" s="8" t="n">
        <v>27102.72</v>
      </c>
      <c r="L140" s="8" t="n">
        <v>27102.72</v>
      </c>
      <c r="M140" s="7" t="s">
        <v>2839</v>
      </c>
      <c r="N140" s="20" t="n">
        <v>45311</v>
      </c>
      <c r="O140" s="7" t="s">
        <v>2877</v>
      </c>
      <c r="P140" s="7"/>
    </row>
    <row r="141" customFormat="false" ht="15" hidden="false" customHeight="false" outlineLevel="0" collapsed="false">
      <c r="A141" s="7" t="s">
        <v>137</v>
      </c>
      <c r="B141" s="20" t="n">
        <v>45535</v>
      </c>
      <c r="C141" s="7" t="s">
        <v>2875</v>
      </c>
      <c r="D141" s="7" t="s">
        <v>2876</v>
      </c>
      <c r="E141" s="7" t="s">
        <v>2838</v>
      </c>
      <c r="F141" s="7" t="s">
        <v>136</v>
      </c>
      <c r="G141" s="16" t="n">
        <v>1</v>
      </c>
      <c r="H141" s="7" t="s">
        <v>672</v>
      </c>
      <c r="I141" s="22" t="n">
        <v>28536.48</v>
      </c>
      <c r="J141" s="22" t="n">
        <v>28536.48</v>
      </c>
      <c r="K141" s="8" t="n">
        <v>28536.48</v>
      </c>
      <c r="L141" s="8" t="n">
        <v>28536.48</v>
      </c>
      <c r="M141" s="7" t="s">
        <v>2839</v>
      </c>
      <c r="N141" s="20" t="n">
        <v>45311</v>
      </c>
      <c r="O141" s="7" t="s">
        <v>2877</v>
      </c>
      <c r="P141" s="7"/>
    </row>
    <row r="142" customFormat="false" ht="15" hidden="false" customHeight="false" outlineLevel="0" collapsed="false">
      <c r="A142" s="7" t="s">
        <v>137</v>
      </c>
      <c r="B142" s="20" t="n">
        <v>45565</v>
      </c>
      <c r="C142" s="7" t="s">
        <v>2875</v>
      </c>
      <c r="D142" s="7" t="s">
        <v>2876</v>
      </c>
      <c r="E142" s="7" t="s">
        <v>2838</v>
      </c>
      <c r="F142" s="7" t="s">
        <v>136</v>
      </c>
      <c r="G142" s="16" t="n">
        <v>1</v>
      </c>
      <c r="H142" s="7" t="s">
        <v>672</v>
      </c>
      <c r="I142" s="22" t="n">
        <v>28660.08</v>
      </c>
      <c r="J142" s="22" t="n">
        <v>28660.08</v>
      </c>
      <c r="K142" s="8" t="n">
        <v>28660.08</v>
      </c>
      <c r="L142" s="8" t="n">
        <v>28660.08</v>
      </c>
      <c r="M142" s="7" t="s">
        <v>2839</v>
      </c>
      <c r="N142" s="20" t="n">
        <v>45311</v>
      </c>
      <c r="O142" s="7" t="s">
        <v>2877</v>
      </c>
      <c r="P142" s="7"/>
    </row>
    <row r="143" customFormat="false" ht="15" hidden="false" customHeight="false" outlineLevel="0" collapsed="false">
      <c r="A143" s="7" t="s">
        <v>137</v>
      </c>
      <c r="B143" s="20" t="n">
        <v>45596</v>
      </c>
      <c r="C143" s="7" t="s">
        <v>2875</v>
      </c>
      <c r="D143" s="7" t="s">
        <v>2876</v>
      </c>
      <c r="E143" s="7" t="s">
        <v>2838</v>
      </c>
      <c r="F143" s="7" t="s">
        <v>136</v>
      </c>
      <c r="G143" s="16" t="n">
        <v>1</v>
      </c>
      <c r="H143" s="7" t="s">
        <v>672</v>
      </c>
      <c r="I143" s="22" t="n">
        <v>31329.84</v>
      </c>
      <c r="J143" s="22" t="n">
        <v>31329.84</v>
      </c>
      <c r="K143" s="8" t="n">
        <v>31329.84</v>
      </c>
      <c r="L143" s="8" t="n">
        <v>31329.84</v>
      </c>
      <c r="M143" s="7" t="s">
        <v>2839</v>
      </c>
      <c r="N143" s="20" t="n">
        <v>45311</v>
      </c>
      <c r="O143" s="7" t="s">
        <v>2877</v>
      </c>
      <c r="P143" s="7"/>
    </row>
    <row r="144" customFormat="false" ht="15" hidden="false" customHeight="false" outlineLevel="0" collapsed="false">
      <c r="A144" s="7" t="s">
        <v>137</v>
      </c>
      <c r="B144" s="20" t="n">
        <v>45688</v>
      </c>
      <c r="C144" s="7" t="s">
        <v>2878</v>
      </c>
      <c r="D144" s="7" t="s">
        <v>2879</v>
      </c>
      <c r="E144" s="7" t="s">
        <v>2838</v>
      </c>
      <c r="F144" s="7" t="s">
        <v>136</v>
      </c>
      <c r="G144" s="16" t="n">
        <v>1</v>
      </c>
      <c r="H144" s="7" t="s">
        <v>672</v>
      </c>
      <c r="I144" s="22" t="n">
        <v>1424.64</v>
      </c>
      <c r="J144" s="22" t="n">
        <v>1424.64</v>
      </c>
      <c r="K144" s="8" t="n">
        <v>1424.64</v>
      </c>
      <c r="L144" s="8" t="n">
        <v>1424.64</v>
      </c>
      <c r="M144" s="7" t="s">
        <v>2839</v>
      </c>
      <c r="N144" s="20" t="n">
        <v>45677</v>
      </c>
      <c r="O144" s="7" t="s">
        <v>2880</v>
      </c>
      <c r="P144" s="7"/>
    </row>
    <row r="145" customFormat="false" ht="15" hidden="false" customHeight="false" outlineLevel="0" collapsed="false">
      <c r="A145" s="7" t="s">
        <v>137</v>
      </c>
      <c r="B145" s="20" t="n">
        <v>45716</v>
      </c>
      <c r="C145" s="7" t="s">
        <v>2878</v>
      </c>
      <c r="D145" s="7" t="s">
        <v>2879</v>
      </c>
      <c r="E145" s="7" t="s">
        <v>2838</v>
      </c>
      <c r="F145" s="7" t="s">
        <v>136</v>
      </c>
      <c r="G145" s="16" t="n">
        <v>1</v>
      </c>
      <c r="H145" s="7" t="s">
        <v>672</v>
      </c>
      <c r="I145" s="22" t="n">
        <v>1424.64</v>
      </c>
      <c r="J145" s="22" t="n">
        <v>1424.64</v>
      </c>
      <c r="K145" s="8" t="n">
        <v>1424.64</v>
      </c>
      <c r="L145" s="8" t="n">
        <v>1424.64</v>
      </c>
      <c r="M145" s="7" t="s">
        <v>2839</v>
      </c>
      <c r="N145" s="20" t="n">
        <v>45677</v>
      </c>
      <c r="O145" s="7" t="s">
        <v>2880</v>
      </c>
      <c r="P145" s="7"/>
    </row>
    <row r="146" customFormat="false" ht="15" hidden="false" customHeight="false" outlineLevel="0" collapsed="false">
      <c r="A146" s="7" t="s">
        <v>137</v>
      </c>
      <c r="B146" s="20" t="n">
        <v>45747</v>
      </c>
      <c r="C146" s="7" t="s">
        <v>2878</v>
      </c>
      <c r="D146" s="7" t="s">
        <v>2879</v>
      </c>
      <c r="E146" s="7" t="s">
        <v>2838</v>
      </c>
      <c r="F146" s="7" t="s">
        <v>136</v>
      </c>
      <c r="G146" s="16" t="n">
        <v>1</v>
      </c>
      <c r="H146" s="7" t="s">
        <v>672</v>
      </c>
      <c r="I146" s="22" t="n">
        <v>3866.88</v>
      </c>
      <c r="J146" s="22" t="n">
        <v>3866.88</v>
      </c>
      <c r="K146" s="8" t="n">
        <v>3866.88</v>
      </c>
      <c r="L146" s="8" t="n">
        <v>3866.88</v>
      </c>
      <c r="M146" s="7" t="s">
        <v>2839</v>
      </c>
      <c r="N146" s="20" t="n">
        <v>45677</v>
      </c>
      <c r="O146" s="7" t="s">
        <v>2880</v>
      </c>
      <c r="P146" s="7"/>
    </row>
    <row r="147" customFormat="false" ht="15" hidden="false" customHeight="false" outlineLevel="0" collapsed="false">
      <c r="A147" s="7" t="s">
        <v>137</v>
      </c>
      <c r="B147" s="20" t="n">
        <v>45777</v>
      </c>
      <c r="C147" s="7" t="s">
        <v>2878</v>
      </c>
      <c r="D147" s="7" t="s">
        <v>2879</v>
      </c>
      <c r="E147" s="7" t="s">
        <v>2838</v>
      </c>
      <c r="F147" s="7" t="s">
        <v>136</v>
      </c>
      <c r="G147" s="16" t="n">
        <v>1</v>
      </c>
      <c r="H147" s="7" t="s">
        <v>672</v>
      </c>
      <c r="I147" s="22" t="n">
        <v>10458.24</v>
      </c>
      <c r="J147" s="22" t="n">
        <v>10458.24</v>
      </c>
      <c r="K147" s="8" t="n">
        <v>10458.24</v>
      </c>
      <c r="L147" s="8" t="n">
        <v>10458.24</v>
      </c>
      <c r="M147" s="7" t="s">
        <v>2839</v>
      </c>
      <c r="N147" s="20" t="n">
        <v>45677</v>
      </c>
      <c r="O147" s="7" t="s">
        <v>2880</v>
      </c>
      <c r="P147" s="7"/>
    </row>
    <row r="148" customFormat="false" ht="15" hidden="false" customHeight="false" outlineLevel="0" collapsed="false">
      <c r="A148" s="7" t="s">
        <v>137</v>
      </c>
      <c r="B148" s="20" t="n">
        <v>45808</v>
      </c>
      <c r="C148" s="7" t="s">
        <v>2878</v>
      </c>
      <c r="D148" s="7" t="s">
        <v>2879</v>
      </c>
      <c r="E148" s="7" t="s">
        <v>2838</v>
      </c>
      <c r="F148" s="7" t="s">
        <v>136</v>
      </c>
      <c r="G148" s="16" t="n">
        <v>1</v>
      </c>
      <c r="H148" s="7" t="s">
        <v>672</v>
      </c>
      <c r="I148" s="22" t="n">
        <v>23076.48</v>
      </c>
      <c r="J148" s="22" t="n">
        <v>23076.48</v>
      </c>
      <c r="K148" s="8" t="n">
        <v>23076.48</v>
      </c>
      <c r="L148" s="8" t="n">
        <v>23076.48</v>
      </c>
      <c r="M148" s="7" t="s">
        <v>2839</v>
      </c>
      <c r="N148" s="20" t="n">
        <v>45677</v>
      </c>
      <c r="O148" s="7" t="s">
        <v>2880</v>
      </c>
      <c r="P148" s="7"/>
    </row>
    <row r="149" customFormat="false" ht="15" hidden="false" customHeight="false" outlineLevel="0" collapsed="false">
      <c r="A149" s="7" t="s">
        <v>137</v>
      </c>
      <c r="B149" s="20" t="n">
        <v>45838</v>
      </c>
      <c r="C149" s="7" t="s">
        <v>2878</v>
      </c>
      <c r="D149" s="7" t="s">
        <v>2879</v>
      </c>
      <c r="E149" s="7" t="s">
        <v>2838</v>
      </c>
      <c r="F149" s="7" t="s">
        <v>136</v>
      </c>
      <c r="G149" s="16" t="n">
        <v>1</v>
      </c>
      <c r="H149" s="7" t="s">
        <v>672</v>
      </c>
      <c r="I149" s="22" t="n">
        <v>25416.96</v>
      </c>
      <c r="J149" s="22" t="n">
        <v>25416.96</v>
      </c>
      <c r="K149" s="8" t="n">
        <v>25416.96</v>
      </c>
      <c r="L149" s="8" t="n">
        <v>25416.96</v>
      </c>
      <c r="M149" s="7" t="s">
        <v>2839</v>
      </c>
      <c r="N149" s="20" t="n">
        <v>45677</v>
      </c>
      <c r="O149" s="7" t="s">
        <v>2880</v>
      </c>
      <c r="P149" s="7"/>
    </row>
    <row r="150" customFormat="false" ht="15" hidden="false" customHeight="false" outlineLevel="0" collapsed="false">
      <c r="A150" s="7" t="s">
        <v>137</v>
      </c>
      <c r="B150" s="20" t="n">
        <v>45869</v>
      </c>
      <c r="C150" s="7" t="s">
        <v>2878</v>
      </c>
      <c r="D150" s="7" t="s">
        <v>2879</v>
      </c>
      <c r="E150" s="7" t="s">
        <v>2838</v>
      </c>
      <c r="F150" s="7" t="s">
        <v>136</v>
      </c>
      <c r="G150" s="16" t="n">
        <v>1</v>
      </c>
      <c r="H150" s="7" t="s">
        <v>672</v>
      </c>
      <c r="I150" s="22" t="n">
        <v>27757.44</v>
      </c>
      <c r="J150" s="22" t="n">
        <v>27757.44</v>
      </c>
      <c r="K150" s="8" t="n">
        <v>27757.44</v>
      </c>
      <c r="L150" s="8" t="n">
        <v>27757.44</v>
      </c>
      <c r="M150" s="7" t="s">
        <v>2839</v>
      </c>
      <c r="N150" s="20" t="n">
        <v>45677</v>
      </c>
      <c r="O150" s="7" t="s">
        <v>2880</v>
      </c>
      <c r="P150" s="7"/>
    </row>
    <row r="151" customFormat="false" ht="15" hidden="false" customHeight="false" outlineLevel="0" collapsed="false">
      <c r="A151" s="7" t="s">
        <v>137</v>
      </c>
      <c r="B151" s="20" t="n">
        <v>45900</v>
      </c>
      <c r="C151" s="7" t="s">
        <v>2878</v>
      </c>
      <c r="D151" s="7" t="s">
        <v>2879</v>
      </c>
      <c r="E151" s="7" t="s">
        <v>2838</v>
      </c>
      <c r="F151" s="7" t="s">
        <v>136</v>
      </c>
      <c r="G151" s="16" t="n">
        <v>1</v>
      </c>
      <c r="H151" s="7" t="s">
        <v>672</v>
      </c>
      <c r="I151" s="22" t="n">
        <v>29232.96</v>
      </c>
      <c r="J151" s="22" t="n">
        <v>29232.96</v>
      </c>
      <c r="K151" s="8" t="n">
        <v>29232.96</v>
      </c>
      <c r="L151" s="8" t="n">
        <v>29232.96</v>
      </c>
      <c r="M151" s="7" t="s">
        <v>2839</v>
      </c>
      <c r="N151" s="20" t="n">
        <v>45677</v>
      </c>
      <c r="O151" s="7" t="s">
        <v>2880</v>
      </c>
      <c r="P151" s="7"/>
    </row>
    <row r="152" customFormat="false" ht="15" hidden="false" customHeight="false" outlineLevel="0" collapsed="false">
      <c r="A152" s="7" t="s">
        <v>137</v>
      </c>
      <c r="B152" s="20" t="n">
        <v>45930</v>
      </c>
      <c r="C152" s="7" t="s">
        <v>2878</v>
      </c>
      <c r="D152" s="7" t="s">
        <v>2879</v>
      </c>
      <c r="E152" s="7" t="s">
        <v>2838</v>
      </c>
      <c r="F152" s="7" t="s">
        <v>136</v>
      </c>
      <c r="G152" s="16" t="n">
        <v>1</v>
      </c>
      <c r="H152" s="7" t="s">
        <v>672</v>
      </c>
      <c r="I152" s="22" t="n">
        <v>29360.16</v>
      </c>
      <c r="J152" s="22" t="n">
        <v>29360.16</v>
      </c>
      <c r="K152" s="8" t="n">
        <v>29360.16</v>
      </c>
      <c r="L152" s="8" t="n">
        <v>29360.16</v>
      </c>
      <c r="M152" s="7" t="s">
        <v>2839</v>
      </c>
      <c r="N152" s="20" t="n">
        <v>45677</v>
      </c>
      <c r="O152" s="7" t="s">
        <v>2880</v>
      </c>
      <c r="P152" s="7"/>
    </row>
    <row r="153" customFormat="false" ht="15" hidden="false" customHeight="false" outlineLevel="0" collapsed="false">
      <c r="A153" s="7" t="s">
        <v>137</v>
      </c>
      <c r="B153" s="20" t="n">
        <v>45961</v>
      </c>
      <c r="C153" s="7" t="s">
        <v>2878</v>
      </c>
      <c r="D153" s="7" t="s">
        <v>2879</v>
      </c>
      <c r="E153" s="7" t="s">
        <v>2838</v>
      </c>
      <c r="F153" s="7" t="s">
        <v>136</v>
      </c>
      <c r="G153" s="16" t="n">
        <v>1</v>
      </c>
      <c r="H153" s="7" t="s">
        <v>672</v>
      </c>
      <c r="I153" s="22" t="n">
        <v>32107.68</v>
      </c>
      <c r="J153" s="22" t="n">
        <v>32107.68</v>
      </c>
      <c r="K153" s="8" t="n">
        <v>32107.68</v>
      </c>
      <c r="L153" s="8" t="n">
        <v>32107.68</v>
      </c>
      <c r="M153" s="7" t="s">
        <v>2839</v>
      </c>
      <c r="N153" s="20" t="n">
        <v>45677</v>
      </c>
      <c r="O153" s="7" t="s">
        <v>2880</v>
      </c>
      <c r="P153" s="7"/>
    </row>
    <row r="154" customFormat="false" ht="15" hidden="false" customHeight="false" outlineLevel="0" collapsed="false">
      <c r="A154" s="7" t="s">
        <v>137</v>
      </c>
      <c r="B154" s="20" t="n">
        <v>46053</v>
      </c>
      <c r="C154" s="7" t="s">
        <v>2881</v>
      </c>
      <c r="D154" s="7" t="s">
        <v>2882</v>
      </c>
      <c r="E154" s="7" t="s">
        <v>2838</v>
      </c>
      <c r="F154" s="7" t="s">
        <v>136</v>
      </c>
      <c r="G154" s="16" t="n">
        <v>1</v>
      </c>
      <c r="H154" s="7" t="s">
        <v>672</v>
      </c>
      <c r="I154" s="22" t="n">
        <v>1464.96</v>
      </c>
      <c r="J154" s="22" t="n">
        <v>1464.96</v>
      </c>
      <c r="K154" s="8" t="n">
        <v>1464.96</v>
      </c>
      <c r="L154" s="8" t="n">
        <v>1464.96</v>
      </c>
      <c r="M154" s="7" t="s">
        <v>2839</v>
      </c>
      <c r="N154" s="20" t="n">
        <v>46042</v>
      </c>
      <c r="O154" s="7" t="s">
        <v>2883</v>
      </c>
      <c r="P154" s="7"/>
    </row>
    <row r="155" customFormat="false" ht="15" hidden="false" customHeight="false" outlineLevel="0" collapsed="false">
      <c r="A155" s="7" t="s">
        <v>137</v>
      </c>
      <c r="B155" s="20" t="n">
        <v>46081</v>
      </c>
      <c r="C155" s="7" t="s">
        <v>2881</v>
      </c>
      <c r="D155" s="7" t="s">
        <v>2882</v>
      </c>
      <c r="E155" s="7" t="s">
        <v>2838</v>
      </c>
      <c r="F155" s="7" t="s">
        <v>136</v>
      </c>
      <c r="G155" s="16" t="n">
        <v>1</v>
      </c>
      <c r="H155" s="7" t="s">
        <v>672</v>
      </c>
      <c r="I155" s="22" t="n">
        <v>1464.96</v>
      </c>
      <c r="J155" s="22" t="n">
        <v>1464.96</v>
      </c>
      <c r="K155" s="8" t="n">
        <v>1464.96</v>
      </c>
      <c r="L155" s="8" t="n">
        <v>1464.96</v>
      </c>
      <c r="M155" s="7" t="s">
        <v>2839</v>
      </c>
      <c r="N155" s="20" t="n">
        <v>46042</v>
      </c>
      <c r="O155" s="7" t="s">
        <v>2883</v>
      </c>
      <c r="P155" s="7"/>
    </row>
    <row r="156" customFormat="false" ht="15" hidden="false" customHeight="false" outlineLevel="0" collapsed="false">
      <c r="A156" s="7" t="s">
        <v>137</v>
      </c>
      <c r="B156" s="20" t="n">
        <v>46112</v>
      </c>
      <c r="C156" s="7" t="s">
        <v>2881</v>
      </c>
      <c r="D156" s="7" t="s">
        <v>2882</v>
      </c>
      <c r="E156" s="7" t="s">
        <v>2838</v>
      </c>
      <c r="F156" s="7" t="s">
        <v>136</v>
      </c>
      <c r="G156" s="16" t="n">
        <v>1</v>
      </c>
      <c r="H156" s="7" t="s">
        <v>672</v>
      </c>
      <c r="I156" s="22" t="n">
        <v>3976.32</v>
      </c>
      <c r="J156" s="22" t="n">
        <v>3976.32</v>
      </c>
      <c r="K156" s="8" t="n">
        <v>3976.32</v>
      </c>
      <c r="L156" s="8" t="n">
        <v>3976.32</v>
      </c>
      <c r="M156" s="7" t="s">
        <v>2839</v>
      </c>
      <c r="N156" s="20" t="n">
        <v>46042</v>
      </c>
      <c r="O156" s="7" t="s">
        <v>2883</v>
      </c>
      <c r="P156" s="7"/>
    </row>
    <row r="157" customFormat="false" ht="15" hidden="false" customHeight="false" outlineLevel="0" collapsed="false">
      <c r="A157" s="7" t="s">
        <v>137</v>
      </c>
      <c r="B157" s="20" t="n">
        <v>46142</v>
      </c>
      <c r="C157" s="7" t="s">
        <v>2881</v>
      </c>
      <c r="D157" s="7" t="s">
        <v>2882</v>
      </c>
      <c r="E157" s="7" t="s">
        <v>2838</v>
      </c>
      <c r="F157" s="7" t="s">
        <v>136</v>
      </c>
      <c r="G157" s="16" t="n">
        <v>1</v>
      </c>
      <c r="H157" s="7" t="s">
        <v>672</v>
      </c>
      <c r="I157" s="22" t="n">
        <v>11363.52</v>
      </c>
      <c r="J157" s="22" t="n">
        <v>11363.52</v>
      </c>
      <c r="K157" s="8" t="n">
        <v>11363.52</v>
      </c>
      <c r="L157" s="8" t="n">
        <v>11363.52</v>
      </c>
      <c r="M157" s="7" t="s">
        <v>2839</v>
      </c>
      <c r="N157" s="20" t="n">
        <v>46042</v>
      </c>
      <c r="O157" s="7" t="s">
        <v>2883</v>
      </c>
      <c r="P157" s="7"/>
    </row>
    <row r="158" customFormat="false" ht="15" hidden="false" customHeight="false" outlineLevel="0" collapsed="false">
      <c r="A158" s="7" t="s">
        <v>137</v>
      </c>
      <c r="B158" s="20" t="n">
        <v>46173</v>
      </c>
      <c r="C158" s="7" t="s">
        <v>2881</v>
      </c>
      <c r="D158" s="7" t="s">
        <v>2882</v>
      </c>
      <c r="E158" s="7" t="s">
        <v>2838</v>
      </c>
      <c r="F158" s="7" t="s">
        <v>136</v>
      </c>
      <c r="G158" s="16" t="n">
        <v>1</v>
      </c>
      <c r="H158" s="7" t="s">
        <v>672</v>
      </c>
      <c r="I158" s="22" t="n">
        <v>24338.88</v>
      </c>
      <c r="J158" s="22" t="n">
        <v>24338.88</v>
      </c>
      <c r="K158" s="8" t="n">
        <v>24338.88</v>
      </c>
      <c r="L158" s="8" t="n">
        <v>24338.88</v>
      </c>
      <c r="M158" s="7" t="s">
        <v>2839</v>
      </c>
      <c r="N158" s="20" t="n">
        <v>46042</v>
      </c>
      <c r="O158" s="7" t="s">
        <v>2883</v>
      </c>
      <c r="P158" s="7"/>
    </row>
    <row r="159" customFormat="false" ht="15" hidden="false" customHeight="false" outlineLevel="0" collapsed="false">
      <c r="A159" s="7" t="s">
        <v>137</v>
      </c>
      <c r="B159" s="20" t="n">
        <v>46203</v>
      </c>
      <c r="C159" s="7" t="s">
        <v>2881</v>
      </c>
      <c r="D159" s="7" t="s">
        <v>2882</v>
      </c>
      <c r="E159" s="7" t="s">
        <v>2838</v>
      </c>
      <c r="F159" s="7" t="s">
        <v>136</v>
      </c>
      <c r="G159" s="16" t="n">
        <v>1</v>
      </c>
      <c r="H159" s="7" t="s">
        <v>672</v>
      </c>
      <c r="I159" s="22" t="n">
        <v>26745.6</v>
      </c>
      <c r="J159" s="22" t="n">
        <v>26745.6</v>
      </c>
      <c r="K159" s="8" t="n">
        <v>26745.6</v>
      </c>
      <c r="L159" s="8" t="n">
        <v>26745.6</v>
      </c>
      <c r="M159" s="7" t="s">
        <v>2839</v>
      </c>
      <c r="N159" s="20" t="n">
        <v>46042</v>
      </c>
      <c r="O159" s="7" t="s">
        <v>2883</v>
      </c>
      <c r="P159" s="7"/>
    </row>
    <row r="160" customFormat="false" ht="15" hidden="false" customHeight="false" outlineLevel="0" collapsed="false">
      <c r="A160" s="7" t="s">
        <v>137</v>
      </c>
      <c r="B160" s="20" t="n">
        <v>46234</v>
      </c>
      <c r="C160" s="7" t="s">
        <v>2881</v>
      </c>
      <c r="D160" s="7" t="s">
        <v>2882</v>
      </c>
      <c r="E160" s="7" t="s">
        <v>2838</v>
      </c>
      <c r="F160" s="7" t="s">
        <v>136</v>
      </c>
      <c r="G160" s="16" t="n">
        <v>1</v>
      </c>
      <c r="H160" s="7" t="s">
        <v>672</v>
      </c>
      <c r="I160" s="22" t="n">
        <v>29152.32</v>
      </c>
      <c r="J160" s="22" t="n">
        <v>29152.32</v>
      </c>
      <c r="K160" s="8" t="n">
        <v>29152.32</v>
      </c>
      <c r="L160" s="8" t="n">
        <v>29152.32</v>
      </c>
      <c r="M160" s="7" t="s">
        <v>2839</v>
      </c>
      <c r="N160" s="20" t="n">
        <v>46042</v>
      </c>
      <c r="O160" s="7" t="s">
        <v>2883</v>
      </c>
      <c r="P160" s="7"/>
    </row>
    <row r="161" customFormat="false" ht="15" hidden="false" customHeight="false" outlineLevel="0" collapsed="false">
      <c r="A161" s="7" t="s">
        <v>137</v>
      </c>
      <c r="B161" s="20" t="n">
        <v>46265</v>
      </c>
      <c r="C161" s="7" t="s">
        <v>2881</v>
      </c>
      <c r="D161" s="7" t="s">
        <v>2882</v>
      </c>
      <c r="E161" s="7" t="s">
        <v>2838</v>
      </c>
      <c r="F161" s="7" t="s">
        <v>136</v>
      </c>
      <c r="G161" s="16" t="n">
        <v>1</v>
      </c>
      <c r="H161" s="7" t="s">
        <v>672</v>
      </c>
      <c r="I161" s="22" t="n">
        <v>30669.6</v>
      </c>
      <c r="J161" s="22" t="n">
        <v>30669.6</v>
      </c>
      <c r="K161" s="8" t="n">
        <v>30669.6</v>
      </c>
      <c r="L161" s="8" t="n">
        <v>30669.6</v>
      </c>
      <c r="M161" s="7" t="s">
        <v>2839</v>
      </c>
      <c r="N161" s="20" t="n">
        <v>46042</v>
      </c>
      <c r="O161" s="7" t="s">
        <v>2883</v>
      </c>
      <c r="P161" s="7"/>
    </row>
    <row r="162" customFormat="false" ht="15" hidden="false" customHeight="false" outlineLevel="0" collapsed="false">
      <c r="A162" s="7" t="s">
        <v>137</v>
      </c>
      <c r="B162" s="20" t="n">
        <v>46295</v>
      </c>
      <c r="C162" s="7" t="s">
        <v>2881</v>
      </c>
      <c r="D162" s="7" t="s">
        <v>2882</v>
      </c>
      <c r="E162" s="7" t="s">
        <v>2838</v>
      </c>
      <c r="F162" s="7" t="s">
        <v>136</v>
      </c>
      <c r="G162" s="16" t="n">
        <v>1</v>
      </c>
      <c r="H162" s="7" t="s">
        <v>672</v>
      </c>
      <c r="I162" s="22" t="n">
        <v>30800.4</v>
      </c>
      <c r="J162" s="22" t="n">
        <v>30800.4</v>
      </c>
      <c r="K162" s="8" t="n">
        <v>30800.4</v>
      </c>
      <c r="L162" s="8" t="n">
        <v>30800.4</v>
      </c>
      <c r="M162" s="7" t="s">
        <v>2839</v>
      </c>
      <c r="N162" s="20" t="n">
        <v>46042</v>
      </c>
      <c r="O162" s="7" t="s">
        <v>2883</v>
      </c>
      <c r="P162" s="7"/>
    </row>
  </sheetData>
  <autoFilter ref="A1:P1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59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7" min="6" style="0" width="15"/>
    <col collapsed="false" customWidth="true" hidden="false" outlineLevel="0" max="8" min="8" style="0" width="23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3" min="13" style="0" width="25"/>
    <col collapsed="false" customWidth="true" hidden="false" outlineLevel="0" max="14" min="14" style="0" width="21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25"/>
    <col collapsed="false" customWidth="true" hidden="false" outlineLevel="0" max="18" min="18" style="0" width="13"/>
    <col collapsed="false" customWidth="true" hidden="false" outlineLevel="0" max="21" min="19" style="0" width="14"/>
    <col collapsed="false" customWidth="true" hidden="false" outlineLevel="0" max="22" min="22" style="0" width="18"/>
    <col collapsed="false" customWidth="true" hidden="false" outlineLevel="0" max="23" min="23" style="0" width="39"/>
    <col collapsed="false" customWidth="true" hidden="false" outlineLevel="0" max="24" min="24" style="0" width="53"/>
    <col collapsed="false" customWidth="true" hidden="false" outlineLevel="0" max="25" min="25" style="0" width="15"/>
    <col collapsed="false" customWidth="true" hidden="false" outlineLevel="0" max="26" min="26" style="0" width="19"/>
    <col collapsed="false" customWidth="true" hidden="false" outlineLevel="0" max="27" min="27" style="0" width="10"/>
    <col collapsed="false" customWidth="true" hidden="false" outlineLevel="0" max="28" min="28" style="0" width="12"/>
  </cols>
  <sheetData>
    <row r="1" customFormat="false" ht="15" hidden="false" customHeight="false" outlineLevel="0" collapsed="false">
      <c r="A1" s="11" t="s">
        <v>737</v>
      </c>
      <c r="B1" s="11" t="s">
        <v>131</v>
      </c>
      <c r="C1" s="11" t="s">
        <v>536</v>
      </c>
      <c r="D1" s="11" t="s">
        <v>50</v>
      </c>
      <c r="E1" s="11" t="s">
        <v>2884</v>
      </c>
      <c r="F1" s="11" t="s">
        <v>2885</v>
      </c>
      <c r="G1" s="11" t="s">
        <v>2886</v>
      </c>
      <c r="H1" s="11" t="s">
        <v>2887</v>
      </c>
      <c r="I1" s="11" t="s">
        <v>738</v>
      </c>
      <c r="J1" s="11" t="s">
        <v>2888</v>
      </c>
      <c r="K1" s="11" t="s">
        <v>2889</v>
      </c>
      <c r="L1" s="11" t="s">
        <v>2890</v>
      </c>
      <c r="M1" s="11" t="s">
        <v>2891</v>
      </c>
      <c r="N1" s="11" t="s">
        <v>2892</v>
      </c>
      <c r="O1" s="11" t="s">
        <v>2893</v>
      </c>
      <c r="P1" s="11" t="s">
        <v>2894</v>
      </c>
      <c r="Q1" s="11" t="s">
        <v>2895</v>
      </c>
      <c r="R1" s="11" t="s">
        <v>2896</v>
      </c>
      <c r="S1" s="11" t="s">
        <v>2897</v>
      </c>
      <c r="T1" s="11" t="s">
        <v>2898</v>
      </c>
      <c r="U1" s="11" t="s">
        <v>2899</v>
      </c>
      <c r="V1" s="11" t="s">
        <v>2900</v>
      </c>
      <c r="W1" s="11" t="s">
        <v>2901</v>
      </c>
      <c r="X1" s="11" t="s">
        <v>2902</v>
      </c>
      <c r="Y1" s="11" t="s">
        <v>2903</v>
      </c>
      <c r="Z1" s="11" t="s">
        <v>2904</v>
      </c>
      <c r="AA1" s="11" t="s">
        <v>135</v>
      </c>
      <c r="AB1" s="11" t="s">
        <v>2679</v>
      </c>
    </row>
    <row r="2" customFormat="false" ht="15" hidden="false" customHeight="false" outlineLevel="0" collapsed="false">
      <c r="A2" s="7" t="s">
        <v>2905</v>
      </c>
      <c r="B2" s="7" t="s">
        <v>137</v>
      </c>
      <c r="C2" s="7" t="s">
        <v>2906</v>
      </c>
      <c r="D2" s="7" t="s">
        <v>2907</v>
      </c>
      <c r="E2" s="7" t="s">
        <v>2908</v>
      </c>
      <c r="F2" s="20" t="n">
        <v>39508</v>
      </c>
      <c r="G2" s="8" t="n">
        <v>264000</v>
      </c>
      <c r="H2" s="7" t="s">
        <v>2909</v>
      </c>
      <c r="I2" s="7"/>
      <c r="J2" s="8" t="n">
        <v>0</v>
      </c>
      <c r="K2" s="16"/>
      <c r="L2" s="8" t="n">
        <v>0</v>
      </c>
      <c r="M2" s="7" t="s">
        <v>2910</v>
      </c>
      <c r="N2" s="8" t="n">
        <v>0</v>
      </c>
      <c r="O2" s="8" t="n">
        <v>0</v>
      </c>
      <c r="P2" s="8" t="n">
        <v>264000</v>
      </c>
      <c r="Q2" s="8" t="n">
        <v>595070.27027027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7"/>
      <c r="X2" s="7"/>
      <c r="Y2" s="20"/>
      <c r="Z2" s="8"/>
      <c r="AA2" s="7"/>
      <c r="AB2" s="7" t="s">
        <v>2911</v>
      </c>
    </row>
    <row r="3" customFormat="false" ht="15" hidden="false" customHeight="false" outlineLevel="0" collapsed="false">
      <c r="A3" s="7" t="s">
        <v>2912</v>
      </c>
      <c r="B3" s="7" t="s">
        <v>137</v>
      </c>
      <c r="C3" s="7" t="s">
        <v>2913</v>
      </c>
      <c r="D3" s="7" t="s">
        <v>2907</v>
      </c>
      <c r="E3" s="7" t="s">
        <v>2908</v>
      </c>
      <c r="F3" s="20" t="n">
        <v>43539</v>
      </c>
      <c r="G3" s="8" t="n">
        <v>546000</v>
      </c>
      <c r="H3" s="7" t="s">
        <v>2914</v>
      </c>
      <c r="I3" s="7" t="s">
        <v>1265</v>
      </c>
      <c r="J3" s="8" t="n">
        <v>311438.01</v>
      </c>
      <c r="K3" s="16"/>
      <c r="L3" s="8" t="n">
        <v>0</v>
      </c>
      <c r="M3" s="7" t="s">
        <v>2910</v>
      </c>
      <c r="N3" s="8" t="n">
        <v>0</v>
      </c>
      <c r="O3" s="8" t="n">
        <v>0</v>
      </c>
      <c r="P3" s="8" t="n">
        <v>546000</v>
      </c>
      <c r="Q3" s="8" t="n">
        <v>1230713.51351351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7"/>
      <c r="X3" s="7"/>
      <c r="Y3" s="20"/>
      <c r="Z3" s="8"/>
      <c r="AA3" s="7"/>
      <c r="AB3" s="7" t="s">
        <v>2911</v>
      </c>
    </row>
    <row r="4" customFormat="false" ht="15" hidden="false" customHeight="false" outlineLevel="0" collapsed="false">
      <c r="A4" s="7" t="s">
        <v>2915</v>
      </c>
      <c r="B4" s="7" t="s">
        <v>137</v>
      </c>
      <c r="C4" s="7" t="s">
        <v>2916</v>
      </c>
      <c r="D4" s="7" t="s">
        <v>2907</v>
      </c>
      <c r="E4" s="7" t="s">
        <v>2917</v>
      </c>
      <c r="F4" s="20" t="n">
        <v>42979</v>
      </c>
      <c r="G4" s="8" t="n">
        <v>115000</v>
      </c>
      <c r="H4" s="7" t="s">
        <v>2909</v>
      </c>
      <c r="I4" s="7"/>
      <c r="J4" s="8" t="n">
        <v>0</v>
      </c>
      <c r="K4" s="16"/>
      <c r="L4" s="8" t="n">
        <v>0</v>
      </c>
      <c r="M4" s="7" t="s">
        <v>2910</v>
      </c>
      <c r="N4" s="8" t="n">
        <v>0</v>
      </c>
      <c r="O4" s="8" t="n">
        <v>0</v>
      </c>
      <c r="P4" s="8" t="n">
        <v>115000</v>
      </c>
      <c r="Q4" s="8" t="n">
        <v>259216.216216216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7"/>
      <c r="X4" s="7"/>
      <c r="Y4" s="20"/>
      <c r="Z4" s="8"/>
      <c r="AA4" s="7"/>
      <c r="AB4" s="7" t="s">
        <v>2911</v>
      </c>
    </row>
    <row r="5" customFormat="false" ht="15" hidden="false" customHeight="false" outlineLevel="0" collapsed="false">
      <c r="A5" s="7" t="s">
        <v>938</v>
      </c>
      <c r="B5" s="7" t="s">
        <v>137</v>
      </c>
      <c r="C5" s="7" t="s">
        <v>2918</v>
      </c>
      <c r="D5" s="7" t="s">
        <v>2919</v>
      </c>
      <c r="E5" s="7" t="s">
        <v>2920</v>
      </c>
      <c r="F5" s="20" t="n">
        <v>44575</v>
      </c>
      <c r="G5" s="8" t="n">
        <v>298000</v>
      </c>
      <c r="H5" s="7" t="s">
        <v>2921</v>
      </c>
      <c r="I5" s="7" t="s">
        <v>779</v>
      </c>
      <c r="J5" s="8" t="n">
        <v>123089.46</v>
      </c>
      <c r="K5" s="16" t="n">
        <v>12</v>
      </c>
      <c r="L5" s="8" t="n">
        <v>100000</v>
      </c>
      <c r="M5" s="7" t="s">
        <v>2922</v>
      </c>
      <c r="N5" s="8" t="n">
        <v>16500</v>
      </c>
      <c r="O5" s="8" t="n">
        <v>78375</v>
      </c>
      <c r="P5" s="8" t="n">
        <v>219625</v>
      </c>
      <c r="Q5" s="8" t="n">
        <v>191100</v>
      </c>
      <c r="R5" s="8" t="n">
        <v>25330.4</v>
      </c>
      <c r="S5" s="8" t="n">
        <v>20101</v>
      </c>
      <c r="T5" s="8" t="n">
        <v>25380.56</v>
      </c>
      <c r="U5" s="8" t="n">
        <v>38495.04</v>
      </c>
      <c r="V5" s="8" t="n">
        <v>25330.4</v>
      </c>
      <c r="W5" s="7" t="s">
        <v>2923</v>
      </c>
      <c r="X5" s="7" t="s">
        <v>2924</v>
      </c>
      <c r="Y5" s="20"/>
      <c r="Z5" s="8"/>
      <c r="AA5" s="7"/>
      <c r="AB5" s="7" t="s">
        <v>2911</v>
      </c>
    </row>
    <row r="6" customFormat="false" ht="15" hidden="false" customHeight="false" outlineLevel="0" collapsed="false">
      <c r="A6" s="7" t="s">
        <v>2925</v>
      </c>
      <c r="B6" s="7" t="s">
        <v>137</v>
      </c>
      <c r="C6" s="7" t="s">
        <v>2926</v>
      </c>
      <c r="D6" s="7" t="s">
        <v>2919</v>
      </c>
      <c r="E6" s="7" t="s">
        <v>2927</v>
      </c>
      <c r="F6" s="20" t="n">
        <v>44575</v>
      </c>
      <c r="G6" s="8" t="n">
        <v>64000</v>
      </c>
      <c r="H6" s="7" t="s">
        <v>2921</v>
      </c>
      <c r="I6" s="7" t="s">
        <v>779</v>
      </c>
      <c r="J6" s="8" t="n">
        <v>123089.46</v>
      </c>
      <c r="K6" s="16" t="n">
        <v>12</v>
      </c>
      <c r="L6" s="8" t="n">
        <v>15000</v>
      </c>
      <c r="M6" s="7" t="s">
        <v>2922</v>
      </c>
      <c r="N6" s="8" t="n">
        <v>4083.33</v>
      </c>
      <c r="O6" s="8" t="n">
        <v>19395.83</v>
      </c>
      <c r="P6" s="8" t="n">
        <v>44604.17</v>
      </c>
      <c r="Q6" s="8" t="n">
        <v>43200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7"/>
      <c r="X6" s="7"/>
      <c r="Y6" s="20"/>
      <c r="Z6" s="8"/>
      <c r="AA6" s="7"/>
      <c r="AB6" s="7" t="s">
        <v>2911</v>
      </c>
    </row>
    <row r="7" customFormat="false" ht="15" hidden="false" customHeight="false" outlineLevel="0" collapsed="false">
      <c r="A7" s="7" t="s">
        <v>2928</v>
      </c>
      <c r="B7" s="7" t="s">
        <v>137</v>
      </c>
      <c r="C7" s="7" t="s">
        <v>2929</v>
      </c>
      <c r="D7" s="7" t="s">
        <v>2919</v>
      </c>
      <c r="E7" s="7" t="s">
        <v>2930</v>
      </c>
      <c r="F7" s="20" t="n">
        <v>44349</v>
      </c>
      <c r="G7" s="8" t="n">
        <v>52000</v>
      </c>
      <c r="H7" s="7" t="s">
        <v>2909</v>
      </c>
      <c r="I7" s="7"/>
      <c r="J7" s="8" t="n">
        <v>0</v>
      </c>
      <c r="K7" s="16" t="n">
        <v>12</v>
      </c>
      <c r="L7" s="8" t="n">
        <v>12000</v>
      </c>
      <c r="M7" s="7" t="s">
        <v>2922</v>
      </c>
      <c r="N7" s="8" t="n">
        <v>3333.33</v>
      </c>
      <c r="O7" s="8" t="n">
        <v>17777.78</v>
      </c>
      <c r="P7" s="8" t="n">
        <v>34222.22</v>
      </c>
      <c r="Q7" s="8" t="n">
        <v>33300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7"/>
      <c r="X7" s="7"/>
      <c r="Y7" s="20"/>
      <c r="Z7" s="8"/>
      <c r="AA7" s="7"/>
      <c r="AB7" s="7" t="s">
        <v>2911</v>
      </c>
    </row>
    <row r="8" customFormat="false" ht="15" hidden="false" customHeight="false" outlineLevel="0" collapsed="false">
      <c r="A8" s="7" t="s">
        <v>1864</v>
      </c>
      <c r="B8" s="7" t="s">
        <v>137</v>
      </c>
      <c r="C8" s="7" t="s">
        <v>2931</v>
      </c>
      <c r="D8" s="7" t="s">
        <v>2919</v>
      </c>
      <c r="E8" s="7" t="s">
        <v>2932</v>
      </c>
      <c r="F8" s="20" t="n">
        <v>45723</v>
      </c>
      <c r="G8" s="8" t="n">
        <v>268500</v>
      </c>
      <c r="H8" s="7" t="s">
        <v>2933</v>
      </c>
      <c r="I8" s="7" t="s">
        <v>1860</v>
      </c>
      <c r="J8" s="8" t="n">
        <v>142216.85</v>
      </c>
      <c r="K8" s="16" t="n">
        <v>12</v>
      </c>
      <c r="L8" s="8" t="n">
        <v>100000</v>
      </c>
      <c r="M8" s="7" t="s">
        <v>2922</v>
      </c>
      <c r="N8" s="8" t="n">
        <v>14041.67</v>
      </c>
      <c r="O8" s="8" t="n">
        <v>22232.64</v>
      </c>
      <c r="P8" s="8" t="n">
        <v>246267.36</v>
      </c>
      <c r="Q8" s="8" t="n">
        <v>239700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7" t="s">
        <v>2934</v>
      </c>
      <c r="X8" s="7"/>
      <c r="Y8" s="20"/>
      <c r="Z8" s="8"/>
      <c r="AA8" s="7"/>
      <c r="AB8" s="7" t="s">
        <v>2911</v>
      </c>
    </row>
    <row r="9" customFormat="false" ht="15" hidden="false" customHeight="false" outlineLevel="0" collapsed="false">
      <c r="A9" s="7" t="s">
        <v>1868</v>
      </c>
      <c r="B9" s="7" t="s">
        <v>137</v>
      </c>
      <c r="C9" s="7" t="s">
        <v>2935</v>
      </c>
      <c r="D9" s="7" t="s">
        <v>2919</v>
      </c>
      <c r="E9" s="7" t="s">
        <v>2936</v>
      </c>
      <c r="F9" s="20" t="n">
        <v>41680</v>
      </c>
      <c r="G9" s="8" t="n">
        <v>168000</v>
      </c>
      <c r="H9" s="7" t="s">
        <v>2909</v>
      </c>
      <c r="I9" s="7"/>
      <c r="J9" s="8" t="n">
        <v>0</v>
      </c>
      <c r="K9" s="16" t="n">
        <v>12</v>
      </c>
      <c r="L9" s="8" t="n">
        <v>40000</v>
      </c>
      <c r="M9" s="7" t="s">
        <v>2922</v>
      </c>
      <c r="N9" s="8" t="n">
        <v>10666.67</v>
      </c>
      <c r="O9" s="8"/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7"/>
      <c r="X9" s="7"/>
      <c r="Y9" s="20" t="n">
        <v>45723</v>
      </c>
      <c r="Z9" s="8" t="n">
        <v>58000</v>
      </c>
      <c r="AA9" s="7"/>
      <c r="AB9" s="7" t="s">
        <v>2937</v>
      </c>
    </row>
    <row r="10" customFormat="false" ht="15" hidden="false" customHeight="false" outlineLevel="0" collapsed="false">
      <c r="A10" s="7" t="s">
        <v>2938</v>
      </c>
      <c r="B10" s="7" t="s">
        <v>137</v>
      </c>
      <c r="C10" s="7" t="s">
        <v>2939</v>
      </c>
      <c r="D10" s="7" t="s">
        <v>2919</v>
      </c>
      <c r="E10" s="7" t="s">
        <v>2940</v>
      </c>
      <c r="F10" s="20" t="n">
        <v>43516</v>
      </c>
      <c r="G10" s="8" t="n">
        <v>62000</v>
      </c>
      <c r="H10" s="7" t="s">
        <v>2909</v>
      </c>
      <c r="I10" s="7"/>
      <c r="J10" s="8" t="n">
        <v>0</v>
      </c>
      <c r="K10" s="16" t="n">
        <v>12</v>
      </c>
      <c r="L10" s="8" t="n">
        <v>12000</v>
      </c>
      <c r="M10" s="7" t="s">
        <v>2922</v>
      </c>
      <c r="N10" s="8" t="n">
        <v>4166.67</v>
      </c>
      <c r="O10" s="8" t="n">
        <v>31944.44</v>
      </c>
      <c r="P10" s="8" t="n">
        <v>30055.56</v>
      </c>
      <c r="Q10" s="8" t="n">
        <v>32900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7"/>
      <c r="X10" s="7"/>
      <c r="Y10" s="20"/>
      <c r="Z10" s="8"/>
      <c r="AA10" s="7"/>
      <c r="AB10" s="7" t="s">
        <v>2911</v>
      </c>
    </row>
    <row r="11" customFormat="false" ht="15" hidden="false" customHeight="false" outlineLevel="0" collapsed="false">
      <c r="A11" s="7" t="s">
        <v>2941</v>
      </c>
      <c r="B11" s="7" t="s">
        <v>137</v>
      </c>
      <c r="C11" s="7" t="s">
        <v>2942</v>
      </c>
      <c r="D11" s="7" t="s">
        <v>2919</v>
      </c>
      <c r="E11" s="7" t="s">
        <v>2943</v>
      </c>
      <c r="F11" s="20" t="n">
        <v>42231</v>
      </c>
      <c r="G11" s="8" t="n">
        <v>21000</v>
      </c>
      <c r="H11" s="7" t="s">
        <v>2909</v>
      </c>
      <c r="I11" s="7"/>
      <c r="J11" s="8" t="n">
        <v>0</v>
      </c>
      <c r="K11" s="16" t="n">
        <v>15</v>
      </c>
      <c r="L11" s="8" t="n">
        <v>4000</v>
      </c>
      <c r="M11" s="7" t="s">
        <v>2922</v>
      </c>
      <c r="N11" s="8" t="n">
        <v>1133.33</v>
      </c>
      <c r="O11" s="8" t="n">
        <v>12655.56</v>
      </c>
      <c r="P11" s="8" t="n">
        <v>8344.44</v>
      </c>
      <c r="Q11" s="8" t="n">
        <v>9400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7"/>
      <c r="X11" s="7"/>
      <c r="Y11" s="20"/>
      <c r="Z11" s="8"/>
      <c r="AA11" s="7"/>
      <c r="AB11" s="7" t="s">
        <v>2911</v>
      </c>
    </row>
    <row r="12" customFormat="false" ht="15" hidden="false" customHeight="false" outlineLevel="0" collapsed="false">
      <c r="A12" s="7" t="s">
        <v>2944</v>
      </c>
      <c r="B12" s="7" t="s">
        <v>137</v>
      </c>
      <c r="C12" s="7" t="s">
        <v>2945</v>
      </c>
      <c r="D12" s="7" t="s">
        <v>2919</v>
      </c>
      <c r="E12" s="7" t="s">
        <v>2946</v>
      </c>
      <c r="F12" s="20" t="n">
        <v>43891</v>
      </c>
      <c r="G12" s="8" t="n">
        <v>34500</v>
      </c>
      <c r="H12" s="7" t="s">
        <v>2909</v>
      </c>
      <c r="I12" s="7"/>
      <c r="J12" s="8" t="n">
        <v>0</v>
      </c>
      <c r="K12" s="16" t="n">
        <v>12</v>
      </c>
      <c r="L12" s="8" t="n">
        <v>6000</v>
      </c>
      <c r="M12" s="7" t="s">
        <v>2922</v>
      </c>
      <c r="N12" s="8" t="n">
        <v>2375</v>
      </c>
      <c r="O12" s="8" t="n">
        <v>15635.42</v>
      </c>
      <c r="P12" s="8" t="n">
        <v>18864.58</v>
      </c>
      <c r="Q12" s="8" t="n">
        <v>18500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7"/>
      <c r="X12" s="7"/>
      <c r="Y12" s="20"/>
      <c r="Z12" s="8"/>
      <c r="AA12" s="7"/>
      <c r="AB12" s="7" t="s">
        <v>2911</v>
      </c>
    </row>
    <row r="13" customFormat="false" ht="15" hidden="false" customHeight="false" outlineLevel="0" collapsed="false">
      <c r="A13" s="7" t="s">
        <v>2947</v>
      </c>
      <c r="B13" s="7" t="s">
        <v>137</v>
      </c>
      <c r="C13" s="7" t="s">
        <v>2948</v>
      </c>
      <c r="D13" s="7" t="s">
        <v>2919</v>
      </c>
      <c r="E13" s="7" t="s">
        <v>2949</v>
      </c>
      <c r="F13" s="20" t="n">
        <v>44378</v>
      </c>
      <c r="G13" s="8" t="n">
        <v>47800</v>
      </c>
      <c r="H13" s="7" t="s">
        <v>2909</v>
      </c>
      <c r="I13" s="7"/>
      <c r="J13" s="8" t="n">
        <v>0</v>
      </c>
      <c r="K13" s="16" t="n">
        <v>15</v>
      </c>
      <c r="L13" s="8" t="n">
        <v>12000</v>
      </c>
      <c r="M13" s="7" t="s">
        <v>2922</v>
      </c>
      <c r="N13" s="8" t="n">
        <v>2386.67</v>
      </c>
      <c r="O13" s="8" t="n">
        <v>12530</v>
      </c>
      <c r="P13" s="8" t="n">
        <v>35270</v>
      </c>
      <c r="Q13" s="8" t="n">
        <v>34500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7"/>
      <c r="X13" s="7"/>
      <c r="Y13" s="20"/>
      <c r="Z13" s="8"/>
      <c r="AA13" s="7"/>
      <c r="AB13" s="7" t="s">
        <v>2911</v>
      </c>
    </row>
    <row r="14" customFormat="false" ht="15" hidden="false" customHeight="false" outlineLevel="0" collapsed="false">
      <c r="A14" s="7" t="s">
        <v>1588</v>
      </c>
      <c r="B14" s="7" t="s">
        <v>137</v>
      </c>
      <c r="C14" s="7" t="s">
        <v>2950</v>
      </c>
      <c r="D14" s="7" t="s">
        <v>241</v>
      </c>
      <c r="E14" s="7" t="s">
        <v>2951</v>
      </c>
      <c r="F14" s="20" t="n">
        <v>41030</v>
      </c>
      <c r="G14" s="8" t="n">
        <v>28000</v>
      </c>
      <c r="H14" s="7" t="s">
        <v>2909</v>
      </c>
      <c r="I14" s="7"/>
      <c r="J14" s="8" t="n">
        <v>0</v>
      </c>
      <c r="K14" s="16" t="n">
        <v>10</v>
      </c>
      <c r="L14" s="8" t="n">
        <v>5000</v>
      </c>
      <c r="M14" s="7" t="s">
        <v>2922</v>
      </c>
      <c r="N14" s="8" t="n">
        <v>2300</v>
      </c>
      <c r="O14" s="8"/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7"/>
      <c r="X14" s="7"/>
      <c r="Y14" s="20" t="n">
        <v>45547</v>
      </c>
      <c r="Z14" s="8" t="n">
        <v>14500</v>
      </c>
      <c r="AA14" s="7"/>
      <c r="AB14" s="7" t="s">
        <v>2937</v>
      </c>
    </row>
    <row r="15" customFormat="false" ht="15" hidden="false" customHeight="false" outlineLevel="0" collapsed="false">
      <c r="A15" s="7" t="s">
        <v>1561</v>
      </c>
      <c r="B15" s="7" t="s">
        <v>137</v>
      </c>
      <c r="C15" s="7" t="s">
        <v>2952</v>
      </c>
      <c r="D15" s="7" t="s">
        <v>241</v>
      </c>
      <c r="E15" s="7" t="s">
        <v>2953</v>
      </c>
      <c r="F15" s="20" t="n">
        <v>45520</v>
      </c>
      <c r="G15" s="8" t="n">
        <v>98500</v>
      </c>
      <c r="H15" s="7" t="s">
        <v>2954</v>
      </c>
      <c r="I15" s="7" t="s">
        <v>1552</v>
      </c>
      <c r="J15" s="8" t="n">
        <v>37098.41</v>
      </c>
      <c r="K15" s="16" t="n">
        <v>10</v>
      </c>
      <c r="L15" s="8" t="n">
        <v>35000</v>
      </c>
      <c r="M15" s="7" t="s">
        <v>2922</v>
      </c>
      <c r="N15" s="8" t="n">
        <v>6350</v>
      </c>
      <c r="O15" s="8" t="n">
        <v>13758.33</v>
      </c>
      <c r="P15" s="8" t="n">
        <v>84741.67</v>
      </c>
      <c r="Q15" s="8" t="n">
        <v>82500</v>
      </c>
      <c r="R15" s="8" t="n">
        <v>2673.46</v>
      </c>
      <c r="S15" s="8" t="n">
        <v>0</v>
      </c>
      <c r="T15" s="8" t="n">
        <v>1697.32</v>
      </c>
      <c r="U15" s="8" t="n">
        <v>2433.91</v>
      </c>
      <c r="V15" s="8" t="n">
        <v>1574.36</v>
      </c>
      <c r="W15" s="7" t="s">
        <v>2955</v>
      </c>
      <c r="X15" s="7"/>
      <c r="Y15" s="20"/>
      <c r="Z15" s="8"/>
      <c r="AA15" s="7"/>
      <c r="AB15" s="7" t="s">
        <v>2911</v>
      </c>
    </row>
    <row r="16" customFormat="false" ht="15" hidden="false" customHeight="false" outlineLevel="0" collapsed="false">
      <c r="A16" s="7" t="s">
        <v>2956</v>
      </c>
      <c r="B16" s="7" t="s">
        <v>137</v>
      </c>
      <c r="C16" s="7" t="s">
        <v>2957</v>
      </c>
      <c r="D16" s="7" t="s">
        <v>2958</v>
      </c>
      <c r="E16" s="7" t="s">
        <v>2959</v>
      </c>
      <c r="F16" s="20" t="n">
        <v>42095</v>
      </c>
      <c r="G16" s="8" t="n">
        <v>142000</v>
      </c>
      <c r="H16" s="7" t="s">
        <v>2909</v>
      </c>
      <c r="I16" s="7"/>
      <c r="J16" s="8" t="n">
        <v>0</v>
      </c>
      <c r="K16" s="16" t="n">
        <v>25</v>
      </c>
      <c r="L16" s="8" t="n">
        <v>10000</v>
      </c>
      <c r="M16" s="7" t="s">
        <v>2922</v>
      </c>
      <c r="N16" s="8" t="n">
        <v>5280</v>
      </c>
      <c r="O16" s="8" t="n">
        <v>60720</v>
      </c>
      <c r="P16" s="8" t="n">
        <v>81280</v>
      </c>
      <c r="Q16" s="8" t="n">
        <v>88800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7"/>
      <c r="X16" s="7"/>
      <c r="Y16" s="20"/>
      <c r="Z16" s="8"/>
      <c r="AA16" s="7"/>
      <c r="AB16" s="7" t="s">
        <v>2911</v>
      </c>
    </row>
    <row r="17" customFormat="false" ht="15" hidden="false" customHeight="false" outlineLevel="0" collapsed="false">
      <c r="A17" s="7" t="s">
        <v>2960</v>
      </c>
      <c r="B17" s="7" t="s">
        <v>137</v>
      </c>
      <c r="C17" s="7" t="s">
        <v>2961</v>
      </c>
      <c r="D17" s="7" t="s">
        <v>2958</v>
      </c>
      <c r="E17" s="7" t="s">
        <v>2962</v>
      </c>
      <c r="F17" s="20" t="n">
        <v>41122</v>
      </c>
      <c r="G17" s="8" t="n">
        <v>165000</v>
      </c>
      <c r="H17" s="7" t="s">
        <v>2909</v>
      </c>
      <c r="I17" s="7"/>
      <c r="J17" s="8" t="n">
        <v>0</v>
      </c>
      <c r="K17" s="16" t="n">
        <v>25</v>
      </c>
      <c r="L17" s="8" t="n">
        <v>15000</v>
      </c>
      <c r="M17" s="7" t="s">
        <v>2922</v>
      </c>
      <c r="N17" s="8" t="n">
        <v>6000</v>
      </c>
      <c r="O17" s="8" t="n">
        <v>85000</v>
      </c>
      <c r="P17" s="8" t="n">
        <v>80000</v>
      </c>
      <c r="Q17" s="8" t="n">
        <v>92600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7"/>
      <c r="X17" s="7"/>
      <c r="Y17" s="20"/>
      <c r="Z17" s="8"/>
      <c r="AA17" s="7"/>
      <c r="AB17" s="7" t="s">
        <v>2911</v>
      </c>
    </row>
    <row r="18" customFormat="false" ht="15" hidden="false" customHeight="false" outlineLevel="0" collapsed="false">
      <c r="A18" s="7" t="s">
        <v>2963</v>
      </c>
      <c r="B18" s="7" t="s">
        <v>137</v>
      </c>
      <c r="C18" s="7" t="s">
        <v>2964</v>
      </c>
      <c r="D18" s="7" t="s">
        <v>2958</v>
      </c>
      <c r="E18" s="7" t="s">
        <v>2908</v>
      </c>
      <c r="F18" s="20" t="n">
        <v>40330</v>
      </c>
      <c r="G18" s="8" t="n">
        <v>118000</v>
      </c>
      <c r="H18" s="7" t="s">
        <v>2909</v>
      </c>
      <c r="I18" s="7"/>
      <c r="J18" s="8" t="n">
        <v>0</v>
      </c>
      <c r="K18" s="16" t="n">
        <v>30</v>
      </c>
      <c r="L18" s="8" t="n">
        <v>0</v>
      </c>
      <c r="M18" s="7" t="s">
        <v>2922</v>
      </c>
      <c r="N18" s="8" t="n">
        <v>3933.33</v>
      </c>
      <c r="O18" s="8" t="n">
        <v>64244.44</v>
      </c>
      <c r="P18" s="8" t="n">
        <v>53755.56</v>
      </c>
      <c r="Q18" s="8" t="n">
        <v>71800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7"/>
      <c r="X18" s="7"/>
      <c r="Y18" s="20"/>
      <c r="Z18" s="8"/>
      <c r="AA18" s="7"/>
      <c r="AB18" s="7" t="s">
        <v>2911</v>
      </c>
    </row>
    <row r="19" customFormat="false" ht="15" hidden="false" customHeight="false" outlineLevel="0" collapsed="false">
      <c r="A19" s="7" t="s">
        <v>2965</v>
      </c>
      <c r="B19" s="7" t="s">
        <v>137</v>
      </c>
      <c r="C19" s="7" t="s">
        <v>2966</v>
      </c>
      <c r="D19" s="7" t="s">
        <v>241</v>
      </c>
      <c r="E19" s="7" t="s">
        <v>2908</v>
      </c>
      <c r="F19" s="20" t="n">
        <v>44357</v>
      </c>
      <c r="G19" s="8" t="n">
        <v>61500</v>
      </c>
      <c r="H19" s="7" t="s">
        <v>2967</v>
      </c>
      <c r="I19" s="7" t="s">
        <v>769</v>
      </c>
      <c r="J19" s="8" t="n">
        <v>0</v>
      </c>
      <c r="K19" s="16" t="n">
        <v>8</v>
      </c>
      <c r="L19" s="8" t="n">
        <v>20000</v>
      </c>
      <c r="M19" s="7" t="s">
        <v>2922</v>
      </c>
      <c r="N19" s="8" t="n">
        <v>5187.5</v>
      </c>
      <c r="O19" s="8" t="n">
        <v>27666.67</v>
      </c>
      <c r="P19" s="8" t="n">
        <v>33833.33</v>
      </c>
      <c r="Q19" s="8" t="n">
        <v>35200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7"/>
      <c r="X19" s="7"/>
      <c r="Y19" s="20"/>
      <c r="Z19" s="8"/>
      <c r="AA19" s="7"/>
      <c r="AB19" s="7" t="s">
        <v>2911</v>
      </c>
    </row>
    <row r="20" customFormat="false" ht="15" hidden="false" customHeight="false" outlineLevel="0" collapsed="false">
      <c r="A20" s="7" t="s">
        <v>2968</v>
      </c>
      <c r="B20" s="7" t="s">
        <v>137</v>
      </c>
      <c r="C20" s="7" t="s">
        <v>2969</v>
      </c>
      <c r="D20" s="7" t="s">
        <v>2919</v>
      </c>
      <c r="E20" s="7" t="s">
        <v>2932</v>
      </c>
      <c r="F20" s="20" t="n">
        <v>42430</v>
      </c>
      <c r="G20" s="8" t="n">
        <v>38000</v>
      </c>
      <c r="H20" s="7" t="s">
        <v>2909</v>
      </c>
      <c r="I20" s="7"/>
      <c r="J20" s="8" t="n">
        <v>0</v>
      </c>
      <c r="K20" s="16" t="n">
        <v>15</v>
      </c>
      <c r="L20" s="8" t="n">
        <v>5000</v>
      </c>
      <c r="M20" s="7" t="s">
        <v>2922</v>
      </c>
      <c r="N20" s="8" t="n">
        <v>2200</v>
      </c>
      <c r="O20" s="8" t="n">
        <v>23283.33</v>
      </c>
      <c r="P20" s="8" t="n">
        <v>14716.67</v>
      </c>
      <c r="Q20" s="8" t="n">
        <v>17600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7"/>
      <c r="X20" s="7"/>
      <c r="Y20" s="20"/>
      <c r="Z20" s="8"/>
      <c r="AA20" s="7"/>
      <c r="AB20" s="7" t="s">
        <v>2911</v>
      </c>
    </row>
  </sheetData>
  <autoFilter ref="A1:AB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1" t="s">
        <v>131</v>
      </c>
      <c r="B1" s="11" t="s">
        <v>737</v>
      </c>
      <c r="C1" s="11" t="s">
        <v>130</v>
      </c>
      <c r="D1" s="11" t="s">
        <v>213</v>
      </c>
      <c r="E1" s="11" t="s">
        <v>204</v>
      </c>
    </row>
    <row r="2" customFormat="false" ht="15" hidden="false" customHeight="false" outlineLevel="0" collapsed="false">
      <c r="A2" s="7" t="s">
        <v>137</v>
      </c>
      <c r="B2" s="7" t="s">
        <v>938</v>
      </c>
      <c r="C2" s="7" t="s">
        <v>141</v>
      </c>
      <c r="D2" s="16" t="n">
        <v>2023</v>
      </c>
      <c r="E2" s="8" t="n">
        <v>1155</v>
      </c>
    </row>
    <row r="3" customFormat="false" ht="15" hidden="false" customHeight="false" outlineLevel="0" collapsed="false">
      <c r="A3" s="7" t="s">
        <v>137</v>
      </c>
      <c r="B3" s="7" t="s">
        <v>938</v>
      </c>
      <c r="C3" s="7" t="s">
        <v>141</v>
      </c>
      <c r="D3" s="16" t="n">
        <v>2024</v>
      </c>
      <c r="E3" s="8" t="n">
        <v>1155</v>
      </c>
    </row>
    <row r="4" customFormat="false" ht="15" hidden="false" customHeight="false" outlineLevel="0" collapsed="false">
      <c r="A4" s="7" t="s">
        <v>137</v>
      </c>
      <c r="B4" s="7" t="s">
        <v>938</v>
      </c>
      <c r="C4" s="7" t="s">
        <v>141</v>
      </c>
      <c r="D4" s="16" t="n">
        <v>2025</v>
      </c>
      <c r="E4" s="8" t="n">
        <v>1155</v>
      </c>
    </row>
    <row r="5" customFormat="false" ht="15" hidden="false" customHeight="false" outlineLevel="0" collapsed="false">
      <c r="A5" s="7" t="s">
        <v>137</v>
      </c>
      <c r="B5" s="7" t="s">
        <v>938</v>
      </c>
      <c r="C5" s="7" t="s">
        <v>141</v>
      </c>
      <c r="D5" s="16" t="n">
        <v>2026</v>
      </c>
      <c r="E5" s="8" t="n">
        <v>866.25</v>
      </c>
    </row>
    <row r="6" customFormat="false" ht="15" hidden="false" customHeight="false" outlineLevel="0" collapsed="false">
      <c r="A6" s="7" t="s">
        <v>137</v>
      </c>
      <c r="B6" s="7" t="s">
        <v>938</v>
      </c>
      <c r="C6" s="7" t="s">
        <v>149</v>
      </c>
      <c r="D6" s="16" t="n">
        <v>2023</v>
      </c>
      <c r="E6" s="8" t="n">
        <v>14025</v>
      </c>
    </row>
    <row r="7" customFormat="false" ht="15" hidden="false" customHeight="false" outlineLevel="0" collapsed="false">
      <c r="A7" s="7" t="s">
        <v>137</v>
      </c>
      <c r="B7" s="7" t="s">
        <v>938</v>
      </c>
      <c r="C7" s="7" t="s">
        <v>149</v>
      </c>
      <c r="D7" s="16" t="n">
        <v>2024</v>
      </c>
      <c r="E7" s="8" t="n">
        <v>14025</v>
      </c>
    </row>
    <row r="8" customFormat="false" ht="15" hidden="false" customHeight="false" outlineLevel="0" collapsed="false">
      <c r="A8" s="7" t="s">
        <v>137</v>
      </c>
      <c r="B8" s="7" t="s">
        <v>938</v>
      </c>
      <c r="C8" s="7" t="s">
        <v>149</v>
      </c>
      <c r="D8" s="16" t="n">
        <v>2025</v>
      </c>
      <c r="E8" s="8" t="n">
        <v>14025</v>
      </c>
    </row>
    <row r="9" customFormat="false" ht="15" hidden="false" customHeight="false" outlineLevel="0" collapsed="false">
      <c r="A9" s="7" t="s">
        <v>137</v>
      </c>
      <c r="B9" s="7" t="s">
        <v>938</v>
      </c>
      <c r="C9" s="7" t="s">
        <v>149</v>
      </c>
      <c r="D9" s="16" t="n">
        <v>2026</v>
      </c>
      <c r="E9" s="8" t="n">
        <v>10518.75</v>
      </c>
    </row>
    <row r="10" customFormat="false" ht="15" hidden="false" customHeight="false" outlineLevel="0" collapsed="false">
      <c r="A10" s="7" t="s">
        <v>137</v>
      </c>
      <c r="B10" s="7" t="s">
        <v>938</v>
      </c>
      <c r="C10" s="7" t="s">
        <v>144</v>
      </c>
      <c r="D10" s="16" t="n">
        <v>2023</v>
      </c>
      <c r="E10" s="8" t="n">
        <v>825</v>
      </c>
    </row>
    <row r="11" customFormat="false" ht="15" hidden="false" customHeight="false" outlineLevel="0" collapsed="false">
      <c r="A11" s="7" t="s">
        <v>137</v>
      </c>
      <c r="B11" s="7" t="s">
        <v>938</v>
      </c>
      <c r="C11" s="7" t="s">
        <v>144</v>
      </c>
      <c r="D11" s="16" t="n">
        <v>2024</v>
      </c>
      <c r="E11" s="8" t="n">
        <v>825</v>
      </c>
    </row>
    <row r="12" customFormat="false" ht="15" hidden="false" customHeight="false" outlineLevel="0" collapsed="false">
      <c r="A12" s="7" t="s">
        <v>137</v>
      </c>
      <c r="B12" s="7" t="s">
        <v>938</v>
      </c>
      <c r="C12" s="7" t="s">
        <v>144</v>
      </c>
      <c r="D12" s="16" t="n">
        <v>2025</v>
      </c>
      <c r="E12" s="8" t="n">
        <v>825</v>
      </c>
    </row>
    <row r="13" customFormat="false" ht="15" hidden="false" customHeight="false" outlineLevel="0" collapsed="false">
      <c r="A13" s="7" t="s">
        <v>137</v>
      </c>
      <c r="B13" s="7" t="s">
        <v>938</v>
      </c>
      <c r="C13" s="7" t="s">
        <v>144</v>
      </c>
      <c r="D13" s="16" t="n">
        <v>2026</v>
      </c>
      <c r="E13" s="8" t="n">
        <v>618.75</v>
      </c>
    </row>
    <row r="14" customFormat="false" ht="15" hidden="false" customHeight="false" outlineLevel="0" collapsed="false">
      <c r="A14" s="7" t="s">
        <v>137</v>
      </c>
      <c r="B14" s="7" t="s">
        <v>938</v>
      </c>
      <c r="C14" s="7" t="s">
        <v>146</v>
      </c>
      <c r="D14" s="16" t="n">
        <v>2023</v>
      </c>
      <c r="E14" s="8" t="n">
        <v>495</v>
      </c>
    </row>
    <row r="15" customFormat="false" ht="15" hidden="false" customHeight="false" outlineLevel="0" collapsed="false">
      <c r="A15" s="7" t="s">
        <v>137</v>
      </c>
      <c r="B15" s="7" t="s">
        <v>938</v>
      </c>
      <c r="C15" s="7" t="s">
        <v>146</v>
      </c>
      <c r="D15" s="16" t="n">
        <v>2024</v>
      </c>
      <c r="E15" s="8" t="n">
        <v>495</v>
      </c>
    </row>
    <row r="16" customFormat="false" ht="15" hidden="false" customHeight="false" outlineLevel="0" collapsed="false">
      <c r="A16" s="7" t="s">
        <v>137</v>
      </c>
      <c r="B16" s="7" t="s">
        <v>938</v>
      </c>
      <c r="C16" s="7" t="s">
        <v>146</v>
      </c>
      <c r="D16" s="16" t="n">
        <v>2025</v>
      </c>
      <c r="E16" s="8" t="n">
        <v>495</v>
      </c>
    </row>
    <row r="17" customFormat="false" ht="15" hidden="false" customHeight="false" outlineLevel="0" collapsed="false">
      <c r="A17" s="7" t="s">
        <v>137</v>
      </c>
      <c r="B17" s="7" t="s">
        <v>938</v>
      </c>
      <c r="C17" s="7" t="s">
        <v>146</v>
      </c>
      <c r="D17" s="16" t="n">
        <v>2026</v>
      </c>
      <c r="E17" s="8" t="n">
        <v>371.25</v>
      </c>
    </row>
    <row r="18" customFormat="false" ht="15" hidden="false" customHeight="false" outlineLevel="0" collapsed="false">
      <c r="A18" s="7" t="s">
        <v>137</v>
      </c>
      <c r="B18" s="7" t="s">
        <v>2925</v>
      </c>
      <c r="C18" s="7" t="s">
        <v>141</v>
      </c>
      <c r="D18" s="16" t="n">
        <v>2023</v>
      </c>
      <c r="E18" s="8" t="n">
        <v>1224.96</v>
      </c>
    </row>
    <row r="19" customFormat="false" ht="15" hidden="false" customHeight="false" outlineLevel="0" collapsed="false">
      <c r="A19" s="7" t="s">
        <v>137</v>
      </c>
      <c r="B19" s="7" t="s">
        <v>2925</v>
      </c>
      <c r="C19" s="7" t="s">
        <v>141</v>
      </c>
      <c r="D19" s="16" t="n">
        <v>2024</v>
      </c>
      <c r="E19" s="8" t="n">
        <v>1224.96</v>
      </c>
    </row>
    <row r="20" customFormat="false" ht="15" hidden="false" customHeight="false" outlineLevel="0" collapsed="false">
      <c r="A20" s="7" t="s">
        <v>137</v>
      </c>
      <c r="B20" s="7" t="s">
        <v>2925</v>
      </c>
      <c r="C20" s="7" t="s">
        <v>141</v>
      </c>
      <c r="D20" s="16" t="n">
        <v>2025</v>
      </c>
      <c r="E20" s="8" t="n">
        <v>1224.96</v>
      </c>
    </row>
    <row r="21" customFormat="false" ht="15" hidden="false" customHeight="false" outlineLevel="0" collapsed="false">
      <c r="A21" s="7" t="s">
        <v>137</v>
      </c>
      <c r="B21" s="7" t="s">
        <v>2925</v>
      </c>
      <c r="C21" s="7" t="s">
        <v>141</v>
      </c>
      <c r="D21" s="16" t="n">
        <v>2026</v>
      </c>
      <c r="E21" s="8" t="n">
        <v>918.72</v>
      </c>
    </row>
    <row r="22" customFormat="false" ht="15" hidden="false" customHeight="false" outlineLevel="0" collapsed="false">
      <c r="A22" s="7" t="s">
        <v>137</v>
      </c>
      <c r="B22" s="7" t="s">
        <v>2925</v>
      </c>
      <c r="C22" s="7" t="s">
        <v>149</v>
      </c>
      <c r="D22" s="16" t="n">
        <v>2023</v>
      </c>
      <c r="E22" s="8" t="n">
        <v>2858.38</v>
      </c>
    </row>
    <row r="23" customFormat="false" ht="15" hidden="false" customHeight="false" outlineLevel="0" collapsed="false">
      <c r="A23" s="7" t="s">
        <v>137</v>
      </c>
      <c r="B23" s="7" t="s">
        <v>2925</v>
      </c>
      <c r="C23" s="7" t="s">
        <v>149</v>
      </c>
      <c r="D23" s="16" t="n">
        <v>2024</v>
      </c>
      <c r="E23" s="8" t="n">
        <v>2858.37</v>
      </c>
    </row>
    <row r="24" customFormat="false" ht="15" hidden="false" customHeight="false" outlineLevel="0" collapsed="false">
      <c r="A24" s="7" t="s">
        <v>137</v>
      </c>
      <c r="B24" s="7" t="s">
        <v>2925</v>
      </c>
      <c r="C24" s="7" t="s">
        <v>149</v>
      </c>
      <c r="D24" s="16" t="n">
        <v>2025</v>
      </c>
      <c r="E24" s="8" t="n">
        <v>2858.37</v>
      </c>
    </row>
    <row r="25" customFormat="false" ht="15" hidden="false" customHeight="false" outlineLevel="0" collapsed="false">
      <c r="A25" s="7" t="s">
        <v>137</v>
      </c>
      <c r="B25" s="7" t="s">
        <v>2925</v>
      </c>
      <c r="C25" s="7" t="s">
        <v>149</v>
      </c>
      <c r="D25" s="16" t="n">
        <v>2026</v>
      </c>
      <c r="E25" s="8" t="n">
        <v>2143.78</v>
      </c>
    </row>
    <row r="26" customFormat="false" ht="15" hidden="false" customHeight="false" outlineLevel="0" collapsed="false">
      <c r="A26" s="7" t="s">
        <v>137</v>
      </c>
      <c r="B26" s="7" t="s">
        <v>2928</v>
      </c>
      <c r="C26" s="7" t="s">
        <v>149</v>
      </c>
      <c r="D26" s="16" t="n">
        <v>2023</v>
      </c>
      <c r="E26" s="8" t="n">
        <v>2499.96</v>
      </c>
    </row>
    <row r="27" customFormat="false" ht="15" hidden="false" customHeight="false" outlineLevel="0" collapsed="false">
      <c r="A27" s="7" t="s">
        <v>137</v>
      </c>
      <c r="B27" s="7" t="s">
        <v>2928</v>
      </c>
      <c r="C27" s="7" t="s">
        <v>149</v>
      </c>
      <c r="D27" s="16" t="n">
        <v>2024</v>
      </c>
      <c r="E27" s="8" t="n">
        <v>2499.96</v>
      </c>
    </row>
    <row r="28" customFormat="false" ht="15" hidden="false" customHeight="false" outlineLevel="0" collapsed="false">
      <c r="A28" s="7" t="s">
        <v>137</v>
      </c>
      <c r="B28" s="7" t="s">
        <v>2928</v>
      </c>
      <c r="C28" s="7" t="s">
        <v>149</v>
      </c>
      <c r="D28" s="16" t="n">
        <v>2025</v>
      </c>
      <c r="E28" s="8" t="n">
        <v>2499.96</v>
      </c>
    </row>
    <row r="29" customFormat="false" ht="15" hidden="false" customHeight="false" outlineLevel="0" collapsed="false">
      <c r="A29" s="7" t="s">
        <v>137</v>
      </c>
      <c r="B29" s="7" t="s">
        <v>2928</v>
      </c>
      <c r="C29" s="7" t="s">
        <v>149</v>
      </c>
      <c r="D29" s="16" t="n">
        <v>2026</v>
      </c>
      <c r="E29" s="8" t="n">
        <v>1874.97</v>
      </c>
    </row>
    <row r="30" customFormat="false" ht="15" hidden="false" customHeight="false" outlineLevel="0" collapsed="false">
      <c r="A30" s="7" t="s">
        <v>137</v>
      </c>
      <c r="B30" s="7" t="s">
        <v>2928</v>
      </c>
      <c r="C30" s="7" t="s">
        <v>144</v>
      </c>
      <c r="D30" s="16" t="n">
        <v>2023</v>
      </c>
      <c r="E30" s="8" t="n">
        <v>333.33</v>
      </c>
    </row>
    <row r="31" customFormat="false" ht="15" hidden="false" customHeight="false" outlineLevel="0" collapsed="false">
      <c r="A31" s="7" t="s">
        <v>137</v>
      </c>
      <c r="B31" s="7" t="s">
        <v>2928</v>
      </c>
      <c r="C31" s="7" t="s">
        <v>144</v>
      </c>
      <c r="D31" s="16" t="n">
        <v>2024</v>
      </c>
      <c r="E31" s="8" t="n">
        <v>333.33</v>
      </c>
    </row>
    <row r="32" customFormat="false" ht="15" hidden="false" customHeight="false" outlineLevel="0" collapsed="false">
      <c r="A32" s="7" t="s">
        <v>137</v>
      </c>
      <c r="B32" s="7" t="s">
        <v>2928</v>
      </c>
      <c r="C32" s="7" t="s">
        <v>144</v>
      </c>
      <c r="D32" s="16" t="n">
        <v>2025</v>
      </c>
      <c r="E32" s="8" t="n">
        <v>333.34</v>
      </c>
    </row>
    <row r="33" customFormat="false" ht="15" hidden="false" customHeight="false" outlineLevel="0" collapsed="false">
      <c r="A33" s="7" t="s">
        <v>137</v>
      </c>
      <c r="B33" s="7" t="s">
        <v>2928</v>
      </c>
      <c r="C33" s="7" t="s">
        <v>144</v>
      </c>
      <c r="D33" s="16" t="n">
        <v>2026</v>
      </c>
      <c r="E33" s="8" t="n">
        <v>250</v>
      </c>
    </row>
    <row r="34" customFormat="false" ht="15" hidden="false" customHeight="false" outlineLevel="0" collapsed="false">
      <c r="A34" s="7" t="s">
        <v>137</v>
      </c>
      <c r="B34" s="7" t="s">
        <v>2928</v>
      </c>
      <c r="C34" s="7" t="s">
        <v>146</v>
      </c>
      <c r="D34" s="16" t="n">
        <v>2023</v>
      </c>
      <c r="E34" s="8" t="n">
        <v>500.04</v>
      </c>
    </row>
    <row r="35" customFormat="false" ht="15" hidden="false" customHeight="false" outlineLevel="0" collapsed="false">
      <c r="A35" s="7" t="s">
        <v>137</v>
      </c>
      <c r="B35" s="7" t="s">
        <v>2928</v>
      </c>
      <c r="C35" s="7" t="s">
        <v>146</v>
      </c>
      <c r="D35" s="16" t="n">
        <v>2024</v>
      </c>
      <c r="E35" s="8" t="n">
        <v>500.04</v>
      </c>
    </row>
    <row r="36" customFormat="false" ht="15" hidden="false" customHeight="false" outlineLevel="0" collapsed="false">
      <c r="A36" s="7" t="s">
        <v>137</v>
      </c>
      <c r="B36" s="7" t="s">
        <v>2928</v>
      </c>
      <c r="C36" s="7" t="s">
        <v>146</v>
      </c>
      <c r="D36" s="16" t="n">
        <v>2025</v>
      </c>
      <c r="E36" s="8" t="n">
        <v>500.04</v>
      </c>
    </row>
    <row r="37" customFormat="false" ht="15" hidden="false" customHeight="false" outlineLevel="0" collapsed="false">
      <c r="A37" s="7" t="s">
        <v>137</v>
      </c>
      <c r="B37" s="7" t="s">
        <v>2928</v>
      </c>
      <c r="C37" s="7" t="s">
        <v>146</v>
      </c>
      <c r="D37" s="16" t="n">
        <v>2026</v>
      </c>
      <c r="E37" s="8" t="n">
        <v>375.03</v>
      </c>
    </row>
    <row r="38" customFormat="false" ht="15" hidden="false" customHeight="false" outlineLevel="0" collapsed="false">
      <c r="A38" s="7" t="s">
        <v>137</v>
      </c>
      <c r="B38" s="7" t="s">
        <v>1864</v>
      </c>
      <c r="C38" s="7" t="s">
        <v>141</v>
      </c>
      <c r="D38" s="16" t="n">
        <v>2025</v>
      </c>
      <c r="E38" s="8" t="n">
        <v>4680.59</v>
      </c>
    </row>
    <row r="39" customFormat="false" ht="15" hidden="false" customHeight="false" outlineLevel="0" collapsed="false">
      <c r="A39" s="7" t="s">
        <v>137</v>
      </c>
      <c r="B39" s="7" t="s">
        <v>1864</v>
      </c>
      <c r="C39" s="7" t="s">
        <v>141</v>
      </c>
      <c r="D39" s="16" t="n">
        <v>2026</v>
      </c>
      <c r="E39" s="8" t="n">
        <v>4212.53</v>
      </c>
    </row>
    <row r="40" customFormat="false" ht="15" hidden="false" customHeight="false" outlineLevel="0" collapsed="false">
      <c r="A40" s="7" t="s">
        <v>137</v>
      </c>
      <c r="B40" s="7" t="s">
        <v>1864</v>
      </c>
      <c r="C40" s="7" t="s">
        <v>149</v>
      </c>
      <c r="D40" s="16" t="n">
        <v>2025</v>
      </c>
      <c r="E40" s="8" t="n">
        <v>1170.1</v>
      </c>
    </row>
    <row r="41" customFormat="false" ht="15" hidden="false" customHeight="false" outlineLevel="0" collapsed="false">
      <c r="A41" s="7" t="s">
        <v>137</v>
      </c>
      <c r="B41" s="7" t="s">
        <v>1864</v>
      </c>
      <c r="C41" s="7" t="s">
        <v>149</v>
      </c>
      <c r="D41" s="16" t="n">
        <v>2026</v>
      </c>
      <c r="E41" s="8" t="n">
        <v>1053.09</v>
      </c>
    </row>
    <row r="42" customFormat="false" ht="15" hidden="false" customHeight="false" outlineLevel="0" collapsed="false">
      <c r="A42" s="7" t="s">
        <v>137</v>
      </c>
      <c r="B42" s="7" t="s">
        <v>1864</v>
      </c>
      <c r="C42" s="7" t="s">
        <v>144</v>
      </c>
      <c r="D42" s="16" t="n">
        <v>2025</v>
      </c>
      <c r="E42" s="8" t="n">
        <v>3510.4</v>
      </c>
    </row>
    <row r="43" customFormat="false" ht="15" hidden="false" customHeight="false" outlineLevel="0" collapsed="false">
      <c r="A43" s="7" t="s">
        <v>137</v>
      </c>
      <c r="B43" s="7" t="s">
        <v>1864</v>
      </c>
      <c r="C43" s="7" t="s">
        <v>144</v>
      </c>
      <c r="D43" s="16" t="n">
        <v>2026</v>
      </c>
      <c r="E43" s="8" t="n">
        <v>3159.36</v>
      </c>
    </row>
    <row r="44" customFormat="false" ht="15" hidden="false" customHeight="false" outlineLevel="0" collapsed="false">
      <c r="A44" s="7" t="s">
        <v>137</v>
      </c>
      <c r="B44" s="7" t="s">
        <v>1864</v>
      </c>
      <c r="C44" s="7" t="s">
        <v>146</v>
      </c>
      <c r="D44" s="16" t="n">
        <v>2025</v>
      </c>
      <c r="E44" s="8" t="n">
        <v>2340.3</v>
      </c>
    </row>
    <row r="45" customFormat="false" ht="15" hidden="false" customHeight="false" outlineLevel="0" collapsed="false">
      <c r="A45" s="7" t="s">
        <v>137</v>
      </c>
      <c r="B45" s="7" t="s">
        <v>1864</v>
      </c>
      <c r="C45" s="7" t="s">
        <v>146</v>
      </c>
      <c r="D45" s="16" t="n">
        <v>2026</v>
      </c>
      <c r="E45" s="8" t="n">
        <v>2106.27</v>
      </c>
    </row>
    <row r="46" customFormat="false" ht="15" hidden="false" customHeight="false" outlineLevel="0" collapsed="false">
      <c r="A46" s="7" t="s">
        <v>137</v>
      </c>
      <c r="B46" s="7" t="s">
        <v>1868</v>
      </c>
      <c r="C46" s="7" t="s">
        <v>141</v>
      </c>
      <c r="D46" s="16" t="n">
        <v>2023</v>
      </c>
      <c r="E46" s="8" t="n">
        <v>4800</v>
      </c>
    </row>
    <row r="47" customFormat="false" ht="15" hidden="false" customHeight="false" outlineLevel="0" collapsed="false">
      <c r="A47" s="7" t="s">
        <v>137</v>
      </c>
      <c r="B47" s="7" t="s">
        <v>1868</v>
      </c>
      <c r="C47" s="7" t="s">
        <v>141</v>
      </c>
      <c r="D47" s="16" t="n">
        <v>2024</v>
      </c>
      <c r="E47" s="8" t="n">
        <v>4800</v>
      </c>
    </row>
    <row r="48" customFormat="false" ht="15" hidden="false" customHeight="false" outlineLevel="0" collapsed="false">
      <c r="A48" s="7" t="s">
        <v>137</v>
      </c>
      <c r="B48" s="7" t="s">
        <v>1868</v>
      </c>
      <c r="C48" s="7" t="s">
        <v>141</v>
      </c>
      <c r="D48" s="16" t="n">
        <v>2025</v>
      </c>
      <c r="E48" s="8" t="n">
        <v>800</v>
      </c>
    </row>
    <row r="49" customFormat="false" ht="15" hidden="false" customHeight="false" outlineLevel="0" collapsed="false">
      <c r="A49" s="7" t="s">
        <v>137</v>
      </c>
      <c r="B49" s="7" t="s">
        <v>1868</v>
      </c>
      <c r="C49" s="7" t="s">
        <v>144</v>
      </c>
      <c r="D49" s="16" t="n">
        <v>2023</v>
      </c>
      <c r="E49" s="8" t="n">
        <v>3200.03</v>
      </c>
    </row>
    <row r="50" customFormat="false" ht="15" hidden="false" customHeight="false" outlineLevel="0" collapsed="false">
      <c r="A50" s="7" t="s">
        <v>137</v>
      </c>
      <c r="B50" s="7" t="s">
        <v>1868</v>
      </c>
      <c r="C50" s="7" t="s">
        <v>144</v>
      </c>
      <c r="D50" s="16" t="n">
        <v>2024</v>
      </c>
      <c r="E50" s="8" t="n">
        <v>3200.02</v>
      </c>
    </row>
    <row r="51" customFormat="false" ht="15" hidden="false" customHeight="false" outlineLevel="0" collapsed="false">
      <c r="A51" s="7" t="s">
        <v>137</v>
      </c>
      <c r="B51" s="7" t="s">
        <v>1868</v>
      </c>
      <c r="C51" s="7" t="s">
        <v>144</v>
      </c>
      <c r="D51" s="16" t="n">
        <v>2025</v>
      </c>
      <c r="E51" s="8" t="n">
        <v>533.34</v>
      </c>
    </row>
    <row r="52" customFormat="false" ht="15" hidden="false" customHeight="false" outlineLevel="0" collapsed="false">
      <c r="A52" s="7" t="s">
        <v>137</v>
      </c>
      <c r="B52" s="7" t="s">
        <v>1868</v>
      </c>
      <c r="C52" s="7" t="s">
        <v>146</v>
      </c>
      <c r="D52" s="16" t="n">
        <v>2023</v>
      </c>
      <c r="E52" s="8" t="n">
        <v>2666.64</v>
      </c>
    </row>
    <row r="53" customFormat="false" ht="15" hidden="false" customHeight="false" outlineLevel="0" collapsed="false">
      <c r="A53" s="7" t="s">
        <v>137</v>
      </c>
      <c r="B53" s="7" t="s">
        <v>1868</v>
      </c>
      <c r="C53" s="7" t="s">
        <v>146</v>
      </c>
      <c r="D53" s="16" t="n">
        <v>2024</v>
      </c>
      <c r="E53" s="8" t="n">
        <v>2666.64</v>
      </c>
    </row>
    <row r="54" customFormat="false" ht="15" hidden="false" customHeight="false" outlineLevel="0" collapsed="false">
      <c r="A54" s="7" t="s">
        <v>137</v>
      </c>
      <c r="B54" s="7" t="s">
        <v>1868</v>
      </c>
      <c r="C54" s="7" t="s">
        <v>146</v>
      </c>
      <c r="D54" s="16" t="n">
        <v>2025</v>
      </c>
      <c r="E54" s="8" t="n">
        <v>444.44</v>
      </c>
    </row>
    <row r="55" customFormat="false" ht="15" hidden="false" customHeight="false" outlineLevel="0" collapsed="false">
      <c r="A55" s="7" t="s">
        <v>137</v>
      </c>
      <c r="B55" s="7" t="s">
        <v>2938</v>
      </c>
      <c r="C55" s="7" t="s">
        <v>141</v>
      </c>
      <c r="D55" s="16" t="n">
        <v>2023</v>
      </c>
      <c r="E55" s="8" t="n">
        <v>2291.67</v>
      </c>
    </row>
    <row r="56" customFormat="false" ht="15" hidden="false" customHeight="false" outlineLevel="0" collapsed="false">
      <c r="A56" s="7" t="s">
        <v>137</v>
      </c>
      <c r="B56" s="7" t="s">
        <v>2938</v>
      </c>
      <c r="C56" s="7" t="s">
        <v>141</v>
      </c>
      <c r="D56" s="16" t="n">
        <v>2024</v>
      </c>
      <c r="E56" s="8" t="n">
        <v>2291.67</v>
      </c>
    </row>
    <row r="57" customFormat="false" ht="15" hidden="false" customHeight="false" outlineLevel="0" collapsed="false">
      <c r="A57" s="7" t="s">
        <v>137</v>
      </c>
      <c r="B57" s="7" t="s">
        <v>2938</v>
      </c>
      <c r="C57" s="7" t="s">
        <v>141</v>
      </c>
      <c r="D57" s="16" t="n">
        <v>2025</v>
      </c>
      <c r="E57" s="8" t="n">
        <v>2291.66</v>
      </c>
    </row>
    <row r="58" customFormat="false" ht="15" hidden="false" customHeight="false" outlineLevel="0" collapsed="false">
      <c r="A58" s="7" t="s">
        <v>137</v>
      </c>
      <c r="B58" s="7" t="s">
        <v>2938</v>
      </c>
      <c r="C58" s="7" t="s">
        <v>141</v>
      </c>
      <c r="D58" s="16" t="n">
        <v>2026</v>
      </c>
      <c r="E58" s="8" t="n">
        <v>1718.75</v>
      </c>
    </row>
    <row r="59" customFormat="false" ht="15" hidden="false" customHeight="false" outlineLevel="0" collapsed="false">
      <c r="A59" s="7" t="s">
        <v>137</v>
      </c>
      <c r="B59" s="7" t="s">
        <v>2938</v>
      </c>
      <c r="C59" s="7" t="s">
        <v>144</v>
      </c>
      <c r="D59" s="16" t="n">
        <v>2023</v>
      </c>
      <c r="E59" s="8" t="n">
        <v>1875</v>
      </c>
    </row>
    <row r="60" customFormat="false" ht="15" hidden="false" customHeight="false" outlineLevel="0" collapsed="false">
      <c r="A60" s="7" t="s">
        <v>137</v>
      </c>
      <c r="B60" s="7" t="s">
        <v>2938</v>
      </c>
      <c r="C60" s="7" t="s">
        <v>144</v>
      </c>
      <c r="D60" s="16" t="n">
        <v>2024</v>
      </c>
      <c r="E60" s="8" t="n">
        <v>1875</v>
      </c>
    </row>
    <row r="61" customFormat="false" ht="15" hidden="false" customHeight="false" outlineLevel="0" collapsed="false">
      <c r="A61" s="7" t="s">
        <v>137</v>
      </c>
      <c r="B61" s="7" t="s">
        <v>2938</v>
      </c>
      <c r="C61" s="7" t="s">
        <v>144</v>
      </c>
      <c r="D61" s="16" t="n">
        <v>2025</v>
      </c>
      <c r="E61" s="8" t="n">
        <v>1875</v>
      </c>
    </row>
    <row r="62" customFormat="false" ht="15" hidden="false" customHeight="false" outlineLevel="0" collapsed="false">
      <c r="A62" s="7" t="s">
        <v>137</v>
      </c>
      <c r="B62" s="7" t="s">
        <v>2938</v>
      </c>
      <c r="C62" s="7" t="s">
        <v>144</v>
      </c>
      <c r="D62" s="16" t="n">
        <v>2026</v>
      </c>
      <c r="E62" s="8" t="n">
        <v>1406.25</v>
      </c>
    </row>
    <row r="63" customFormat="false" ht="15" hidden="false" customHeight="false" outlineLevel="0" collapsed="false">
      <c r="A63" s="7" t="s">
        <v>137</v>
      </c>
      <c r="B63" s="7" t="s">
        <v>2941</v>
      </c>
      <c r="C63" s="7" t="s">
        <v>146</v>
      </c>
      <c r="D63" s="16" t="n">
        <v>2023</v>
      </c>
      <c r="E63" s="8" t="n">
        <v>1133.33</v>
      </c>
    </row>
    <row r="64" customFormat="false" ht="15" hidden="false" customHeight="false" outlineLevel="0" collapsed="false">
      <c r="A64" s="7" t="s">
        <v>137</v>
      </c>
      <c r="B64" s="7" t="s">
        <v>2941</v>
      </c>
      <c r="C64" s="7" t="s">
        <v>146</v>
      </c>
      <c r="D64" s="16" t="n">
        <v>2024</v>
      </c>
      <c r="E64" s="8" t="n">
        <v>1133.33</v>
      </c>
    </row>
    <row r="65" customFormat="false" ht="15" hidden="false" customHeight="false" outlineLevel="0" collapsed="false">
      <c r="A65" s="7" t="s">
        <v>137</v>
      </c>
      <c r="B65" s="7" t="s">
        <v>2941</v>
      </c>
      <c r="C65" s="7" t="s">
        <v>146</v>
      </c>
      <c r="D65" s="16" t="n">
        <v>2025</v>
      </c>
      <c r="E65" s="8" t="n">
        <v>1133.34</v>
      </c>
    </row>
    <row r="66" customFormat="false" ht="15" hidden="false" customHeight="false" outlineLevel="0" collapsed="false">
      <c r="A66" s="7" t="s">
        <v>137</v>
      </c>
      <c r="B66" s="7" t="s">
        <v>2941</v>
      </c>
      <c r="C66" s="7" t="s">
        <v>146</v>
      </c>
      <c r="D66" s="16" t="n">
        <v>2026</v>
      </c>
      <c r="E66" s="8" t="n">
        <v>850</v>
      </c>
    </row>
    <row r="67" customFormat="false" ht="15" hidden="false" customHeight="false" outlineLevel="0" collapsed="false">
      <c r="A67" s="7" t="s">
        <v>137</v>
      </c>
      <c r="B67" s="7" t="s">
        <v>2944</v>
      </c>
      <c r="C67" s="7" t="s">
        <v>141</v>
      </c>
      <c r="D67" s="16" t="n">
        <v>2023</v>
      </c>
      <c r="E67" s="8" t="n">
        <v>950</v>
      </c>
    </row>
    <row r="68" customFormat="false" ht="15" hidden="false" customHeight="false" outlineLevel="0" collapsed="false">
      <c r="A68" s="7" t="s">
        <v>137</v>
      </c>
      <c r="B68" s="7" t="s">
        <v>2944</v>
      </c>
      <c r="C68" s="7" t="s">
        <v>141</v>
      </c>
      <c r="D68" s="16" t="n">
        <v>2024</v>
      </c>
      <c r="E68" s="8" t="n">
        <v>950</v>
      </c>
    </row>
    <row r="69" customFormat="false" ht="15" hidden="false" customHeight="false" outlineLevel="0" collapsed="false">
      <c r="A69" s="7" t="s">
        <v>137</v>
      </c>
      <c r="B69" s="7" t="s">
        <v>2944</v>
      </c>
      <c r="C69" s="7" t="s">
        <v>141</v>
      </c>
      <c r="D69" s="16" t="n">
        <v>2025</v>
      </c>
      <c r="E69" s="8" t="n">
        <v>950</v>
      </c>
    </row>
    <row r="70" customFormat="false" ht="15" hidden="false" customHeight="false" outlineLevel="0" collapsed="false">
      <c r="A70" s="7" t="s">
        <v>137</v>
      </c>
      <c r="B70" s="7" t="s">
        <v>2944</v>
      </c>
      <c r="C70" s="7" t="s">
        <v>141</v>
      </c>
      <c r="D70" s="16" t="n">
        <v>2026</v>
      </c>
      <c r="E70" s="8" t="n">
        <v>712.5</v>
      </c>
    </row>
    <row r="71" customFormat="false" ht="15" hidden="false" customHeight="false" outlineLevel="0" collapsed="false">
      <c r="A71" s="7" t="s">
        <v>137</v>
      </c>
      <c r="B71" s="7" t="s">
        <v>2944</v>
      </c>
      <c r="C71" s="7" t="s">
        <v>144</v>
      </c>
      <c r="D71" s="16" t="n">
        <v>2023</v>
      </c>
      <c r="E71" s="8" t="n">
        <v>831.24</v>
      </c>
    </row>
    <row r="72" customFormat="false" ht="15" hidden="false" customHeight="false" outlineLevel="0" collapsed="false">
      <c r="A72" s="7" t="s">
        <v>137</v>
      </c>
      <c r="B72" s="7" t="s">
        <v>2944</v>
      </c>
      <c r="C72" s="7" t="s">
        <v>144</v>
      </c>
      <c r="D72" s="16" t="n">
        <v>2024</v>
      </c>
      <c r="E72" s="8" t="n">
        <v>831.24</v>
      </c>
    </row>
    <row r="73" customFormat="false" ht="15" hidden="false" customHeight="false" outlineLevel="0" collapsed="false">
      <c r="A73" s="7" t="s">
        <v>137</v>
      </c>
      <c r="B73" s="7" t="s">
        <v>2944</v>
      </c>
      <c r="C73" s="7" t="s">
        <v>144</v>
      </c>
      <c r="D73" s="16" t="n">
        <v>2025</v>
      </c>
      <c r="E73" s="8" t="n">
        <v>831.24</v>
      </c>
    </row>
    <row r="74" customFormat="false" ht="15" hidden="false" customHeight="false" outlineLevel="0" collapsed="false">
      <c r="A74" s="7" t="s">
        <v>137</v>
      </c>
      <c r="B74" s="7" t="s">
        <v>2944</v>
      </c>
      <c r="C74" s="7" t="s">
        <v>144</v>
      </c>
      <c r="D74" s="16" t="n">
        <v>2026</v>
      </c>
      <c r="E74" s="8" t="n">
        <v>623.43</v>
      </c>
    </row>
    <row r="75" customFormat="false" ht="15" hidden="false" customHeight="false" outlineLevel="0" collapsed="false">
      <c r="A75" s="7" t="s">
        <v>137</v>
      </c>
      <c r="B75" s="7" t="s">
        <v>2944</v>
      </c>
      <c r="C75" s="7" t="s">
        <v>146</v>
      </c>
      <c r="D75" s="16" t="n">
        <v>2023</v>
      </c>
      <c r="E75" s="8" t="n">
        <v>593.76</v>
      </c>
    </row>
    <row r="76" customFormat="false" ht="15" hidden="false" customHeight="false" outlineLevel="0" collapsed="false">
      <c r="A76" s="7" t="s">
        <v>137</v>
      </c>
      <c r="B76" s="7" t="s">
        <v>2944</v>
      </c>
      <c r="C76" s="7" t="s">
        <v>146</v>
      </c>
      <c r="D76" s="16" t="n">
        <v>2024</v>
      </c>
      <c r="E76" s="8" t="n">
        <v>593.76</v>
      </c>
    </row>
    <row r="77" customFormat="false" ht="15" hidden="false" customHeight="false" outlineLevel="0" collapsed="false">
      <c r="A77" s="7" t="s">
        <v>137</v>
      </c>
      <c r="B77" s="7" t="s">
        <v>2944</v>
      </c>
      <c r="C77" s="7" t="s">
        <v>146</v>
      </c>
      <c r="D77" s="16" t="n">
        <v>2025</v>
      </c>
      <c r="E77" s="8" t="n">
        <v>593.76</v>
      </c>
    </row>
    <row r="78" customFormat="false" ht="15" hidden="false" customHeight="false" outlineLevel="0" collapsed="false">
      <c r="A78" s="7" t="s">
        <v>137</v>
      </c>
      <c r="B78" s="7" t="s">
        <v>2944</v>
      </c>
      <c r="C78" s="7" t="s">
        <v>146</v>
      </c>
      <c r="D78" s="16" t="n">
        <v>2026</v>
      </c>
      <c r="E78" s="8" t="n">
        <v>445.32</v>
      </c>
    </row>
    <row r="79" customFormat="false" ht="15" hidden="false" customHeight="false" outlineLevel="0" collapsed="false">
      <c r="A79" s="7" t="s">
        <v>137</v>
      </c>
      <c r="B79" s="7" t="s">
        <v>2947</v>
      </c>
      <c r="C79" s="7" t="s">
        <v>141</v>
      </c>
      <c r="D79" s="16" t="n">
        <v>2023</v>
      </c>
      <c r="E79" s="8" t="n">
        <v>477.36</v>
      </c>
    </row>
    <row r="80" customFormat="false" ht="15" hidden="false" customHeight="false" outlineLevel="0" collapsed="false">
      <c r="A80" s="7" t="s">
        <v>137</v>
      </c>
      <c r="B80" s="7" t="s">
        <v>2947</v>
      </c>
      <c r="C80" s="7" t="s">
        <v>141</v>
      </c>
      <c r="D80" s="16" t="n">
        <v>2024</v>
      </c>
      <c r="E80" s="8" t="n">
        <v>477.36</v>
      </c>
    </row>
    <row r="81" customFormat="false" ht="15" hidden="false" customHeight="false" outlineLevel="0" collapsed="false">
      <c r="A81" s="7" t="s">
        <v>137</v>
      </c>
      <c r="B81" s="7" t="s">
        <v>2947</v>
      </c>
      <c r="C81" s="7" t="s">
        <v>141</v>
      </c>
      <c r="D81" s="16" t="n">
        <v>2025</v>
      </c>
      <c r="E81" s="8" t="n">
        <v>477.36</v>
      </c>
    </row>
    <row r="82" customFormat="false" ht="15" hidden="false" customHeight="false" outlineLevel="0" collapsed="false">
      <c r="A82" s="7" t="s">
        <v>137</v>
      </c>
      <c r="B82" s="7" t="s">
        <v>2947</v>
      </c>
      <c r="C82" s="7" t="s">
        <v>141</v>
      </c>
      <c r="D82" s="16" t="n">
        <v>2026</v>
      </c>
      <c r="E82" s="8" t="n">
        <v>358.02</v>
      </c>
    </row>
    <row r="83" customFormat="false" ht="15" hidden="false" customHeight="false" outlineLevel="0" collapsed="false">
      <c r="A83" s="7" t="s">
        <v>137</v>
      </c>
      <c r="B83" s="7" t="s">
        <v>2947</v>
      </c>
      <c r="C83" s="7" t="s">
        <v>149</v>
      </c>
      <c r="D83" s="16" t="n">
        <v>2023</v>
      </c>
      <c r="E83" s="8" t="n">
        <v>1431.96</v>
      </c>
    </row>
    <row r="84" customFormat="false" ht="15" hidden="false" customHeight="false" outlineLevel="0" collapsed="false">
      <c r="A84" s="7" t="s">
        <v>137</v>
      </c>
      <c r="B84" s="7" t="s">
        <v>2947</v>
      </c>
      <c r="C84" s="7" t="s">
        <v>149</v>
      </c>
      <c r="D84" s="16" t="n">
        <v>2024</v>
      </c>
      <c r="E84" s="8" t="n">
        <v>1431.96</v>
      </c>
    </row>
    <row r="85" customFormat="false" ht="15" hidden="false" customHeight="false" outlineLevel="0" collapsed="false">
      <c r="A85" s="7" t="s">
        <v>137</v>
      </c>
      <c r="B85" s="7" t="s">
        <v>2947</v>
      </c>
      <c r="C85" s="7" t="s">
        <v>149</v>
      </c>
      <c r="D85" s="16" t="n">
        <v>2025</v>
      </c>
      <c r="E85" s="8" t="n">
        <v>1431.96</v>
      </c>
    </row>
    <row r="86" customFormat="false" ht="15" hidden="false" customHeight="false" outlineLevel="0" collapsed="false">
      <c r="A86" s="7" t="s">
        <v>137</v>
      </c>
      <c r="B86" s="7" t="s">
        <v>2947</v>
      </c>
      <c r="C86" s="7" t="s">
        <v>149</v>
      </c>
      <c r="D86" s="16" t="n">
        <v>2026</v>
      </c>
      <c r="E86" s="8" t="n">
        <v>1073.97</v>
      </c>
    </row>
    <row r="87" customFormat="false" ht="15" hidden="false" customHeight="false" outlineLevel="0" collapsed="false">
      <c r="A87" s="7" t="s">
        <v>137</v>
      </c>
      <c r="B87" s="7" t="s">
        <v>2947</v>
      </c>
      <c r="C87" s="7" t="s">
        <v>144</v>
      </c>
      <c r="D87" s="16" t="n">
        <v>2023</v>
      </c>
      <c r="E87" s="8" t="n">
        <v>286.44</v>
      </c>
    </row>
    <row r="88" customFormat="false" ht="15" hidden="false" customHeight="false" outlineLevel="0" collapsed="false">
      <c r="A88" s="7" t="s">
        <v>137</v>
      </c>
      <c r="B88" s="7" t="s">
        <v>2947</v>
      </c>
      <c r="C88" s="7" t="s">
        <v>144</v>
      </c>
      <c r="D88" s="16" t="n">
        <v>2024</v>
      </c>
      <c r="E88" s="8" t="n">
        <v>286.44</v>
      </c>
    </row>
    <row r="89" customFormat="false" ht="15" hidden="false" customHeight="false" outlineLevel="0" collapsed="false">
      <c r="A89" s="7" t="s">
        <v>137</v>
      </c>
      <c r="B89" s="7" t="s">
        <v>2947</v>
      </c>
      <c r="C89" s="7" t="s">
        <v>144</v>
      </c>
      <c r="D89" s="16" t="n">
        <v>2025</v>
      </c>
      <c r="E89" s="8" t="n">
        <v>286.44</v>
      </c>
    </row>
    <row r="90" customFormat="false" ht="15" hidden="false" customHeight="false" outlineLevel="0" collapsed="false">
      <c r="A90" s="7" t="s">
        <v>137</v>
      </c>
      <c r="B90" s="7" t="s">
        <v>2947</v>
      </c>
      <c r="C90" s="7" t="s">
        <v>144</v>
      </c>
      <c r="D90" s="16" t="n">
        <v>2026</v>
      </c>
      <c r="E90" s="8" t="n">
        <v>214.83</v>
      </c>
    </row>
    <row r="91" customFormat="false" ht="15" hidden="false" customHeight="false" outlineLevel="0" collapsed="false">
      <c r="A91" s="7" t="s">
        <v>137</v>
      </c>
      <c r="B91" s="7" t="s">
        <v>2947</v>
      </c>
      <c r="C91" s="7" t="s">
        <v>146</v>
      </c>
      <c r="D91" s="16" t="n">
        <v>2023</v>
      </c>
      <c r="E91" s="8" t="n">
        <v>190.91</v>
      </c>
    </row>
    <row r="92" customFormat="false" ht="15" hidden="false" customHeight="false" outlineLevel="0" collapsed="false">
      <c r="A92" s="7" t="s">
        <v>137</v>
      </c>
      <c r="B92" s="7" t="s">
        <v>2947</v>
      </c>
      <c r="C92" s="7" t="s">
        <v>146</v>
      </c>
      <c r="D92" s="16" t="n">
        <v>2024</v>
      </c>
      <c r="E92" s="8" t="n">
        <v>190.9</v>
      </c>
    </row>
    <row r="93" customFormat="false" ht="15" hidden="false" customHeight="false" outlineLevel="0" collapsed="false">
      <c r="A93" s="7" t="s">
        <v>137</v>
      </c>
      <c r="B93" s="7" t="s">
        <v>2947</v>
      </c>
      <c r="C93" s="7" t="s">
        <v>146</v>
      </c>
      <c r="D93" s="16" t="n">
        <v>2025</v>
      </c>
      <c r="E93" s="8" t="n">
        <v>190.91</v>
      </c>
    </row>
    <row r="94" customFormat="false" ht="15" hidden="false" customHeight="false" outlineLevel="0" collapsed="false">
      <c r="A94" s="7" t="s">
        <v>137</v>
      </c>
      <c r="B94" s="7" t="s">
        <v>2947</v>
      </c>
      <c r="C94" s="7" t="s">
        <v>146</v>
      </c>
      <c r="D94" s="16" t="n">
        <v>2026</v>
      </c>
      <c r="E94" s="8" t="n">
        <v>143.18</v>
      </c>
    </row>
    <row r="95" customFormat="false" ht="15" hidden="false" customHeight="false" outlineLevel="0" collapsed="false">
      <c r="A95" s="7" t="s">
        <v>137</v>
      </c>
      <c r="B95" s="7" t="s">
        <v>1561</v>
      </c>
      <c r="C95" s="7" t="s">
        <v>141</v>
      </c>
      <c r="D95" s="16" t="n">
        <v>2024</v>
      </c>
      <c r="E95" s="8" t="n">
        <v>396.88</v>
      </c>
    </row>
    <row r="96" customFormat="false" ht="15" hidden="false" customHeight="false" outlineLevel="0" collapsed="false">
      <c r="A96" s="7" t="s">
        <v>137</v>
      </c>
      <c r="B96" s="7" t="s">
        <v>1561</v>
      </c>
      <c r="C96" s="7" t="s">
        <v>141</v>
      </c>
      <c r="D96" s="16" t="n">
        <v>2025</v>
      </c>
      <c r="E96" s="8" t="n">
        <v>952.52</v>
      </c>
    </row>
    <row r="97" customFormat="false" ht="15" hidden="false" customHeight="false" outlineLevel="0" collapsed="false">
      <c r="A97" s="7" t="s">
        <v>137</v>
      </c>
      <c r="B97" s="7" t="s">
        <v>1561</v>
      </c>
      <c r="C97" s="7" t="s">
        <v>141</v>
      </c>
      <c r="D97" s="16" t="n">
        <v>2026</v>
      </c>
      <c r="E97" s="8" t="n">
        <v>714.39</v>
      </c>
    </row>
    <row r="98" customFormat="false" ht="15" hidden="false" customHeight="false" outlineLevel="0" collapsed="false">
      <c r="A98" s="7" t="s">
        <v>137</v>
      </c>
      <c r="B98" s="7" t="s">
        <v>1561</v>
      </c>
      <c r="C98" s="7" t="s">
        <v>149</v>
      </c>
      <c r="D98" s="16" t="n">
        <v>2024</v>
      </c>
      <c r="E98" s="8" t="n">
        <v>1984.38</v>
      </c>
    </row>
    <row r="99" customFormat="false" ht="15" hidden="false" customHeight="false" outlineLevel="0" collapsed="false">
      <c r="A99" s="7" t="s">
        <v>137</v>
      </c>
      <c r="B99" s="7" t="s">
        <v>1561</v>
      </c>
      <c r="C99" s="7" t="s">
        <v>149</v>
      </c>
      <c r="D99" s="16" t="n">
        <v>2025</v>
      </c>
      <c r="E99" s="8" t="n">
        <v>4762.52</v>
      </c>
    </row>
    <row r="100" customFormat="false" ht="15" hidden="false" customHeight="false" outlineLevel="0" collapsed="false">
      <c r="A100" s="7" t="s">
        <v>137</v>
      </c>
      <c r="B100" s="7" t="s">
        <v>1561</v>
      </c>
      <c r="C100" s="7" t="s">
        <v>149</v>
      </c>
      <c r="D100" s="16" t="n">
        <v>2026</v>
      </c>
      <c r="E100" s="8" t="n">
        <v>3571.89</v>
      </c>
    </row>
    <row r="101" customFormat="false" ht="15" hidden="false" customHeight="false" outlineLevel="0" collapsed="false">
      <c r="A101" s="7" t="s">
        <v>137</v>
      </c>
      <c r="B101" s="7" t="s">
        <v>1561</v>
      </c>
      <c r="C101" s="7" t="s">
        <v>144</v>
      </c>
      <c r="D101" s="16" t="n">
        <v>2024</v>
      </c>
      <c r="E101" s="8" t="n">
        <v>132.3</v>
      </c>
    </row>
    <row r="102" customFormat="false" ht="15" hidden="false" customHeight="false" outlineLevel="0" collapsed="false">
      <c r="A102" s="7" t="s">
        <v>137</v>
      </c>
      <c r="B102" s="7" t="s">
        <v>1561</v>
      </c>
      <c r="C102" s="7" t="s">
        <v>144</v>
      </c>
      <c r="D102" s="16" t="n">
        <v>2025</v>
      </c>
      <c r="E102" s="8" t="n">
        <v>317.52</v>
      </c>
    </row>
    <row r="103" customFormat="false" ht="15" hidden="false" customHeight="false" outlineLevel="0" collapsed="false">
      <c r="A103" s="7" t="s">
        <v>137</v>
      </c>
      <c r="B103" s="7" t="s">
        <v>1561</v>
      </c>
      <c r="C103" s="7" t="s">
        <v>144</v>
      </c>
      <c r="D103" s="16" t="n">
        <v>2026</v>
      </c>
      <c r="E103" s="8" t="n">
        <v>238.14</v>
      </c>
    </row>
    <row r="104" customFormat="false" ht="15" hidden="false" customHeight="false" outlineLevel="0" collapsed="false">
      <c r="A104" s="7" t="s">
        <v>137</v>
      </c>
      <c r="B104" s="7" t="s">
        <v>1561</v>
      </c>
      <c r="C104" s="7" t="s">
        <v>146</v>
      </c>
      <c r="D104" s="16" t="n">
        <v>2024</v>
      </c>
      <c r="E104" s="8" t="n">
        <v>132.27</v>
      </c>
    </row>
    <row r="105" customFormat="false" ht="15" hidden="false" customHeight="false" outlineLevel="0" collapsed="false">
      <c r="A105" s="7" t="s">
        <v>137</v>
      </c>
      <c r="B105" s="7" t="s">
        <v>1561</v>
      </c>
      <c r="C105" s="7" t="s">
        <v>146</v>
      </c>
      <c r="D105" s="16" t="n">
        <v>2025</v>
      </c>
      <c r="E105" s="8" t="n">
        <v>317.44</v>
      </c>
    </row>
    <row r="106" customFormat="false" ht="15" hidden="false" customHeight="false" outlineLevel="0" collapsed="false">
      <c r="A106" s="7" t="s">
        <v>137</v>
      </c>
      <c r="B106" s="7" t="s">
        <v>1561</v>
      </c>
      <c r="C106" s="7" t="s">
        <v>146</v>
      </c>
      <c r="D106" s="16" t="n">
        <v>2026</v>
      </c>
      <c r="E106" s="8" t="n">
        <v>238.08</v>
      </c>
    </row>
    <row r="107" customFormat="false" ht="15" hidden="false" customHeight="false" outlineLevel="0" collapsed="false">
      <c r="A107" s="7" t="s">
        <v>137</v>
      </c>
      <c r="B107" s="7" t="s">
        <v>2956</v>
      </c>
      <c r="C107" s="7" t="s">
        <v>141</v>
      </c>
      <c r="D107" s="16" t="n">
        <v>2023</v>
      </c>
      <c r="E107" s="8" t="n">
        <v>3168</v>
      </c>
    </row>
    <row r="108" customFormat="false" ht="15" hidden="false" customHeight="false" outlineLevel="0" collapsed="false">
      <c r="A108" s="7" t="s">
        <v>137</v>
      </c>
      <c r="B108" s="7" t="s">
        <v>2956</v>
      </c>
      <c r="C108" s="7" t="s">
        <v>141</v>
      </c>
      <c r="D108" s="16" t="n">
        <v>2024</v>
      </c>
      <c r="E108" s="8" t="n">
        <v>3168</v>
      </c>
    </row>
    <row r="109" customFormat="false" ht="15" hidden="false" customHeight="false" outlineLevel="0" collapsed="false">
      <c r="A109" s="7" t="s">
        <v>137</v>
      </c>
      <c r="B109" s="7" t="s">
        <v>2956</v>
      </c>
      <c r="C109" s="7" t="s">
        <v>141</v>
      </c>
      <c r="D109" s="16" t="n">
        <v>2025</v>
      </c>
      <c r="E109" s="8" t="n">
        <v>3168</v>
      </c>
    </row>
    <row r="110" customFormat="false" ht="15" hidden="false" customHeight="false" outlineLevel="0" collapsed="false">
      <c r="A110" s="7" t="s">
        <v>137</v>
      </c>
      <c r="B110" s="7" t="s">
        <v>2956</v>
      </c>
      <c r="C110" s="7" t="s">
        <v>141</v>
      </c>
      <c r="D110" s="16" t="n">
        <v>2026</v>
      </c>
      <c r="E110" s="8" t="n">
        <v>2376</v>
      </c>
    </row>
    <row r="111" customFormat="false" ht="15" hidden="false" customHeight="false" outlineLevel="0" collapsed="false">
      <c r="A111" s="7" t="s">
        <v>137</v>
      </c>
      <c r="B111" s="7" t="s">
        <v>2956</v>
      </c>
      <c r="C111" s="7" t="s">
        <v>144</v>
      </c>
      <c r="D111" s="16" t="n">
        <v>2023</v>
      </c>
      <c r="E111" s="8" t="n">
        <v>2112</v>
      </c>
    </row>
    <row r="112" customFormat="false" ht="15" hidden="false" customHeight="false" outlineLevel="0" collapsed="false">
      <c r="A112" s="7" t="s">
        <v>137</v>
      </c>
      <c r="B112" s="7" t="s">
        <v>2956</v>
      </c>
      <c r="C112" s="7" t="s">
        <v>144</v>
      </c>
      <c r="D112" s="16" t="n">
        <v>2024</v>
      </c>
      <c r="E112" s="8" t="n">
        <v>2112</v>
      </c>
    </row>
    <row r="113" customFormat="false" ht="15" hidden="false" customHeight="false" outlineLevel="0" collapsed="false">
      <c r="A113" s="7" t="s">
        <v>137</v>
      </c>
      <c r="B113" s="7" t="s">
        <v>2956</v>
      </c>
      <c r="C113" s="7" t="s">
        <v>144</v>
      </c>
      <c r="D113" s="16" t="n">
        <v>2025</v>
      </c>
      <c r="E113" s="8" t="n">
        <v>2112</v>
      </c>
    </row>
    <row r="114" customFormat="false" ht="15" hidden="false" customHeight="false" outlineLevel="0" collapsed="false">
      <c r="A114" s="7" t="s">
        <v>137</v>
      </c>
      <c r="B114" s="7" t="s">
        <v>2956</v>
      </c>
      <c r="C114" s="7" t="s">
        <v>144</v>
      </c>
      <c r="D114" s="16" t="n">
        <v>2026</v>
      </c>
      <c r="E114" s="8" t="n">
        <v>1584</v>
      </c>
    </row>
    <row r="115" customFormat="false" ht="15" hidden="false" customHeight="false" outlineLevel="0" collapsed="false">
      <c r="A115" s="7" t="s">
        <v>137</v>
      </c>
      <c r="B115" s="7" t="s">
        <v>2960</v>
      </c>
      <c r="C115" s="7" t="s">
        <v>141</v>
      </c>
      <c r="D115" s="16" t="n">
        <v>2023</v>
      </c>
      <c r="E115" s="8" t="n">
        <v>3600</v>
      </c>
    </row>
    <row r="116" customFormat="false" ht="15" hidden="false" customHeight="false" outlineLevel="0" collapsed="false">
      <c r="A116" s="7" t="s">
        <v>137</v>
      </c>
      <c r="B116" s="7" t="s">
        <v>2960</v>
      </c>
      <c r="C116" s="7" t="s">
        <v>141</v>
      </c>
      <c r="D116" s="16" t="n">
        <v>2024</v>
      </c>
      <c r="E116" s="8" t="n">
        <v>3600</v>
      </c>
    </row>
    <row r="117" customFormat="false" ht="15" hidden="false" customHeight="false" outlineLevel="0" collapsed="false">
      <c r="A117" s="7" t="s">
        <v>137</v>
      </c>
      <c r="B117" s="7" t="s">
        <v>2960</v>
      </c>
      <c r="C117" s="7" t="s">
        <v>141</v>
      </c>
      <c r="D117" s="16" t="n">
        <v>2025</v>
      </c>
      <c r="E117" s="8" t="n">
        <v>3600</v>
      </c>
    </row>
    <row r="118" customFormat="false" ht="15" hidden="false" customHeight="false" outlineLevel="0" collapsed="false">
      <c r="A118" s="7" t="s">
        <v>137</v>
      </c>
      <c r="B118" s="7" t="s">
        <v>2960</v>
      </c>
      <c r="C118" s="7" t="s">
        <v>141</v>
      </c>
      <c r="D118" s="16" t="n">
        <v>2026</v>
      </c>
      <c r="E118" s="8" t="n">
        <v>2700</v>
      </c>
    </row>
    <row r="119" customFormat="false" ht="15" hidden="false" customHeight="false" outlineLevel="0" collapsed="false">
      <c r="A119" s="7" t="s">
        <v>137</v>
      </c>
      <c r="B119" s="7" t="s">
        <v>2960</v>
      </c>
      <c r="C119" s="7" t="s">
        <v>144</v>
      </c>
      <c r="D119" s="16" t="n">
        <v>2023</v>
      </c>
      <c r="E119" s="8" t="n">
        <v>1500</v>
      </c>
    </row>
    <row r="120" customFormat="false" ht="15" hidden="false" customHeight="false" outlineLevel="0" collapsed="false">
      <c r="A120" s="7" t="s">
        <v>137</v>
      </c>
      <c r="B120" s="7" t="s">
        <v>2960</v>
      </c>
      <c r="C120" s="7" t="s">
        <v>144</v>
      </c>
      <c r="D120" s="16" t="n">
        <v>2024</v>
      </c>
      <c r="E120" s="8" t="n">
        <v>1500</v>
      </c>
    </row>
    <row r="121" customFormat="false" ht="15" hidden="false" customHeight="false" outlineLevel="0" collapsed="false">
      <c r="A121" s="7" t="s">
        <v>137</v>
      </c>
      <c r="B121" s="7" t="s">
        <v>2960</v>
      </c>
      <c r="C121" s="7" t="s">
        <v>144</v>
      </c>
      <c r="D121" s="16" t="n">
        <v>2025</v>
      </c>
      <c r="E121" s="8" t="n">
        <v>1500</v>
      </c>
    </row>
    <row r="122" customFormat="false" ht="15" hidden="false" customHeight="false" outlineLevel="0" collapsed="false">
      <c r="A122" s="7" t="s">
        <v>137</v>
      </c>
      <c r="B122" s="7" t="s">
        <v>2960</v>
      </c>
      <c r="C122" s="7" t="s">
        <v>144</v>
      </c>
      <c r="D122" s="16" t="n">
        <v>2026</v>
      </c>
      <c r="E122" s="8" t="n">
        <v>1125</v>
      </c>
    </row>
    <row r="123" customFormat="false" ht="15" hidden="false" customHeight="false" outlineLevel="0" collapsed="false">
      <c r="A123" s="7" t="s">
        <v>137</v>
      </c>
      <c r="B123" s="7" t="s">
        <v>2960</v>
      </c>
      <c r="C123" s="7" t="s">
        <v>146</v>
      </c>
      <c r="D123" s="16" t="n">
        <v>2023</v>
      </c>
      <c r="E123" s="8" t="n">
        <v>900</v>
      </c>
    </row>
    <row r="124" customFormat="false" ht="15" hidden="false" customHeight="false" outlineLevel="0" collapsed="false">
      <c r="A124" s="7" t="s">
        <v>137</v>
      </c>
      <c r="B124" s="7" t="s">
        <v>2960</v>
      </c>
      <c r="C124" s="7" t="s">
        <v>146</v>
      </c>
      <c r="D124" s="16" t="n">
        <v>2024</v>
      </c>
      <c r="E124" s="8" t="n">
        <v>900</v>
      </c>
    </row>
    <row r="125" customFormat="false" ht="15" hidden="false" customHeight="false" outlineLevel="0" collapsed="false">
      <c r="A125" s="7" t="s">
        <v>137</v>
      </c>
      <c r="B125" s="7" t="s">
        <v>2960</v>
      </c>
      <c r="C125" s="7" t="s">
        <v>146</v>
      </c>
      <c r="D125" s="16" t="n">
        <v>2025</v>
      </c>
      <c r="E125" s="8" t="n">
        <v>900</v>
      </c>
    </row>
    <row r="126" customFormat="false" ht="15" hidden="false" customHeight="false" outlineLevel="0" collapsed="false">
      <c r="A126" s="7" t="s">
        <v>137</v>
      </c>
      <c r="B126" s="7" t="s">
        <v>2960</v>
      </c>
      <c r="C126" s="7" t="s">
        <v>146</v>
      </c>
      <c r="D126" s="16" t="n">
        <v>2026</v>
      </c>
      <c r="E126" s="8" t="n">
        <v>675</v>
      </c>
    </row>
    <row r="127" customFormat="false" ht="15" hidden="false" customHeight="false" outlineLevel="0" collapsed="false">
      <c r="A127" s="7" t="s">
        <v>137</v>
      </c>
      <c r="B127" s="7" t="s">
        <v>2963</v>
      </c>
      <c r="C127" s="7" t="s">
        <v>153</v>
      </c>
      <c r="D127" s="16" t="n">
        <v>2023</v>
      </c>
      <c r="E127" s="8" t="n">
        <v>3933.34</v>
      </c>
    </row>
    <row r="128" customFormat="false" ht="15" hidden="false" customHeight="false" outlineLevel="0" collapsed="false">
      <c r="A128" s="7" t="s">
        <v>137</v>
      </c>
      <c r="B128" s="7" t="s">
        <v>2963</v>
      </c>
      <c r="C128" s="7" t="s">
        <v>153</v>
      </c>
      <c r="D128" s="16" t="n">
        <v>2024</v>
      </c>
      <c r="E128" s="8" t="n">
        <v>3933.33</v>
      </c>
    </row>
    <row r="129" customFormat="false" ht="15" hidden="false" customHeight="false" outlineLevel="0" collapsed="false">
      <c r="A129" s="7" t="s">
        <v>137</v>
      </c>
      <c r="B129" s="7" t="s">
        <v>2963</v>
      </c>
      <c r="C129" s="7" t="s">
        <v>153</v>
      </c>
      <c r="D129" s="16" t="n">
        <v>2025</v>
      </c>
      <c r="E129" s="8" t="n">
        <v>3933.33</v>
      </c>
    </row>
    <row r="130" customFormat="false" ht="15" hidden="false" customHeight="false" outlineLevel="0" collapsed="false">
      <c r="A130" s="7" t="s">
        <v>137</v>
      </c>
      <c r="B130" s="7" t="s">
        <v>2963</v>
      </c>
      <c r="C130" s="7" t="s">
        <v>153</v>
      </c>
      <c r="D130" s="16" t="n">
        <v>2026</v>
      </c>
      <c r="E130" s="8" t="n">
        <v>2950</v>
      </c>
    </row>
    <row r="131" customFormat="false" ht="15" hidden="false" customHeight="false" outlineLevel="0" collapsed="false">
      <c r="A131" s="7" t="s">
        <v>137</v>
      </c>
      <c r="B131" s="7" t="s">
        <v>2965</v>
      </c>
      <c r="C131" s="7" t="s">
        <v>153</v>
      </c>
      <c r="D131" s="16" t="n">
        <v>2023</v>
      </c>
      <c r="E131" s="8" t="n">
        <v>5187.5</v>
      </c>
    </row>
    <row r="132" customFormat="false" ht="15" hidden="false" customHeight="false" outlineLevel="0" collapsed="false">
      <c r="A132" s="7" t="s">
        <v>137</v>
      </c>
      <c r="B132" s="7" t="s">
        <v>2965</v>
      </c>
      <c r="C132" s="7" t="s">
        <v>153</v>
      </c>
      <c r="D132" s="16" t="n">
        <v>2024</v>
      </c>
      <c r="E132" s="8" t="n">
        <v>5187.5</v>
      </c>
    </row>
    <row r="133" customFormat="false" ht="15" hidden="false" customHeight="false" outlineLevel="0" collapsed="false">
      <c r="A133" s="7" t="s">
        <v>137</v>
      </c>
      <c r="B133" s="7" t="s">
        <v>2965</v>
      </c>
      <c r="C133" s="7" t="s">
        <v>153</v>
      </c>
      <c r="D133" s="16" t="n">
        <v>2025</v>
      </c>
      <c r="E133" s="8" t="n">
        <v>5187.5</v>
      </c>
    </row>
    <row r="134" customFormat="false" ht="15" hidden="false" customHeight="false" outlineLevel="0" collapsed="false">
      <c r="A134" s="7" t="s">
        <v>137</v>
      </c>
      <c r="B134" s="7" t="s">
        <v>2965</v>
      </c>
      <c r="C134" s="7" t="s">
        <v>153</v>
      </c>
      <c r="D134" s="16" t="n">
        <v>2026</v>
      </c>
      <c r="E134" s="8" t="n">
        <v>3890.63</v>
      </c>
    </row>
    <row r="135" customFormat="false" ht="15" hidden="false" customHeight="false" outlineLevel="0" collapsed="false">
      <c r="A135" s="7" t="s">
        <v>137</v>
      </c>
      <c r="B135" s="7" t="s">
        <v>2968</v>
      </c>
      <c r="C135" s="7" t="s">
        <v>141</v>
      </c>
      <c r="D135" s="16" t="n">
        <v>2023</v>
      </c>
      <c r="E135" s="8" t="n">
        <v>880</v>
      </c>
    </row>
    <row r="136" customFormat="false" ht="15" hidden="false" customHeight="false" outlineLevel="0" collapsed="false">
      <c r="A136" s="7" t="s">
        <v>137</v>
      </c>
      <c r="B136" s="7" t="s">
        <v>2968</v>
      </c>
      <c r="C136" s="7" t="s">
        <v>141</v>
      </c>
      <c r="D136" s="16" t="n">
        <v>2024</v>
      </c>
      <c r="E136" s="8" t="n">
        <v>880</v>
      </c>
    </row>
    <row r="137" customFormat="false" ht="15" hidden="false" customHeight="false" outlineLevel="0" collapsed="false">
      <c r="A137" s="7" t="s">
        <v>137</v>
      </c>
      <c r="B137" s="7" t="s">
        <v>2968</v>
      </c>
      <c r="C137" s="7" t="s">
        <v>141</v>
      </c>
      <c r="D137" s="16" t="n">
        <v>2025</v>
      </c>
      <c r="E137" s="8" t="n">
        <v>880</v>
      </c>
    </row>
    <row r="138" customFormat="false" ht="15" hidden="false" customHeight="false" outlineLevel="0" collapsed="false">
      <c r="A138" s="7" t="s">
        <v>137</v>
      </c>
      <c r="B138" s="7" t="s">
        <v>2968</v>
      </c>
      <c r="C138" s="7" t="s">
        <v>141</v>
      </c>
      <c r="D138" s="16" t="n">
        <v>2026</v>
      </c>
      <c r="E138" s="8" t="n">
        <v>660</v>
      </c>
    </row>
    <row r="139" customFormat="false" ht="15" hidden="false" customHeight="false" outlineLevel="0" collapsed="false">
      <c r="A139" s="7" t="s">
        <v>137</v>
      </c>
      <c r="B139" s="7" t="s">
        <v>2968</v>
      </c>
      <c r="C139" s="7" t="s">
        <v>149</v>
      </c>
      <c r="D139" s="16" t="n">
        <v>2023</v>
      </c>
      <c r="E139" s="8" t="n">
        <v>219.96</v>
      </c>
    </row>
    <row r="140" customFormat="false" ht="15" hidden="false" customHeight="false" outlineLevel="0" collapsed="false">
      <c r="A140" s="7" t="s">
        <v>137</v>
      </c>
      <c r="B140" s="7" t="s">
        <v>2968</v>
      </c>
      <c r="C140" s="7" t="s">
        <v>149</v>
      </c>
      <c r="D140" s="16" t="n">
        <v>2024</v>
      </c>
      <c r="E140" s="8" t="n">
        <v>219.96</v>
      </c>
    </row>
    <row r="141" customFormat="false" ht="15" hidden="false" customHeight="false" outlineLevel="0" collapsed="false">
      <c r="A141" s="7" t="s">
        <v>137</v>
      </c>
      <c r="B141" s="7" t="s">
        <v>2968</v>
      </c>
      <c r="C141" s="7" t="s">
        <v>149</v>
      </c>
      <c r="D141" s="16" t="n">
        <v>2025</v>
      </c>
      <c r="E141" s="8" t="n">
        <v>219.96</v>
      </c>
    </row>
    <row r="142" customFormat="false" ht="15" hidden="false" customHeight="false" outlineLevel="0" collapsed="false">
      <c r="A142" s="7" t="s">
        <v>137</v>
      </c>
      <c r="B142" s="7" t="s">
        <v>2968</v>
      </c>
      <c r="C142" s="7" t="s">
        <v>149</v>
      </c>
      <c r="D142" s="16" t="n">
        <v>2026</v>
      </c>
      <c r="E142" s="8" t="n">
        <v>164.97</v>
      </c>
    </row>
    <row r="143" customFormat="false" ht="15" hidden="false" customHeight="false" outlineLevel="0" collapsed="false">
      <c r="A143" s="7" t="s">
        <v>137</v>
      </c>
      <c r="B143" s="7" t="s">
        <v>2968</v>
      </c>
      <c r="C143" s="7" t="s">
        <v>144</v>
      </c>
      <c r="D143" s="16" t="n">
        <v>2023</v>
      </c>
      <c r="E143" s="8" t="n">
        <v>660</v>
      </c>
    </row>
    <row r="144" customFormat="false" ht="15" hidden="false" customHeight="false" outlineLevel="0" collapsed="false">
      <c r="A144" s="7" t="s">
        <v>137</v>
      </c>
      <c r="B144" s="7" t="s">
        <v>2968</v>
      </c>
      <c r="C144" s="7" t="s">
        <v>144</v>
      </c>
      <c r="D144" s="16" t="n">
        <v>2024</v>
      </c>
      <c r="E144" s="8" t="n">
        <v>660</v>
      </c>
    </row>
    <row r="145" customFormat="false" ht="15" hidden="false" customHeight="false" outlineLevel="0" collapsed="false">
      <c r="A145" s="7" t="s">
        <v>137</v>
      </c>
      <c r="B145" s="7" t="s">
        <v>2968</v>
      </c>
      <c r="C145" s="7" t="s">
        <v>144</v>
      </c>
      <c r="D145" s="16" t="n">
        <v>2025</v>
      </c>
      <c r="E145" s="8" t="n">
        <v>660</v>
      </c>
    </row>
    <row r="146" customFormat="false" ht="15" hidden="false" customHeight="false" outlineLevel="0" collapsed="false">
      <c r="A146" s="7" t="s">
        <v>137</v>
      </c>
      <c r="B146" s="7" t="s">
        <v>2968</v>
      </c>
      <c r="C146" s="7" t="s">
        <v>144</v>
      </c>
      <c r="D146" s="16" t="n">
        <v>2026</v>
      </c>
      <c r="E146" s="8" t="n">
        <v>495</v>
      </c>
    </row>
    <row r="147" customFormat="false" ht="15" hidden="false" customHeight="false" outlineLevel="0" collapsed="false">
      <c r="A147" s="7" t="s">
        <v>137</v>
      </c>
      <c r="B147" s="7" t="s">
        <v>2968</v>
      </c>
      <c r="C147" s="7" t="s">
        <v>146</v>
      </c>
      <c r="D147" s="16" t="n">
        <v>2023</v>
      </c>
      <c r="E147" s="8" t="n">
        <v>440.04</v>
      </c>
    </row>
    <row r="148" customFormat="false" ht="15" hidden="false" customHeight="false" outlineLevel="0" collapsed="false">
      <c r="A148" s="7" t="s">
        <v>137</v>
      </c>
      <c r="B148" s="7" t="s">
        <v>2968</v>
      </c>
      <c r="C148" s="7" t="s">
        <v>146</v>
      </c>
      <c r="D148" s="16" t="n">
        <v>2024</v>
      </c>
      <c r="E148" s="8" t="n">
        <v>440.04</v>
      </c>
    </row>
    <row r="149" customFormat="false" ht="15" hidden="false" customHeight="false" outlineLevel="0" collapsed="false">
      <c r="A149" s="7" t="s">
        <v>137</v>
      </c>
      <c r="B149" s="7" t="s">
        <v>2968</v>
      </c>
      <c r="C149" s="7" t="s">
        <v>146</v>
      </c>
      <c r="D149" s="16" t="n">
        <v>2025</v>
      </c>
      <c r="E149" s="8" t="n">
        <v>440.04</v>
      </c>
    </row>
    <row r="150" customFormat="false" ht="15" hidden="false" customHeight="false" outlineLevel="0" collapsed="false">
      <c r="A150" s="7" t="s">
        <v>137</v>
      </c>
      <c r="B150" s="7" t="s">
        <v>2968</v>
      </c>
      <c r="C150" s="7" t="s">
        <v>146</v>
      </c>
      <c r="D150" s="16" t="n">
        <v>2026</v>
      </c>
      <c r="E150" s="8" t="n">
        <v>330.03</v>
      </c>
    </row>
  </sheetData>
  <autoFilter ref="A1:E1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6" min="5" style="0" width="26"/>
    <col collapsed="false" customWidth="true" hidden="false" outlineLevel="0" max="7" min="7" style="0" width="5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39"/>
    <col collapsed="false" customWidth="true" hidden="false" outlineLevel="0" max="13" min="13" style="0" width="16"/>
    <col collapsed="false" customWidth="true" hidden="false" outlineLevel="0" max="15" min="14" style="0" width="20"/>
    <col collapsed="false" customWidth="true" hidden="false" outlineLevel="0" max="16" min="16" style="0" width="15"/>
    <col collapsed="false" customWidth="true" hidden="false" outlineLevel="0" max="17" min="17" style="0" width="29"/>
    <col collapsed="false" customWidth="true" hidden="false" outlineLevel="0" max="18" min="18" style="0" width="19"/>
    <col collapsed="false" customWidth="true" hidden="false" outlineLevel="0" max="19" min="19" style="0" width="21"/>
    <col collapsed="false" customWidth="true" hidden="false" outlineLevel="0" max="22" min="20" style="0" width="20"/>
    <col collapsed="false" customWidth="true" hidden="false" outlineLevel="0" max="24" min="23" style="0" width="24"/>
  </cols>
  <sheetData>
    <row r="1" customFormat="false" ht="23.85" hidden="false" customHeight="false" outlineLevel="0" collapsed="false">
      <c r="A1" s="11" t="s">
        <v>738</v>
      </c>
      <c r="B1" s="11" t="s">
        <v>131</v>
      </c>
      <c r="C1" s="11" t="s">
        <v>2970</v>
      </c>
      <c r="D1" s="11" t="s">
        <v>2971</v>
      </c>
      <c r="E1" s="11" t="s">
        <v>2972</v>
      </c>
      <c r="F1" s="11" t="s">
        <v>2973</v>
      </c>
      <c r="G1" s="11" t="s">
        <v>2974</v>
      </c>
      <c r="H1" s="11" t="s">
        <v>2975</v>
      </c>
      <c r="I1" s="11" t="s">
        <v>2976</v>
      </c>
      <c r="J1" s="11" t="s">
        <v>2977</v>
      </c>
      <c r="K1" s="11" t="s">
        <v>2978</v>
      </c>
      <c r="L1" s="11" t="s">
        <v>2979</v>
      </c>
      <c r="M1" s="11" t="s">
        <v>2980</v>
      </c>
      <c r="N1" s="11" t="s">
        <v>2981</v>
      </c>
      <c r="O1" s="11" t="s">
        <v>2982</v>
      </c>
      <c r="P1" s="11" t="s">
        <v>2983</v>
      </c>
      <c r="Q1" s="11" t="s">
        <v>2984</v>
      </c>
      <c r="R1" s="11" t="s">
        <v>2985</v>
      </c>
      <c r="S1" s="11" t="s">
        <v>2986</v>
      </c>
      <c r="T1" s="11" t="s">
        <v>2987</v>
      </c>
      <c r="U1" s="11" t="s">
        <v>2988</v>
      </c>
      <c r="V1" s="11" t="s">
        <v>2989</v>
      </c>
      <c r="W1" s="11" t="s">
        <v>2990</v>
      </c>
      <c r="X1" s="11" t="s">
        <v>2991</v>
      </c>
    </row>
    <row r="2" customFormat="false" ht="15" hidden="false" customHeight="false" outlineLevel="0" collapsed="false">
      <c r="A2" s="7" t="s">
        <v>1265</v>
      </c>
      <c r="B2" s="7" t="s">
        <v>137</v>
      </c>
      <c r="C2" s="7" t="s">
        <v>2992</v>
      </c>
      <c r="D2" s="7" t="s">
        <v>609</v>
      </c>
      <c r="E2" s="7" t="s">
        <v>2993</v>
      </c>
      <c r="F2" s="7" t="s">
        <v>2994</v>
      </c>
      <c r="G2" s="7" t="s">
        <v>2995</v>
      </c>
      <c r="H2" s="20" t="n">
        <v>43539</v>
      </c>
      <c r="I2" s="8" t="n">
        <v>420000</v>
      </c>
      <c r="J2" s="19" t="n">
        <v>0.0435</v>
      </c>
      <c r="K2" s="7" t="s">
        <v>2996</v>
      </c>
      <c r="L2" s="7" t="s">
        <v>2997</v>
      </c>
      <c r="M2" s="8" t="n">
        <v>31869.68</v>
      </c>
      <c r="N2" s="16" t="n">
        <v>20</v>
      </c>
      <c r="O2" s="20" t="n">
        <v>43800</v>
      </c>
      <c r="P2" s="20" t="n">
        <v>50740</v>
      </c>
      <c r="Q2" s="8" t="n">
        <v>311438.01</v>
      </c>
      <c r="R2" s="20" t="n">
        <v>46357</v>
      </c>
      <c r="S2" s="8" t="n">
        <v>31869.68</v>
      </c>
      <c r="T2" s="8" t="n">
        <v>15744.72</v>
      </c>
      <c r="U2" s="8" t="n">
        <v>15043.29</v>
      </c>
      <c r="V2" s="8" t="n">
        <v>14311.34</v>
      </c>
      <c r="W2" s="8" t="n">
        <v>0</v>
      </c>
      <c r="X2" s="8" t="n">
        <v>18322.13</v>
      </c>
    </row>
    <row r="3" customFormat="false" ht="15" hidden="false" customHeight="false" outlineLevel="0" collapsed="false">
      <c r="A3" s="7" t="s">
        <v>779</v>
      </c>
      <c r="B3" s="7" t="s">
        <v>137</v>
      </c>
      <c r="C3" s="7" t="s">
        <v>2998</v>
      </c>
      <c r="D3" s="7" t="s">
        <v>778</v>
      </c>
      <c r="E3" s="7" t="s">
        <v>2999</v>
      </c>
      <c r="F3" s="7" t="s">
        <v>3000</v>
      </c>
      <c r="G3" s="7" t="s">
        <v>3001</v>
      </c>
      <c r="H3" s="20" t="n">
        <v>44575</v>
      </c>
      <c r="I3" s="8" t="n">
        <v>262000</v>
      </c>
      <c r="J3" s="19" t="n">
        <v>0.049</v>
      </c>
      <c r="K3" s="7" t="s">
        <v>2996</v>
      </c>
      <c r="L3" s="7" t="s">
        <v>2997</v>
      </c>
      <c r="M3" s="8" t="n">
        <v>45114.84</v>
      </c>
      <c r="N3" s="16" t="n">
        <v>7</v>
      </c>
      <c r="O3" s="20" t="n">
        <v>44940</v>
      </c>
      <c r="P3" s="20" t="n">
        <v>47132</v>
      </c>
      <c r="Q3" s="8" t="n">
        <v>123089.46</v>
      </c>
      <c r="R3" s="20" t="n">
        <v>46401</v>
      </c>
      <c r="S3" s="8" t="n">
        <v>45114.84</v>
      </c>
      <c r="T3" s="8" t="n">
        <v>12838</v>
      </c>
      <c r="U3" s="8" t="n">
        <v>11256.43</v>
      </c>
      <c r="V3" s="8" t="n">
        <v>9597.37</v>
      </c>
      <c r="W3" s="8" t="n">
        <v>7857.02</v>
      </c>
      <c r="X3" s="8" t="n">
        <v>39083.46</v>
      </c>
    </row>
    <row r="4" customFormat="false" ht="15" hidden="false" customHeight="false" outlineLevel="0" collapsed="false">
      <c r="A4" s="7" t="s">
        <v>1860</v>
      </c>
      <c r="B4" s="7" t="s">
        <v>137</v>
      </c>
      <c r="C4" s="7" t="s">
        <v>2998</v>
      </c>
      <c r="D4" s="7" t="s">
        <v>778</v>
      </c>
      <c r="E4" s="7" t="s">
        <v>2999</v>
      </c>
      <c r="F4" s="7" t="s">
        <v>3002</v>
      </c>
      <c r="G4" s="7" t="s">
        <v>3003</v>
      </c>
      <c r="H4" s="20" t="n">
        <v>45723</v>
      </c>
      <c r="I4" s="8" t="n">
        <v>165000</v>
      </c>
      <c r="J4" s="19" t="n">
        <v>0.0749</v>
      </c>
      <c r="K4" s="7" t="s">
        <v>2996</v>
      </c>
      <c r="L4" s="7" t="s">
        <v>2997</v>
      </c>
      <c r="M4" s="8" t="n">
        <v>35141.65</v>
      </c>
      <c r="N4" s="16" t="n">
        <v>6</v>
      </c>
      <c r="O4" s="20" t="n">
        <v>46088</v>
      </c>
      <c r="P4" s="20" t="n">
        <v>47914</v>
      </c>
      <c r="Q4" s="8" t="n">
        <v>142216.85</v>
      </c>
      <c r="R4" s="20" t="n">
        <v>46453</v>
      </c>
      <c r="S4" s="8" t="n">
        <v>35141.65</v>
      </c>
      <c r="T4" s="8" t="n">
        <v>0</v>
      </c>
      <c r="U4" s="8" t="n">
        <v>0</v>
      </c>
      <c r="V4" s="8" t="n">
        <v>0</v>
      </c>
      <c r="W4" s="8" t="n">
        <v>12358.5</v>
      </c>
      <c r="X4" s="8" t="n">
        <v>24489.61</v>
      </c>
    </row>
    <row r="5" customFormat="false" ht="15" hidden="false" customHeight="false" outlineLevel="0" collapsed="false">
      <c r="A5" s="7" t="s">
        <v>1552</v>
      </c>
      <c r="B5" s="7" t="s">
        <v>137</v>
      </c>
      <c r="C5" s="7" t="s">
        <v>3004</v>
      </c>
      <c r="D5" s="7" t="s">
        <v>556</v>
      </c>
      <c r="E5" s="7" t="s">
        <v>2999</v>
      </c>
      <c r="F5" s="7" t="s">
        <v>3005</v>
      </c>
      <c r="G5" s="7" t="s">
        <v>3006</v>
      </c>
      <c r="H5" s="20" t="n">
        <v>45520</v>
      </c>
      <c r="I5" s="8" t="n">
        <v>72000</v>
      </c>
      <c r="J5" s="19" t="n">
        <v>0.0725</v>
      </c>
      <c r="K5" s="7" t="s">
        <v>2996</v>
      </c>
      <c r="L5" s="7" t="s">
        <v>3007</v>
      </c>
      <c r="M5" s="8" t="n">
        <v>1732.49</v>
      </c>
      <c r="N5" s="16" t="n">
        <v>48</v>
      </c>
      <c r="O5" s="20" t="n">
        <v>45551</v>
      </c>
      <c r="P5" s="20" t="n">
        <v>46981</v>
      </c>
      <c r="Q5" s="8" t="n">
        <v>37098.41</v>
      </c>
      <c r="R5" s="20" t="n">
        <v>46311</v>
      </c>
      <c r="S5" s="8" t="n">
        <v>20789.88</v>
      </c>
      <c r="T5" s="8" t="n">
        <v>0</v>
      </c>
      <c r="U5" s="8" t="n">
        <v>1692.77</v>
      </c>
      <c r="V5" s="8" t="n">
        <v>4299.5</v>
      </c>
      <c r="W5" s="8" t="n">
        <v>2418.39</v>
      </c>
      <c r="X5" s="8" t="n">
        <v>18713.97</v>
      </c>
    </row>
    <row r="6" customFormat="false" ht="15" hidden="false" customHeight="false" outlineLevel="0" collapsed="false">
      <c r="A6" s="7" t="s">
        <v>769</v>
      </c>
      <c r="B6" s="7" t="s">
        <v>137</v>
      </c>
      <c r="C6" s="7" t="s">
        <v>3008</v>
      </c>
      <c r="D6" s="7" t="s">
        <v>768</v>
      </c>
      <c r="E6" s="7" t="s">
        <v>3009</v>
      </c>
      <c r="F6" s="7" t="s">
        <v>3010</v>
      </c>
      <c r="G6" s="7" t="s">
        <v>3011</v>
      </c>
      <c r="H6" s="20" t="n">
        <v>44357</v>
      </c>
      <c r="I6" s="8" t="n">
        <v>46000</v>
      </c>
      <c r="J6" s="19" t="n">
        <v>0.039</v>
      </c>
      <c r="K6" s="7" t="s">
        <v>2996</v>
      </c>
      <c r="L6" s="7" t="s">
        <v>3007</v>
      </c>
      <c r="M6" s="8" t="n">
        <v>845.09</v>
      </c>
      <c r="N6" s="16" t="n">
        <v>60</v>
      </c>
      <c r="O6" s="20" t="n">
        <v>44387</v>
      </c>
      <c r="P6" s="20" t="n">
        <v>46183</v>
      </c>
      <c r="Q6" s="8" t="n">
        <v>0</v>
      </c>
      <c r="R6" s="20"/>
      <c r="S6" s="8" t="n">
        <v>0</v>
      </c>
      <c r="T6" s="8" t="n">
        <v>1132.05</v>
      </c>
      <c r="U6" s="8" t="n">
        <v>774.35</v>
      </c>
      <c r="V6" s="8" t="n">
        <v>402.45</v>
      </c>
      <c r="W6" s="8" t="n">
        <v>57.19</v>
      </c>
      <c r="X6" s="8" t="n">
        <v>0</v>
      </c>
    </row>
    <row r="7" customFormat="false" ht="15" hidden="false" customHeight="false" outlineLevel="0" collapsed="false">
      <c r="A7" s="7" t="s">
        <v>784</v>
      </c>
      <c r="B7" s="7" t="s">
        <v>137</v>
      </c>
      <c r="C7" s="7" t="s">
        <v>3004</v>
      </c>
      <c r="D7" s="7" t="s">
        <v>556</v>
      </c>
      <c r="E7" s="7" t="s">
        <v>3012</v>
      </c>
      <c r="F7" s="7" t="s">
        <v>3013</v>
      </c>
      <c r="G7" s="7" t="s">
        <v>3014</v>
      </c>
      <c r="H7" s="20"/>
      <c r="I7" s="8" t="n">
        <v>250000</v>
      </c>
      <c r="J7" s="19" t="n">
        <v>0.0775</v>
      </c>
      <c r="K7" s="7" t="s">
        <v>3015</v>
      </c>
      <c r="L7" s="7" t="s">
        <v>3016</v>
      </c>
      <c r="M7" s="8"/>
      <c r="N7" s="16"/>
      <c r="O7" s="20"/>
      <c r="P7" s="20" t="n">
        <v>46447</v>
      </c>
      <c r="Q7" s="8" t="n">
        <v>221000</v>
      </c>
      <c r="R7" s="20" t="n">
        <v>46326</v>
      </c>
      <c r="S7" s="8"/>
      <c r="T7" s="8"/>
      <c r="U7" s="8"/>
      <c r="V7" s="8"/>
      <c r="W7" s="8"/>
      <c r="X7" s="8" t="n">
        <v>221000</v>
      </c>
    </row>
  </sheetData>
  <autoFilter ref="A1:X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23.85" hidden="false" customHeight="false" outlineLevel="0" collapsed="false">
      <c r="A1" s="11" t="s">
        <v>738</v>
      </c>
      <c r="B1" s="11" t="s">
        <v>131</v>
      </c>
      <c r="C1" s="11" t="s">
        <v>3017</v>
      </c>
      <c r="D1" s="11" t="s">
        <v>736</v>
      </c>
      <c r="E1" s="11" t="s">
        <v>3018</v>
      </c>
      <c r="F1" s="11" t="s">
        <v>205</v>
      </c>
      <c r="G1" s="11" t="s">
        <v>3019</v>
      </c>
      <c r="H1" s="11" t="s">
        <v>3020</v>
      </c>
      <c r="I1" s="11" t="s">
        <v>2679</v>
      </c>
    </row>
    <row r="2" customFormat="false" ht="15" hidden="false" customHeight="false" outlineLevel="0" collapsed="false">
      <c r="A2" s="7" t="s">
        <v>1265</v>
      </c>
      <c r="B2" s="7" t="s">
        <v>137</v>
      </c>
      <c r="C2" s="16" t="n">
        <v>1</v>
      </c>
      <c r="D2" s="20" t="n">
        <v>43800</v>
      </c>
      <c r="E2" s="8" t="n">
        <v>31869.68</v>
      </c>
      <c r="F2" s="8" t="n">
        <v>18270</v>
      </c>
      <c r="G2" s="8" t="n">
        <v>13599.68</v>
      </c>
      <c r="H2" s="8" t="n">
        <v>406400.32</v>
      </c>
      <c r="I2" s="7" t="s">
        <v>2684</v>
      </c>
    </row>
    <row r="3" customFormat="false" ht="15" hidden="false" customHeight="false" outlineLevel="0" collapsed="false">
      <c r="A3" s="7" t="s">
        <v>1265</v>
      </c>
      <c r="B3" s="7" t="s">
        <v>137</v>
      </c>
      <c r="C3" s="16" t="n">
        <v>2</v>
      </c>
      <c r="D3" s="20" t="n">
        <v>44166</v>
      </c>
      <c r="E3" s="8" t="n">
        <v>31869.68</v>
      </c>
      <c r="F3" s="8" t="n">
        <v>17678.41</v>
      </c>
      <c r="G3" s="8" t="n">
        <v>14191.27</v>
      </c>
      <c r="H3" s="8" t="n">
        <v>392209.05</v>
      </c>
      <c r="I3" s="7" t="s">
        <v>2684</v>
      </c>
    </row>
    <row r="4" customFormat="false" ht="15" hidden="false" customHeight="false" outlineLevel="0" collapsed="false">
      <c r="A4" s="7" t="s">
        <v>1265</v>
      </c>
      <c r="B4" s="7" t="s">
        <v>137</v>
      </c>
      <c r="C4" s="16" t="n">
        <v>3</v>
      </c>
      <c r="D4" s="20" t="n">
        <v>44531</v>
      </c>
      <c r="E4" s="8" t="n">
        <v>31869.68</v>
      </c>
      <c r="F4" s="8" t="n">
        <v>17061.09</v>
      </c>
      <c r="G4" s="8" t="n">
        <v>14808.59</v>
      </c>
      <c r="H4" s="8" t="n">
        <v>377400.46</v>
      </c>
      <c r="I4" s="7" t="s">
        <v>2684</v>
      </c>
    </row>
    <row r="5" customFormat="false" ht="15" hidden="false" customHeight="false" outlineLevel="0" collapsed="false">
      <c r="A5" s="7" t="s">
        <v>1265</v>
      </c>
      <c r="B5" s="7" t="s">
        <v>137</v>
      </c>
      <c r="C5" s="16" t="n">
        <v>4</v>
      </c>
      <c r="D5" s="20" t="n">
        <v>44896</v>
      </c>
      <c r="E5" s="8" t="n">
        <v>31869.68</v>
      </c>
      <c r="F5" s="8" t="n">
        <v>16416.92</v>
      </c>
      <c r="G5" s="8" t="n">
        <v>15452.76</v>
      </c>
      <c r="H5" s="8" t="n">
        <v>361947.7</v>
      </c>
      <c r="I5" s="7" t="s">
        <v>2684</v>
      </c>
    </row>
    <row r="6" customFormat="false" ht="15" hidden="false" customHeight="false" outlineLevel="0" collapsed="false">
      <c r="A6" s="7" t="s">
        <v>1265</v>
      </c>
      <c r="B6" s="7" t="s">
        <v>137</v>
      </c>
      <c r="C6" s="16" t="n">
        <v>5</v>
      </c>
      <c r="D6" s="20" t="n">
        <v>45261</v>
      </c>
      <c r="E6" s="8" t="n">
        <v>31869.68</v>
      </c>
      <c r="F6" s="8" t="n">
        <v>15744.72</v>
      </c>
      <c r="G6" s="8" t="n">
        <v>16124.96</v>
      </c>
      <c r="H6" s="8" t="n">
        <v>345822.74</v>
      </c>
      <c r="I6" s="7" t="s">
        <v>2684</v>
      </c>
    </row>
    <row r="7" customFormat="false" ht="15" hidden="false" customHeight="false" outlineLevel="0" collapsed="false">
      <c r="A7" s="7" t="s">
        <v>1265</v>
      </c>
      <c r="B7" s="7" t="s">
        <v>137</v>
      </c>
      <c r="C7" s="16" t="n">
        <v>6</v>
      </c>
      <c r="D7" s="20" t="n">
        <v>45627</v>
      </c>
      <c r="E7" s="8" t="n">
        <v>31869.68</v>
      </c>
      <c r="F7" s="8" t="n">
        <v>15043.29</v>
      </c>
      <c r="G7" s="8" t="n">
        <v>16826.39</v>
      </c>
      <c r="H7" s="8" t="n">
        <v>328996.35</v>
      </c>
      <c r="I7" s="7" t="s">
        <v>2684</v>
      </c>
    </row>
    <row r="8" customFormat="false" ht="15" hidden="false" customHeight="false" outlineLevel="0" collapsed="false">
      <c r="A8" s="7" t="s">
        <v>1265</v>
      </c>
      <c r="B8" s="7" t="s">
        <v>137</v>
      </c>
      <c r="C8" s="16" t="n">
        <v>7</v>
      </c>
      <c r="D8" s="20" t="n">
        <v>45992</v>
      </c>
      <c r="E8" s="8" t="n">
        <v>31869.68</v>
      </c>
      <c r="F8" s="8" t="n">
        <v>14311.34</v>
      </c>
      <c r="G8" s="8" t="n">
        <v>17558.34</v>
      </c>
      <c r="H8" s="8" t="n">
        <v>311438.01</v>
      </c>
      <c r="I8" s="7" t="s">
        <v>2684</v>
      </c>
    </row>
    <row r="9" customFormat="false" ht="15" hidden="false" customHeight="false" outlineLevel="0" collapsed="false">
      <c r="A9" s="7" t="s">
        <v>1265</v>
      </c>
      <c r="B9" s="7" t="s">
        <v>137</v>
      </c>
      <c r="C9" s="16" t="n">
        <v>8</v>
      </c>
      <c r="D9" s="20" t="n">
        <v>46357</v>
      </c>
      <c r="E9" s="8" t="n">
        <v>31869.68</v>
      </c>
      <c r="F9" s="8" t="n">
        <v>13547.55</v>
      </c>
      <c r="G9" s="8" t="n">
        <v>18322.13</v>
      </c>
      <c r="H9" s="8" t="n">
        <v>293115.88</v>
      </c>
      <c r="I9" s="7" t="s">
        <v>3021</v>
      </c>
    </row>
    <row r="10" customFormat="false" ht="15" hidden="false" customHeight="false" outlineLevel="0" collapsed="false">
      <c r="A10" s="7" t="s">
        <v>1265</v>
      </c>
      <c r="B10" s="7" t="s">
        <v>137</v>
      </c>
      <c r="C10" s="16" t="n">
        <v>9</v>
      </c>
      <c r="D10" s="20" t="n">
        <v>46722</v>
      </c>
      <c r="E10" s="8" t="n">
        <v>31869.68</v>
      </c>
      <c r="F10" s="8" t="n">
        <v>12750.54</v>
      </c>
      <c r="G10" s="8" t="n">
        <v>19119.14</v>
      </c>
      <c r="H10" s="8" t="n">
        <v>273996.74</v>
      </c>
      <c r="I10" s="7" t="s">
        <v>3021</v>
      </c>
    </row>
    <row r="11" customFormat="false" ht="15" hidden="false" customHeight="false" outlineLevel="0" collapsed="false">
      <c r="A11" s="7" t="s">
        <v>1265</v>
      </c>
      <c r="B11" s="7" t="s">
        <v>137</v>
      </c>
      <c r="C11" s="16" t="n">
        <v>10</v>
      </c>
      <c r="D11" s="20" t="n">
        <v>47088</v>
      </c>
      <c r="E11" s="8" t="n">
        <v>31869.68</v>
      </c>
      <c r="F11" s="8" t="n">
        <v>11918.86</v>
      </c>
      <c r="G11" s="8" t="n">
        <v>19950.82</v>
      </c>
      <c r="H11" s="8" t="n">
        <v>254045.92</v>
      </c>
      <c r="I11" s="7" t="s">
        <v>3021</v>
      </c>
    </row>
    <row r="12" customFormat="false" ht="15" hidden="false" customHeight="false" outlineLevel="0" collapsed="false">
      <c r="A12" s="7" t="s">
        <v>1265</v>
      </c>
      <c r="B12" s="7" t="s">
        <v>137</v>
      </c>
      <c r="C12" s="16" t="n">
        <v>11</v>
      </c>
      <c r="D12" s="20" t="n">
        <v>47453</v>
      </c>
      <c r="E12" s="8" t="n">
        <v>31869.68</v>
      </c>
      <c r="F12" s="8" t="n">
        <v>11051</v>
      </c>
      <c r="G12" s="8" t="n">
        <v>20818.68</v>
      </c>
      <c r="H12" s="8" t="n">
        <v>233227.24</v>
      </c>
      <c r="I12" s="7" t="s">
        <v>3021</v>
      </c>
    </row>
    <row r="13" customFormat="false" ht="15" hidden="false" customHeight="false" outlineLevel="0" collapsed="false">
      <c r="A13" s="7" t="s">
        <v>1265</v>
      </c>
      <c r="B13" s="7" t="s">
        <v>137</v>
      </c>
      <c r="C13" s="16" t="n">
        <v>12</v>
      </c>
      <c r="D13" s="20" t="n">
        <v>47818</v>
      </c>
      <c r="E13" s="8" t="n">
        <v>31869.68</v>
      </c>
      <c r="F13" s="8" t="n">
        <v>10145.38</v>
      </c>
      <c r="G13" s="8" t="n">
        <v>21724.3</v>
      </c>
      <c r="H13" s="8" t="n">
        <v>211502.94</v>
      </c>
      <c r="I13" s="7" t="s">
        <v>3021</v>
      </c>
    </row>
    <row r="14" customFormat="false" ht="15" hidden="false" customHeight="false" outlineLevel="0" collapsed="false">
      <c r="A14" s="7" t="s">
        <v>1265</v>
      </c>
      <c r="B14" s="7" t="s">
        <v>137</v>
      </c>
      <c r="C14" s="16" t="n">
        <v>13</v>
      </c>
      <c r="D14" s="20" t="n">
        <v>48183</v>
      </c>
      <c r="E14" s="8" t="n">
        <v>31869.68</v>
      </c>
      <c r="F14" s="8" t="n">
        <v>9200.38</v>
      </c>
      <c r="G14" s="8" t="n">
        <v>22669.3</v>
      </c>
      <c r="H14" s="8" t="n">
        <v>188833.64</v>
      </c>
      <c r="I14" s="7" t="s">
        <v>3021</v>
      </c>
    </row>
    <row r="15" customFormat="false" ht="15" hidden="false" customHeight="false" outlineLevel="0" collapsed="false">
      <c r="A15" s="7" t="s">
        <v>1265</v>
      </c>
      <c r="B15" s="7" t="s">
        <v>137</v>
      </c>
      <c r="C15" s="16" t="n">
        <v>14</v>
      </c>
      <c r="D15" s="20" t="n">
        <v>48549</v>
      </c>
      <c r="E15" s="8" t="n">
        <v>31869.68</v>
      </c>
      <c r="F15" s="8" t="n">
        <v>8214.26</v>
      </c>
      <c r="G15" s="8" t="n">
        <v>23655.42</v>
      </c>
      <c r="H15" s="8" t="n">
        <v>165178.22</v>
      </c>
      <c r="I15" s="7" t="s">
        <v>3021</v>
      </c>
    </row>
    <row r="16" customFormat="false" ht="15" hidden="false" customHeight="false" outlineLevel="0" collapsed="false">
      <c r="A16" s="7" t="s">
        <v>1265</v>
      </c>
      <c r="B16" s="7" t="s">
        <v>137</v>
      </c>
      <c r="C16" s="16" t="n">
        <v>15</v>
      </c>
      <c r="D16" s="20" t="n">
        <v>48914</v>
      </c>
      <c r="E16" s="8" t="n">
        <v>31869.68</v>
      </c>
      <c r="F16" s="8" t="n">
        <v>7185.25</v>
      </c>
      <c r="G16" s="8" t="n">
        <v>24684.43</v>
      </c>
      <c r="H16" s="8" t="n">
        <v>140493.79</v>
      </c>
      <c r="I16" s="7" t="s">
        <v>3021</v>
      </c>
    </row>
    <row r="17" customFormat="false" ht="15" hidden="false" customHeight="false" outlineLevel="0" collapsed="false">
      <c r="A17" s="7" t="s">
        <v>1265</v>
      </c>
      <c r="B17" s="7" t="s">
        <v>137</v>
      </c>
      <c r="C17" s="16" t="n">
        <v>16</v>
      </c>
      <c r="D17" s="20" t="n">
        <v>49279</v>
      </c>
      <c r="E17" s="8" t="n">
        <v>31869.68</v>
      </c>
      <c r="F17" s="8" t="n">
        <v>6111.48</v>
      </c>
      <c r="G17" s="8" t="n">
        <v>25758.2</v>
      </c>
      <c r="H17" s="8" t="n">
        <v>114735.59</v>
      </c>
      <c r="I17" s="7" t="s">
        <v>3021</v>
      </c>
    </row>
    <row r="18" customFormat="false" ht="15" hidden="false" customHeight="false" outlineLevel="0" collapsed="false">
      <c r="A18" s="7" t="s">
        <v>1265</v>
      </c>
      <c r="B18" s="7" t="s">
        <v>137</v>
      </c>
      <c r="C18" s="16" t="n">
        <v>17</v>
      </c>
      <c r="D18" s="20" t="n">
        <v>49644</v>
      </c>
      <c r="E18" s="8" t="n">
        <v>31869.68</v>
      </c>
      <c r="F18" s="8" t="n">
        <v>4991</v>
      </c>
      <c r="G18" s="8" t="n">
        <v>26878.68</v>
      </c>
      <c r="H18" s="8" t="n">
        <v>87856.91</v>
      </c>
      <c r="I18" s="7" t="s">
        <v>3021</v>
      </c>
    </row>
    <row r="19" customFormat="false" ht="15" hidden="false" customHeight="false" outlineLevel="0" collapsed="false">
      <c r="A19" s="7" t="s">
        <v>1265</v>
      </c>
      <c r="B19" s="7" t="s">
        <v>137</v>
      </c>
      <c r="C19" s="16" t="n">
        <v>18</v>
      </c>
      <c r="D19" s="20" t="n">
        <v>50010</v>
      </c>
      <c r="E19" s="8" t="n">
        <v>31869.68</v>
      </c>
      <c r="F19" s="8" t="n">
        <v>3821.78</v>
      </c>
      <c r="G19" s="8" t="n">
        <v>28047.9</v>
      </c>
      <c r="H19" s="8" t="n">
        <v>59809.01</v>
      </c>
      <c r="I19" s="7" t="s">
        <v>3021</v>
      </c>
    </row>
    <row r="20" customFormat="false" ht="15" hidden="false" customHeight="false" outlineLevel="0" collapsed="false">
      <c r="A20" s="7" t="s">
        <v>1265</v>
      </c>
      <c r="B20" s="7" t="s">
        <v>137</v>
      </c>
      <c r="C20" s="16" t="n">
        <v>19</v>
      </c>
      <c r="D20" s="20" t="n">
        <v>50375</v>
      </c>
      <c r="E20" s="8" t="n">
        <v>31869.68</v>
      </c>
      <c r="F20" s="8" t="n">
        <v>2601.69</v>
      </c>
      <c r="G20" s="8" t="n">
        <v>29267.99</v>
      </c>
      <c r="H20" s="8" t="n">
        <v>30541.02</v>
      </c>
      <c r="I20" s="7" t="s">
        <v>3021</v>
      </c>
    </row>
    <row r="21" customFormat="false" ht="15" hidden="false" customHeight="false" outlineLevel="0" collapsed="false">
      <c r="A21" s="7" t="s">
        <v>1265</v>
      </c>
      <c r="B21" s="7" t="s">
        <v>137</v>
      </c>
      <c r="C21" s="16" t="n">
        <v>20</v>
      </c>
      <c r="D21" s="20" t="n">
        <v>50740</v>
      </c>
      <c r="E21" s="8" t="n">
        <v>31869.55</v>
      </c>
      <c r="F21" s="8" t="n">
        <v>1328.53</v>
      </c>
      <c r="G21" s="8" t="n">
        <v>30541.02</v>
      </c>
      <c r="H21" s="8" t="n">
        <v>0</v>
      </c>
      <c r="I21" s="7" t="s">
        <v>3021</v>
      </c>
    </row>
    <row r="22" customFormat="false" ht="15" hidden="false" customHeight="false" outlineLevel="0" collapsed="false">
      <c r="A22" s="7" t="s">
        <v>779</v>
      </c>
      <c r="B22" s="7" t="s">
        <v>137</v>
      </c>
      <c r="C22" s="16" t="n">
        <v>1</v>
      </c>
      <c r="D22" s="20" t="n">
        <v>44940</v>
      </c>
      <c r="E22" s="8" t="n">
        <v>45114.84</v>
      </c>
      <c r="F22" s="8" t="n">
        <v>12838</v>
      </c>
      <c r="G22" s="8" t="n">
        <v>32276.84</v>
      </c>
      <c r="H22" s="8" t="n">
        <v>229723.16</v>
      </c>
      <c r="I22" s="7" t="s">
        <v>2684</v>
      </c>
    </row>
    <row r="23" customFormat="false" ht="15" hidden="false" customHeight="false" outlineLevel="0" collapsed="false">
      <c r="A23" s="7" t="s">
        <v>779</v>
      </c>
      <c r="B23" s="7" t="s">
        <v>137</v>
      </c>
      <c r="C23" s="16" t="n">
        <v>2</v>
      </c>
      <c r="D23" s="20" t="n">
        <v>45305</v>
      </c>
      <c r="E23" s="8" t="n">
        <v>45114.84</v>
      </c>
      <c r="F23" s="8" t="n">
        <v>11256.43</v>
      </c>
      <c r="G23" s="8" t="n">
        <v>33858.41</v>
      </c>
      <c r="H23" s="8" t="n">
        <v>195864.75</v>
      </c>
      <c r="I23" s="7" t="s">
        <v>2684</v>
      </c>
    </row>
    <row r="24" customFormat="false" ht="15" hidden="false" customHeight="false" outlineLevel="0" collapsed="false">
      <c r="A24" s="7" t="s">
        <v>779</v>
      </c>
      <c r="B24" s="7" t="s">
        <v>137</v>
      </c>
      <c r="C24" s="16" t="n">
        <v>3</v>
      </c>
      <c r="D24" s="20" t="n">
        <v>45671</v>
      </c>
      <c r="E24" s="8" t="n">
        <v>45114.84</v>
      </c>
      <c r="F24" s="8" t="n">
        <v>9597.37</v>
      </c>
      <c r="G24" s="8" t="n">
        <v>35517.47</v>
      </c>
      <c r="H24" s="8" t="n">
        <v>160347.28</v>
      </c>
      <c r="I24" s="7" t="s">
        <v>2684</v>
      </c>
    </row>
    <row r="25" customFormat="false" ht="15" hidden="false" customHeight="false" outlineLevel="0" collapsed="false">
      <c r="A25" s="7" t="s">
        <v>779</v>
      </c>
      <c r="B25" s="7" t="s">
        <v>137</v>
      </c>
      <c r="C25" s="16" t="n">
        <v>4</v>
      </c>
      <c r="D25" s="20" t="n">
        <v>46036</v>
      </c>
      <c r="E25" s="8" t="n">
        <v>45114.84</v>
      </c>
      <c r="F25" s="8" t="n">
        <v>7857.02</v>
      </c>
      <c r="G25" s="8" t="n">
        <v>37257.82</v>
      </c>
      <c r="H25" s="8" t="n">
        <v>123089.46</v>
      </c>
      <c r="I25" s="7" t="s">
        <v>2684</v>
      </c>
    </row>
    <row r="26" customFormat="false" ht="15" hidden="false" customHeight="false" outlineLevel="0" collapsed="false">
      <c r="A26" s="7" t="s">
        <v>779</v>
      </c>
      <c r="B26" s="7" t="s">
        <v>137</v>
      </c>
      <c r="C26" s="16" t="n">
        <v>5</v>
      </c>
      <c r="D26" s="20" t="n">
        <v>46401</v>
      </c>
      <c r="E26" s="8" t="n">
        <v>45114.84</v>
      </c>
      <c r="F26" s="8" t="n">
        <v>6031.38</v>
      </c>
      <c r="G26" s="8" t="n">
        <v>39083.46</v>
      </c>
      <c r="H26" s="8" t="n">
        <v>84006</v>
      </c>
      <c r="I26" s="7" t="s">
        <v>3021</v>
      </c>
    </row>
    <row r="27" customFormat="false" ht="15" hidden="false" customHeight="false" outlineLevel="0" collapsed="false">
      <c r="A27" s="7" t="s">
        <v>779</v>
      </c>
      <c r="B27" s="7" t="s">
        <v>137</v>
      </c>
      <c r="C27" s="16" t="n">
        <v>6</v>
      </c>
      <c r="D27" s="20" t="n">
        <v>46766</v>
      </c>
      <c r="E27" s="8" t="n">
        <v>45114.84</v>
      </c>
      <c r="F27" s="8" t="n">
        <v>4116.29</v>
      </c>
      <c r="G27" s="8" t="n">
        <v>40998.55</v>
      </c>
      <c r="H27" s="8" t="n">
        <v>43007.45</v>
      </c>
      <c r="I27" s="7" t="s">
        <v>3021</v>
      </c>
    </row>
    <row r="28" customFormat="false" ht="15" hidden="false" customHeight="false" outlineLevel="0" collapsed="false">
      <c r="A28" s="7" t="s">
        <v>779</v>
      </c>
      <c r="B28" s="7" t="s">
        <v>137</v>
      </c>
      <c r="C28" s="16" t="n">
        <v>7</v>
      </c>
      <c r="D28" s="20" t="n">
        <v>47132</v>
      </c>
      <c r="E28" s="8" t="n">
        <v>45114.82</v>
      </c>
      <c r="F28" s="8" t="n">
        <v>2107.37</v>
      </c>
      <c r="G28" s="8" t="n">
        <v>43007.45</v>
      </c>
      <c r="H28" s="8" t="n">
        <v>0</v>
      </c>
      <c r="I28" s="7" t="s">
        <v>3021</v>
      </c>
    </row>
    <row r="29" customFormat="false" ht="15" hidden="false" customHeight="false" outlineLevel="0" collapsed="false">
      <c r="A29" s="7" t="s">
        <v>1860</v>
      </c>
      <c r="B29" s="7" t="s">
        <v>137</v>
      </c>
      <c r="C29" s="16" t="n">
        <v>1</v>
      </c>
      <c r="D29" s="20" t="n">
        <v>46088</v>
      </c>
      <c r="E29" s="8" t="n">
        <v>35141.65</v>
      </c>
      <c r="F29" s="8" t="n">
        <v>12358.5</v>
      </c>
      <c r="G29" s="8" t="n">
        <v>22783.15</v>
      </c>
      <c r="H29" s="8" t="n">
        <v>142216.85</v>
      </c>
      <c r="I29" s="7" t="s">
        <v>2684</v>
      </c>
    </row>
    <row r="30" customFormat="false" ht="15" hidden="false" customHeight="false" outlineLevel="0" collapsed="false">
      <c r="A30" s="7" t="s">
        <v>1860</v>
      </c>
      <c r="B30" s="7" t="s">
        <v>137</v>
      </c>
      <c r="C30" s="16" t="n">
        <v>2</v>
      </c>
      <c r="D30" s="20" t="n">
        <v>46453</v>
      </c>
      <c r="E30" s="8" t="n">
        <v>35141.65</v>
      </c>
      <c r="F30" s="8" t="n">
        <v>10652.04</v>
      </c>
      <c r="G30" s="8" t="n">
        <v>24489.61</v>
      </c>
      <c r="H30" s="8" t="n">
        <v>117727.24</v>
      </c>
      <c r="I30" s="7" t="s">
        <v>3021</v>
      </c>
    </row>
    <row r="31" customFormat="false" ht="15" hidden="false" customHeight="false" outlineLevel="0" collapsed="false">
      <c r="A31" s="7" t="s">
        <v>1860</v>
      </c>
      <c r="B31" s="7" t="s">
        <v>137</v>
      </c>
      <c r="C31" s="16" t="n">
        <v>3</v>
      </c>
      <c r="D31" s="20" t="n">
        <v>46819</v>
      </c>
      <c r="E31" s="8" t="n">
        <v>35141.65</v>
      </c>
      <c r="F31" s="8" t="n">
        <v>8817.77</v>
      </c>
      <c r="G31" s="8" t="n">
        <v>26323.88</v>
      </c>
      <c r="H31" s="8" t="n">
        <v>91403.36</v>
      </c>
      <c r="I31" s="7" t="s">
        <v>3021</v>
      </c>
    </row>
    <row r="32" customFormat="false" ht="15" hidden="false" customHeight="false" outlineLevel="0" collapsed="false">
      <c r="A32" s="7" t="s">
        <v>1860</v>
      </c>
      <c r="B32" s="7" t="s">
        <v>137</v>
      </c>
      <c r="C32" s="16" t="n">
        <v>4</v>
      </c>
      <c r="D32" s="20" t="n">
        <v>47184</v>
      </c>
      <c r="E32" s="8" t="n">
        <v>35141.65</v>
      </c>
      <c r="F32" s="8" t="n">
        <v>6846.11</v>
      </c>
      <c r="G32" s="8" t="n">
        <v>28295.54</v>
      </c>
      <c r="H32" s="8" t="n">
        <v>63107.82</v>
      </c>
      <c r="I32" s="7" t="s">
        <v>3021</v>
      </c>
    </row>
    <row r="33" customFormat="false" ht="15" hidden="false" customHeight="false" outlineLevel="0" collapsed="false">
      <c r="A33" s="7" t="s">
        <v>1860</v>
      </c>
      <c r="B33" s="7" t="s">
        <v>137</v>
      </c>
      <c r="C33" s="16" t="n">
        <v>5</v>
      </c>
      <c r="D33" s="20" t="n">
        <v>47549</v>
      </c>
      <c r="E33" s="8" t="n">
        <v>35141.65</v>
      </c>
      <c r="F33" s="8" t="n">
        <v>4726.78</v>
      </c>
      <c r="G33" s="8" t="n">
        <v>30414.87</v>
      </c>
      <c r="H33" s="8" t="n">
        <v>32692.95</v>
      </c>
      <c r="I33" s="7" t="s">
        <v>3021</v>
      </c>
    </row>
    <row r="34" customFormat="false" ht="15" hidden="false" customHeight="false" outlineLevel="0" collapsed="false">
      <c r="A34" s="7" t="s">
        <v>1860</v>
      </c>
      <c r="B34" s="7" t="s">
        <v>137</v>
      </c>
      <c r="C34" s="16" t="n">
        <v>6</v>
      </c>
      <c r="D34" s="20" t="n">
        <v>47914</v>
      </c>
      <c r="E34" s="8" t="n">
        <v>35141.65</v>
      </c>
      <c r="F34" s="8" t="n">
        <v>2448.7</v>
      </c>
      <c r="G34" s="8" t="n">
        <v>32692.95</v>
      </c>
      <c r="H34" s="8" t="n">
        <v>0</v>
      </c>
      <c r="I34" s="7" t="s">
        <v>3021</v>
      </c>
    </row>
    <row r="35" customFormat="false" ht="15" hidden="false" customHeight="false" outlineLevel="0" collapsed="false">
      <c r="A35" s="7" t="s">
        <v>1552</v>
      </c>
      <c r="B35" s="7" t="s">
        <v>137</v>
      </c>
      <c r="C35" s="16" t="n">
        <v>1</v>
      </c>
      <c r="D35" s="20" t="n">
        <v>45551</v>
      </c>
      <c r="E35" s="8" t="n">
        <v>1732.49</v>
      </c>
      <c r="F35" s="8" t="n">
        <v>435</v>
      </c>
      <c r="G35" s="8" t="n">
        <v>1297.49</v>
      </c>
      <c r="H35" s="8" t="n">
        <v>70702.51</v>
      </c>
      <c r="I35" s="7" t="s">
        <v>2684</v>
      </c>
    </row>
    <row r="36" customFormat="false" ht="15" hidden="false" customHeight="false" outlineLevel="0" collapsed="false">
      <c r="A36" s="7" t="s">
        <v>1552</v>
      </c>
      <c r="B36" s="7" t="s">
        <v>137</v>
      </c>
      <c r="C36" s="16" t="n">
        <v>2</v>
      </c>
      <c r="D36" s="20" t="n">
        <v>45581</v>
      </c>
      <c r="E36" s="8" t="n">
        <v>1732.49</v>
      </c>
      <c r="F36" s="8" t="n">
        <v>427.16</v>
      </c>
      <c r="G36" s="8" t="n">
        <v>1305.33</v>
      </c>
      <c r="H36" s="8" t="n">
        <v>69397.18</v>
      </c>
      <c r="I36" s="7" t="s">
        <v>2684</v>
      </c>
    </row>
    <row r="37" customFormat="false" ht="15" hidden="false" customHeight="false" outlineLevel="0" collapsed="false">
      <c r="A37" s="7" t="s">
        <v>1552</v>
      </c>
      <c r="B37" s="7" t="s">
        <v>137</v>
      </c>
      <c r="C37" s="16" t="n">
        <v>3</v>
      </c>
      <c r="D37" s="20" t="n">
        <v>45612</v>
      </c>
      <c r="E37" s="8" t="n">
        <v>1732.49</v>
      </c>
      <c r="F37" s="8" t="n">
        <v>419.27</v>
      </c>
      <c r="G37" s="8" t="n">
        <v>1313.22</v>
      </c>
      <c r="H37" s="8" t="n">
        <v>68083.96</v>
      </c>
      <c r="I37" s="7" t="s">
        <v>2684</v>
      </c>
    </row>
    <row r="38" customFormat="false" ht="15" hidden="false" customHeight="false" outlineLevel="0" collapsed="false">
      <c r="A38" s="7" t="s">
        <v>1552</v>
      </c>
      <c r="B38" s="7" t="s">
        <v>137</v>
      </c>
      <c r="C38" s="16" t="n">
        <v>4</v>
      </c>
      <c r="D38" s="20" t="n">
        <v>45642</v>
      </c>
      <c r="E38" s="8" t="n">
        <v>1732.49</v>
      </c>
      <c r="F38" s="8" t="n">
        <v>411.34</v>
      </c>
      <c r="G38" s="8" t="n">
        <v>1321.15</v>
      </c>
      <c r="H38" s="8" t="n">
        <v>66762.81</v>
      </c>
      <c r="I38" s="7" t="s">
        <v>2684</v>
      </c>
    </row>
    <row r="39" customFormat="false" ht="15" hidden="false" customHeight="false" outlineLevel="0" collapsed="false">
      <c r="A39" s="7" t="s">
        <v>1552</v>
      </c>
      <c r="B39" s="7" t="s">
        <v>137</v>
      </c>
      <c r="C39" s="16" t="n">
        <v>5</v>
      </c>
      <c r="D39" s="20" t="n">
        <v>45673</v>
      </c>
      <c r="E39" s="8" t="n">
        <v>1732.49</v>
      </c>
      <c r="F39" s="8" t="n">
        <v>403.36</v>
      </c>
      <c r="G39" s="8" t="n">
        <v>1329.13</v>
      </c>
      <c r="H39" s="8" t="n">
        <v>65433.68</v>
      </c>
      <c r="I39" s="7" t="s">
        <v>2684</v>
      </c>
    </row>
    <row r="40" customFormat="false" ht="15" hidden="false" customHeight="false" outlineLevel="0" collapsed="false">
      <c r="A40" s="7" t="s">
        <v>1552</v>
      </c>
      <c r="B40" s="7" t="s">
        <v>137</v>
      </c>
      <c r="C40" s="16" t="n">
        <v>6</v>
      </c>
      <c r="D40" s="20" t="n">
        <v>45704</v>
      </c>
      <c r="E40" s="8" t="n">
        <v>1732.49</v>
      </c>
      <c r="F40" s="8" t="n">
        <v>395.33</v>
      </c>
      <c r="G40" s="8" t="n">
        <v>1337.16</v>
      </c>
      <c r="H40" s="8" t="n">
        <v>64096.52</v>
      </c>
      <c r="I40" s="7" t="s">
        <v>2684</v>
      </c>
    </row>
    <row r="41" customFormat="false" ht="15" hidden="false" customHeight="false" outlineLevel="0" collapsed="false">
      <c r="A41" s="7" t="s">
        <v>1552</v>
      </c>
      <c r="B41" s="7" t="s">
        <v>137</v>
      </c>
      <c r="C41" s="16" t="n">
        <v>7</v>
      </c>
      <c r="D41" s="20" t="n">
        <v>45732</v>
      </c>
      <c r="E41" s="8" t="n">
        <v>1732.49</v>
      </c>
      <c r="F41" s="8" t="n">
        <v>387.25</v>
      </c>
      <c r="G41" s="8" t="n">
        <v>1345.24</v>
      </c>
      <c r="H41" s="8" t="n">
        <v>62751.28</v>
      </c>
      <c r="I41" s="7" t="s">
        <v>2684</v>
      </c>
    </row>
    <row r="42" customFormat="false" ht="15" hidden="false" customHeight="false" outlineLevel="0" collapsed="false">
      <c r="A42" s="7" t="s">
        <v>1552</v>
      </c>
      <c r="B42" s="7" t="s">
        <v>137</v>
      </c>
      <c r="C42" s="16" t="n">
        <v>8</v>
      </c>
      <c r="D42" s="20" t="n">
        <v>45763</v>
      </c>
      <c r="E42" s="8" t="n">
        <v>1732.49</v>
      </c>
      <c r="F42" s="8" t="n">
        <v>379.12</v>
      </c>
      <c r="G42" s="8" t="n">
        <v>1353.37</v>
      </c>
      <c r="H42" s="8" t="n">
        <v>61397.91</v>
      </c>
      <c r="I42" s="7" t="s">
        <v>2684</v>
      </c>
    </row>
    <row r="43" customFormat="false" ht="15" hidden="false" customHeight="false" outlineLevel="0" collapsed="false">
      <c r="A43" s="7" t="s">
        <v>1552</v>
      </c>
      <c r="B43" s="7" t="s">
        <v>137</v>
      </c>
      <c r="C43" s="16" t="n">
        <v>9</v>
      </c>
      <c r="D43" s="20" t="n">
        <v>45793</v>
      </c>
      <c r="E43" s="8" t="n">
        <v>1732.49</v>
      </c>
      <c r="F43" s="8" t="n">
        <v>370.95</v>
      </c>
      <c r="G43" s="8" t="n">
        <v>1361.54</v>
      </c>
      <c r="H43" s="8" t="n">
        <v>60036.37</v>
      </c>
      <c r="I43" s="7" t="s">
        <v>2684</v>
      </c>
    </row>
    <row r="44" customFormat="false" ht="15" hidden="false" customHeight="false" outlineLevel="0" collapsed="false">
      <c r="A44" s="7" t="s">
        <v>1552</v>
      </c>
      <c r="B44" s="7" t="s">
        <v>137</v>
      </c>
      <c r="C44" s="16" t="n">
        <v>10</v>
      </c>
      <c r="D44" s="20" t="n">
        <v>45824</v>
      </c>
      <c r="E44" s="8" t="n">
        <v>1732.49</v>
      </c>
      <c r="F44" s="8" t="n">
        <v>362.72</v>
      </c>
      <c r="G44" s="8" t="n">
        <v>1369.77</v>
      </c>
      <c r="H44" s="8" t="n">
        <v>58666.6</v>
      </c>
      <c r="I44" s="7" t="s">
        <v>2684</v>
      </c>
    </row>
    <row r="45" customFormat="false" ht="15" hidden="false" customHeight="false" outlineLevel="0" collapsed="false">
      <c r="A45" s="7" t="s">
        <v>1552</v>
      </c>
      <c r="B45" s="7" t="s">
        <v>137</v>
      </c>
      <c r="C45" s="16" t="n">
        <v>11</v>
      </c>
      <c r="D45" s="20" t="n">
        <v>45854</v>
      </c>
      <c r="E45" s="8" t="n">
        <v>1732.49</v>
      </c>
      <c r="F45" s="8" t="n">
        <v>354.44</v>
      </c>
      <c r="G45" s="8" t="n">
        <v>1378.05</v>
      </c>
      <c r="H45" s="8" t="n">
        <v>57288.55</v>
      </c>
      <c r="I45" s="7" t="s">
        <v>2684</v>
      </c>
    </row>
    <row r="46" customFormat="false" ht="15" hidden="false" customHeight="false" outlineLevel="0" collapsed="false">
      <c r="A46" s="7" t="s">
        <v>1552</v>
      </c>
      <c r="B46" s="7" t="s">
        <v>137</v>
      </c>
      <c r="C46" s="16" t="n">
        <v>12</v>
      </c>
      <c r="D46" s="20" t="n">
        <v>45885</v>
      </c>
      <c r="E46" s="8" t="n">
        <v>1732.49</v>
      </c>
      <c r="F46" s="8" t="n">
        <v>346.12</v>
      </c>
      <c r="G46" s="8" t="n">
        <v>1386.37</v>
      </c>
      <c r="H46" s="8" t="n">
        <v>55902.18</v>
      </c>
      <c r="I46" s="7" t="s">
        <v>2684</v>
      </c>
    </row>
    <row r="47" customFormat="false" ht="15" hidden="false" customHeight="false" outlineLevel="0" collapsed="false">
      <c r="A47" s="7" t="s">
        <v>1552</v>
      </c>
      <c r="B47" s="7" t="s">
        <v>137</v>
      </c>
      <c r="C47" s="16" t="n">
        <v>13</v>
      </c>
      <c r="D47" s="20" t="n">
        <v>45916</v>
      </c>
      <c r="E47" s="8" t="n">
        <v>1732.49</v>
      </c>
      <c r="F47" s="8" t="n">
        <v>337.74</v>
      </c>
      <c r="G47" s="8" t="n">
        <v>1394.75</v>
      </c>
      <c r="H47" s="8" t="n">
        <v>54507.43</v>
      </c>
      <c r="I47" s="7" t="s">
        <v>2684</v>
      </c>
    </row>
    <row r="48" customFormat="false" ht="15" hidden="false" customHeight="false" outlineLevel="0" collapsed="false">
      <c r="A48" s="7" t="s">
        <v>1552</v>
      </c>
      <c r="B48" s="7" t="s">
        <v>137</v>
      </c>
      <c r="C48" s="16" t="n">
        <v>14</v>
      </c>
      <c r="D48" s="20" t="n">
        <v>45946</v>
      </c>
      <c r="E48" s="8" t="n">
        <v>1732.49</v>
      </c>
      <c r="F48" s="8" t="n">
        <v>329.32</v>
      </c>
      <c r="G48" s="8" t="n">
        <v>1403.17</v>
      </c>
      <c r="H48" s="8" t="n">
        <v>53104.26</v>
      </c>
      <c r="I48" s="7" t="s">
        <v>2684</v>
      </c>
    </row>
    <row r="49" customFormat="false" ht="15" hidden="false" customHeight="false" outlineLevel="0" collapsed="false">
      <c r="A49" s="7" t="s">
        <v>1552</v>
      </c>
      <c r="B49" s="7" t="s">
        <v>137</v>
      </c>
      <c r="C49" s="16" t="n">
        <v>15</v>
      </c>
      <c r="D49" s="20" t="n">
        <v>45977</v>
      </c>
      <c r="E49" s="8" t="n">
        <v>1732.49</v>
      </c>
      <c r="F49" s="8" t="n">
        <v>320.84</v>
      </c>
      <c r="G49" s="8" t="n">
        <v>1411.65</v>
      </c>
      <c r="H49" s="8" t="n">
        <v>51692.61</v>
      </c>
      <c r="I49" s="7" t="s">
        <v>2684</v>
      </c>
    </row>
    <row r="50" customFormat="false" ht="15" hidden="false" customHeight="false" outlineLevel="0" collapsed="false">
      <c r="A50" s="7" t="s">
        <v>1552</v>
      </c>
      <c r="B50" s="7" t="s">
        <v>137</v>
      </c>
      <c r="C50" s="16" t="n">
        <v>16</v>
      </c>
      <c r="D50" s="20" t="n">
        <v>46007</v>
      </c>
      <c r="E50" s="8" t="n">
        <v>1732.49</v>
      </c>
      <c r="F50" s="8" t="n">
        <v>312.31</v>
      </c>
      <c r="G50" s="8" t="n">
        <v>1420.18</v>
      </c>
      <c r="H50" s="8" t="n">
        <v>50272.43</v>
      </c>
      <c r="I50" s="7" t="s">
        <v>2684</v>
      </c>
    </row>
    <row r="51" customFormat="false" ht="15" hidden="false" customHeight="false" outlineLevel="0" collapsed="false">
      <c r="A51" s="7" t="s">
        <v>1552</v>
      </c>
      <c r="B51" s="7" t="s">
        <v>137</v>
      </c>
      <c r="C51" s="16" t="n">
        <v>17</v>
      </c>
      <c r="D51" s="20" t="n">
        <v>46038</v>
      </c>
      <c r="E51" s="8" t="n">
        <v>1732.49</v>
      </c>
      <c r="F51" s="8" t="n">
        <v>303.73</v>
      </c>
      <c r="G51" s="8" t="n">
        <v>1428.76</v>
      </c>
      <c r="H51" s="8" t="n">
        <v>48843.67</v>
      </c>
      <c r="I51" s="7" t="s">
        <v>2684</v>
      </c>
    </row>
    <row r="52" customFormat="false" ht="15" hidden="false" customHeight="false" outlineLevel="0" collapsed="false">
      <c r="A52" s="7" t="s">
        <v>1552</v>
      </c>
      <c r="B52" s="7" t="s">
        <v>137</v>
      </c>
      <c r="C52" s="16" t="n">
        <v>18</v>
      </c>
      <c r="D52" s="20" t="n">
        <v>46069</v>
      </c>
      <c r="E52" s="8" t="n">
        <v>1732.49</v>
      </c>
      <c r="F52" s="8" t="n">
        <v>295.1</v>
      </c>
      <c r="G52" s="8" t="n">
        <v>1437.39</v>
      </c>
      <c r="H52" s="8" t="n">
        <v>47406.28</v>
      </c>
      <c r="I52" s="7" t="s">
        <v>2684</v>
      </c>
    </row>
    <row r="53" customFormat="false" ht="15" hidden="false" customHeight="false" outlineLevel="0" collapsed="false">
      <c r="A53" s="7" t="s">
        <v>1552</v>
      </c>
      <c r="B53" s="7" t="s">
        <v>137</v>
      </c>
      <c r="C53" s="16" t="n">
        <v>19</v>
      </c>
      <c r="D53" s="20" t="n">
        <v>46097</v>
      </c>
      <c r="E53" s="8" t="n">
        <v>1732.49</v>
      </c>
      <c r="F53" s="8" t="n">
        <v>286.41</v>
      </c>
      <c r="G53" s="8" t="n">
        <v>1446.08</v>
      </c>
      <c r="H53" s="8" t="n">
        <v>45960.2</v>
      </c>
      <c r="I53" s="7" t="s">
        <v>2684</v>
      </c>
    </row>
    <row r="54" customFormat="false" ht="15" hidden="false" customHeight="false" outlineLevel="0" collapsed="false">
      <c r="A54" s="7" t="s">
        <v>1552</v>
      </c>
      <c r="B54" s="7" t="s">
        <v>137</v>
      </c>
      <c r="C54" s="16" t="n">
        <v>20</v>
      </c>
      <c r="D54" s="20" t="n">
        <v>46128</v>
      </c>
      <c r="E54" s="8" t="n">
        <v>1732.49</v>
      </c>
      <c r="F54" s="8" t="n">
        <v>277.68</v>
      </c>
      <c r="G54" s="8" t="n">
        <v>1454.81</v>
      </c>
      <c r="H54" s="8" t="n">
        <v>44505.39</v>
      </c>
      <c r="I54" s="7" t="s">
        <v>2684</v>
      </c>
    </row>
    <row r="55" customFormat="false" ht="15" hidden="false" customHeight="false" outlineLevel="0" collapsed="false">
      <c r="A55" s="7" t="s">
        <v>1552</v>
      </c>
      <c r="B55" s="7" t="s">
        <v>137</v>
      </c>
      <c r="C55" s="16" t="n">
        <v>21</v>
      </c>
      <c r="D55" s="20" t="n">
        <v>46158</v>
      </c>
      <c r="E55" s="8" t="n">
        <v>1732.49</v>
      </c>
      <c r="F55" s="8" t="n">
        <v>268.89</v>
      </c>
      <c r="G55" s="8" t="n">
        <v>1463.6</v>
      </c>
      <c r="H55" s="8" t="n">
        <v>43041.79</v>
      </c>
      <c r="I55" s="7" t="s">
        <v>2684</v>
      </c>
    </row>
    <row r="56" customFormat="false" ht="15" hidden="false" customHeight="false" outlineLevel="0" collapsed="false">
      <c r="A56" s="7" t="s">
        <v>1552</v>
      </c>
      <c r="B56" s="7" t="s">
        <v>137</v>
      </c>
      <c r="C56" s="16" t="n">
        <v>22</v>
      </c>
      <c r="D56" s="20" t="n">
        <v>46189</v>
      </c>
      <c r="E56" s="8" t="n">
        <v>1732.49</v>
      </c>
      <c r="F56" s="8" t="n">
        <v>260.04</v>
      </c>
      <c r="G56" s="8" t="n">
        <v>1472.45</v>
      </c>
      <c r="H56" s="8" t="n">
        <v>41569.34</v>
      </c>
      <c r="I56" s="7" t="s">
        <v>2684</v>
      </c>
    </row>
    <row r="57" customFormat="false" ht="15" hidden="false" customHeight="false" outlineLevel="0" collapsed="false">
      <c r="A57" s="7" t="s">
        <v>1552</v>
      </c>
      <c r="B57" s="7" t="s">
        <v>137</v>
      </c>
      <c r="C57" s="16" t="n">
        <v>23</v>
      </c>
      <c r="D57" s="20" t="n">
        <v>46219</v>
      </c>
      <c r="E57" s="8" t="n">
        <v>1732.49</v>
      </c>
      <c r="F57" s="8" t="n">
        <v>251.15</v>
      </c>
      <c r="G57" s="8" t="n">
        <v>1481.34</v>
      </c>
      <c r="H57" s="8" t="n">
        <v>40088</v>
      </c>
      <c r="I57" s="7" t="s">
        <v>2684</v>
      </c>
    </row>
    <row r="58" customFormat="false" ht="15" hidden="false" customHeight="false" outlineLevel="0" collapsed="false">
      <c r="A58" s="7" t="s">
        <v>1552</v>
      </c>
      <c r="B58" s="7" t="s">
        <v>137</v>
      </c>
      <c r="C58" s="16" t="n">
        <v>24</v>
      </c>
      <c r="D58" s="20" t="n">
        <v>46250</v>
      </c>
      <c r="E58" s="8" t="n">
        <v>1732.49</v>
      </c>
      <c r="F58" s="8" t="n">
        <v>242.2</v>
      </c>
      <c r="G58" s="8" t="n">
        <v>1490.29</v>
      </c>
      <c r="H58" s="8" t="n">
        <v>38597.71</v>
      </c>
      <c r="I58" s="7" t="s">
        <v>2684</v>
      </c>
    </row>
    <row r="59" customFormat="false" ht="15" hidden="false" customHeight="false" outlineLevel="0" collapsed="false">
      <c r="A59" s="7" t="s">
        <v>1552</v>
      </c>
      <c r="B59" s="7" t="s">
        <v>137</v>
      </c>
      <c r="C59" s="16" t="n">
        <v>25</v>
      </c>
      <c r="D59" s="20" t="n">
        <v>46281</v>
      </c>
      <c r="E59" s="8" t="n">
        <v>1732.49</v>
      </c>
      <c r="F59" s="8" t="n">
        <v>233.19</v>
      </c>
      <c r="G59" s="8" t="n">
        <v>1499.3</v>
      </c>
      <c r="H59" s="8" t="n">
        <v>37098.41</v>
      </c>
      <c r="I59" s="7" t="s">
        <v>2684</v>
      </c>
    </row>
    <row r="60" customFormat="false" ht="15" hidden="false" customHeight="false" outlineLevel="0" collapsed="false">
      <c r="A60" s="7" t="s">
        <v>1552</v>
      </c>
      <c r="B60" s="7" t="s">
        <v>137</v>
      </c>
      <c r="C60" s="16" t="n">
        <v>26</v>
      </c>
      <c r="D60" s="20" t="n">
        <v>46311</v>
      </c>
      <c r="E60" s="8" t="n">
        <v>1732.49</v>
      </c>
      <c r="F60" s="8" t="n">
        <v>224.14</v>
      </c>
      <c r="G60" s="8" t="n">
        <v>1508.35</v>
      </c>
      <c r="H60" s="8" t="n">
        <v>35590.06</v>
      </c>
      <c r="I60" s="7" t="s">
        <v>3021</v>
      </c>
    </row>
    <row r="61" customFormat="false" ht="15" hidden="false" customHeight="false" outlineLevel="0" collapsed="false">
      <c r="A61" s="7" t="s">
        <v>1552</v>
      </c>
      <c r="B61" s="7" t="s">
        <v>137</v>
      </c>
      <c r="C61" s="16" t="n">
        <v>27</v>
      </c>
      <c r="D61" s="20" t="n">
        <v>46342</v>
      </c>
      <c r="E61" s="8" t="n">
        <v>1732.49</v>
      </c>
      <c r="F61" s="8" t="n">
        <v>215.02</v>
      </c>
      <c r="G61" s="8" t="n">
        <v>1517.47</v>
      </c>
      <c r="H61" s="8" t="n">
        <v>34072.59</v>
      </c>
      <c r="I61" s="7" t="s">
        <v>3021</v>
      </c>
    </row>
    <row r="62" customFormat="false" ht="15" hidden="false" customHeight="false" outlineLevel="0" collapsed="false">
      <c r="A62" s="7" t="s">
        <v>1552</v>
      </c>
      <c r="B62" s="7" t="s">
        <v>137</v>
      </c>
      <c r="C62" s="16" t="n">
        <v>28</v>
      </c>
      <c r="D62" s="20" t="n">
        <v>46372</v>
      </c>
      <c r="E62" s="8" t="n">
        <v>1732.49</v>
      </c>
      <c r="F62" s="8" t="n">
        <v>205.86</v>
      </c>
      <c r="G62" s="8" t="n">
        <v>1526.63</v>
      </c>
      <c r="H62" s="8" t="n">
        <v>32545.96</v>
      </c>
      <c r="I62" s="7" t="s">
        <v>3021</v>
      </c>
    </row>
    <row r="63" customFormat="false" ht="15" hidden="false" customHeight="false" outlineLevel="0" collapsed="false">
      <c r="A63" s="7" t="s">
        <v>1552</v>
      </c>
      <c r="B63" s="7" t="s">
        <v>137</v>
      </c>
      <c r="C63" s="16" t="n">
        <v>29</v>
      </c>
      <c r="D63" s="20" t="n">
        <v>46403</v>
      </c>
      <c r="E63" s="8" t="n">
        <v>1732.49</v>
      </c>
      <c r="F63" s="8" t="n">
        <v>196.63</v>
      </c>
      <c r="G63" s="8" t="n">
        <v>1535.86</v>
      </c>
      <c r="H63" s="8" t="n">
        <v>31010.1</v>
      </c>
      <c r="I63" s="7" t="s">
        <v>3021</v>
      </c>
    </row>
    <row r="64" customFormat="false" ht="15" hidden="false" customHeight="false" outlineLevel="0" collapsed="false">
      <c r="A64" s="7" t="s">
        <v>1552</v>
      </c>
      <c r="B64" s="7" t="s">
        <v>137</v>
      </c>
      <c r="C64" s="16" t="n">
        <v>30</v>
      </c>
      <c r="D64" s="20" t="n">
        <v>46434</v>
      </c>
      <c r="E64" s="8" t="n">
        <v>1732.49</v>
      </c>
      <c r="F64" s="8" t="n">
        <v>187.35</v>
      </c>
      <c r="G64" s="8" t="n">
        <v>1545.14</v>
      </c>
      <c r="H64" s="8" t="n">
        <v>29464.96</v>
      </c>
      <c r="I64" s="7" t="s">
        <v>3021</v>
      </c>
    </row>
    <row r="65" customFormat="false" ht="15" hidden="false" customHeight="false" outlineLevel="0" collapsed="false">
      <c r="A65" s="7" t="s">
        <v>1552</v>
      </c>
      <c r="B65" s="7" t="s">
        <v>137</v>
      </c>
      <c r="C65" s="16" t="n">
        <v>31</v>
      </c>
      <c r="D65" s="20" t="n">
        <v>46462</v>
      </c>
      <c r="E65" s="8" t="n">
        <v>1732.49</v>
      </c>
      <c r="F65" s="8" t="n">
        <v>178.02</v>
      </c>
      <c r="G65" s="8" t="n">
        <v>1554.47</v>
      </c>
      <c r="H65" s="8" t="n">
        <v>27910.49</v>
      </c>
      <c r="I65" s="7" t="s">
        <v>3021</v>
      </c>
    </row>
    <row r="66" customFormat="false" ht="15" hidden="false" customHeight="false" outlineLevel="0" collapsed="false">
      <c r="A66" s="7" t="s">
        <v>1552</v>
      </c>
      <c r="B66" s="7" t="s">
        <v>137</v>
      </c>
      <c r="C66" s="16" t="n">
        <v>32</v>
      </c>
      <c r="D66" s="20" t="n">
        <v>46493</v>
      </c>
      <c r="E66" s="8" t="n">
        <v>1732.49</v>
      </c>
      <c r="F66" s="8" t="n">
        <v>168.63</v>
      </c>
      <c r="G66" s="8" t="n">
        <v>1563.86</v>
      </c>
      <c r="H66" s="8" t="n">
        <v>26346.63</v>
      </c>
      <c r="I66" s="7" t="s">
        <v>3021</v>
      </c>
    </row>
    <row r="67" customFormat="false" ht="15" hidden="false" customHeight="false" outlineLevel="0" collapsed="false">
      <c r="A67" s="7" t="s">
        <v>1552</v>
      </c>
      <c r="B67" s="7" t="s">
        <v>137</v>
      </c>
      <c r="C67" s="16" t="n">
        <v>33</v>
      </c>
      <c r="D67" s="20" t="n">
        <v>46523</v>
      </c>
      <c r="E67" s="8" t="n">
        <v>1732.49</v>
      </c>
      <c r="F67" s="8" t="n">
        <v>159.18</v>
      </c>
      <c r="G67" s="8" t="n">
        <v>1573.31</v>
      </c>
      <c r="H67" s="8" t="n">
        <v>24773.32</v>
      </c>
      <c r="I67" s="7" t="s">
        <v>3021</v>
      </c>
    </row>
    <row r="68" customFormat="false" ht="15" hidden="false" customHeight="false" outlineLevel="0" collapsed="false">
      <c r="A68" s="7" t="s">
        <v>1552</v>
      </c>
      <c r="B68" s="7" t="s">
        <v>137</v>
      </c>
      <c r="C68" s="16" t="n">
        <v>34</v>
      </c>
      <c r="D68" s="20" t="n">
        <v>46554</v>
      </c>
      <c r="E68" s="8" t="n">
        <v>1732.49</v>
      </c>
      <c r="F68" s="8" t="n">
        <v>149.67</v>
      </c>
      <c r="G68" s="8" t="n">
        <v>1582.82</v>
      </c>
      <c r="H68" s="8" t="n">
        <v>23190.5</v>
      </c>
      <c r="I68" s="7" t="s">
        <v>3021</v>
      </c>
    </row>
    <row r="69" customFormat="false" ht="15" hidden="false" customHeight="false" outlineLevel="0" collapsed="false">
      <c r="A69" s="7" t="s">
        <v>1552</v>
      </c>
      <c r="B69" s="7" t="s">
        <v>137</v>
      </c>
      <c r="C69" s="16" t="n">
        <v>35</v>
      </c>
      <c r="D69" s="20" t="n">
        <v>46584</v>
      </c>
      <c r="E69" s="8" t="n">
        <v>1732.49</v>
      </c>
      <c r="F69" s="8" t="n">
        <v>140.11</v>
      </c>
      <c r="G69" s="8" t="n">
        <v>1592.38</v>
      </c>
      <c r="H69" s="8" t="n">
        <v>21598.12</v>
      </c>
      <c r="I69" s="7" t="s">
        <v>3021</v>
      </c>
    </row>
    <row r="70" customFormat="false" ht="15" hidden="false" customHeight="false" outlineLevel="0" collapsed="false">
      <c r="A70" s="7" t="s">
        <v>1552</v>
      </c>
      <c r="B70" s="7" t="s">
        <v>137</v>
      </c>
      <c r="C70" s="16" t="n">
        <v>36</v>
      </c>
      <c r="D70" s="20" t="n">
        <v>46615</v>
      </c>
      <c r="E70" s="8" t="n">
        <v>1732.49</v>
      </c>
      <c r="F70" s="8" t="n">
        <v>130.49</v>
      </c>
      <c r="G70" s="8" t="n">
        <v>1602</v>
      </c>
      <c r="H70" s="8" t="n">
        <v>19996.12</v>
      </c>
      <c r="I70" s="7" t="s">
        <v>3021</v>
      </c>
    </row>
    <row r="71" customFormat="false" ht="15" hidden="false" customHeight="false" outlineLevel="0" collapsed="false">
      <c r="A71" s="7" t="s">
        <v>1552</v>
      </c>
      <c r="B71" s="7" t="s">
        <v>137</v>
      </c>
      <c r="C71" s="16" t="n">
        <v>37</v>
      </c>
      <c r="D71" s="20" t="n">
        <v>46646</v>
      </c>
      <c r="E71" s="8" t="n">
        <v>1732.49</v>
      </c>
      <c r="F71" s="8" t="n">
        <v>120.81</v>
      </c>
      <c r="G71" s="8" t="n">
        <v>1611.68</v>
      </c>
      <c r="H71" s="8" t="n">
        <v>18384.44</v>
      </c>
      <c r="I71" s="7" t="s">
        <v>3021</v>
      </c>
    </row>
    <row r="72" customFormat="false" ht="15" hidden="false" customHeight="false" outlineLevel="0" collapsed="false">
      <c r="A72" s="7" t="s">
        <v>1552</v>
      </c>
      <c r="B72" s="7" t="s">
        <v>137</v>
      </c>
      <c r="C72" s="16" t="n">
        <v>38</v>
      </c>
      <c r="D72" s="20" t="n">
        <v>46676</v>
      </c>
      <c r="E72" s="8" t="n">
        <v>1732.49</v>
      </c>
      <c r="F72" s="8" t="n">
        <v>111.07</v>
      </c>
      <c r="G72" s="8" t="n">
        <v>1621.42</v>
      </c>
      <c r="H72" s="8" t="n">
        <v>16763.02</v>
      </c>
      <c r="I72" s="7" t="s">
        <v>3021</v>
      </c>
    </row>
    <row r="73" customFormat="false" ht="15" hidden="false" customHeight="false" outlineLevel="0" collapsed="false">
      <c r="A73" s="7" t="s">
        <v>1552</v>
      </c>
      <c r="B73" s="7" t="s">
        <v>137</v>
      </c>
      <c r="C73" s="16" t="n">
        <v>39</v>
      </c>
      <c r="D73" s="20" t="n">
        <v>46707</v>
      </c>
      <c r="E73" s="8" t="n">
        <v>1732.49</v>
      </c>
      <c r="F73" s="8" t="n">
        <v>101.28</v>
      </c>
      <c r="G73" s="8" t="n">
        <v>1631.21</v>
      </c>
      <c r="H73" s="8" t="n">
        <v>15131.81</v>
      </c>
      <c r="I73" s="7" t="s">
        <v>3021</v>
      </c>
    </row>
    <row r="74" customFormat="false" ht="15" hidden="false" customHeight="false" outlineLevel="0" collapsed="false">
      <c r="A74" s="7" t="s">
        <v>1552</v>
      </c>
      <c r="B74" s="7" t="s">
        <v>137</v>
      </c>
      <c r="C74" s="16" t="n">
        <v>40</v>
      </c>
      <c r="D74" s="20" t="n">
        <v>46737</v>
      </c>
      <c r="E74" s="8" t="n">
        <v>1732.49</v>
      </c>
      <c r="F74" s="8" t="n">
        <v>91.42</v>
      </c>
      <c r="G74" s="8" t="n">
        <v>1641.07</v>
      </c>
      <c r="H74" s="8" t="n">
        <v>13490.74</v>
      </c>
      <c r="I74" s="7" t="s">
        <v>3021</v>
      </c>
    </row>
    <row r="75" customFormat="false" ht="15" hidden="false" customHeight="false" outlineLevel="0" collapsed="false">
      <c r="A75" s="7" t="s">
        <v>1552</v>
      </c>
      <c r="B75" s="7" t="s">
        <v>137</v>
      </c>
      <c r="C75" s="16" t="n">
        <v>41</v>
      </c>
      <c r="D75" s="20" t="n">
        <v>46768</v>
      </c>
      <c r="E75" s="8" t="n">
        <v>1732.49</v>
      </c>
      <c r="F75" s="8" t="n">
        <v>81.51</v>
      </c>
      <c r="G75" s="8" t="n">
        <v>1650.98</v>
      </c>
      <c r="H75" s="8" t="n">
        <v>11839.76</v>
      </c>
      <c r="I75" s="7" t="s">
        <v>3021</v>
      </c>
    </row>
    <row r="76" customFormat="false" ht="15" hidden="false" customHeight="false" outlineLevel="0" collapsed="false">
      <c r="A76" s="7" t="s">
        <v>1552</v>
      </c>
      <c r="B76" s="7" t="s">
        <v>137</v>
      </c>
      <c r="C76" s="16" t="n">
        <v>42</v>
      </c>
      <c r="D76" s="20" t="n">
        <v>46799</v>
      </c>
      <c r="E76" s="8" t="n">
        <v>1732.49</v>
      </c>
      <c r="F76" s="8" t="n">
        <v>71.53</v>
      </c>
      <c r="G76" s="8" t="n">
        <v>1660.96</v>
      </c>
      <c r="H76" s="8" t="n">
        <v>10178.8</v>
      </c>
      <c r="I76" s="7" t="s">
        <v>3021</v>
      </c>
    </row>
    <row r="77" customFormat="false" ht="15" hidden="false" customHeight="false" outlineLevel="0" collapsed="false">
      <c r="A77" s="7" t="s">
        <v>1552</v>
      </c>
      <c r="B77" s="7" t="s">
        <v>137</v>
      </c>
      <c r="C77" s="16" t="n">
        <v>43</v>
      </c>
      <c r="D77" s="20" t="n">
        <v>46828</v>
      </c>
      <c r="E77" s="8" t="n">
        <v>1732.49</v>
      </c>
      <c r="F77" s="8" t="n">
        <v>61.5</v>
      </c>
      <c r="G77" s="8" t="n">
        <v>1670.99</v>
      </c>
      <c r="H77" s="8" t="n">
        <v>8507.81</v>
      </c>
      <c r="I77" s="7" t="s">
        <v>3021</v>
      </c>
    </row>
    <row r="78" customFormat="false" ht="15" hidden="false" customHeight="false" outlineLevel="0" collapsed="false">
      <c r="A78" s="7" t="s">
        <v>1552</v>
      </c>
      <c r="B78" s="7" t="s">
        <v>137</v>
      </c>
      <c r="C78" s="16" t="n">
        <v>44</v>
      </c>
      <c r="D78" s="20" t="n">
        <v>46859</v>
      </c>
      <c r="E78" s="8" t="n">
        <v>1732.49</v>
      </c>
      <c r="F78" s="8" t="n">
        <v>51.4</v>
      </c>
      <c r="G78" s="8" t="n">
        <v>1681.09</v>
      </c>
      <c r="H78" s="8" t="n">
        <v>6826.72</v>
      </c>
      <c r="I78" s="7" t="s">
        <v>3021</v>
      </c>
    </row>
    <row r="79" customFormat="false" ht="15" hidden="false" customHeight="false" outlineLevel="0" collapsed="false">
      <c r="A79" s="7" t="s">
        <v>1552</v>
      </c>
      <c r="B79" s="7" t="s">
        <v>137</v>
      </c>
      <c r="C79" s="16" t="n">
        <v>45</v>
      </c>
      <c r="D79" s="20" t="n">
        <v>46889</v>
      </c>
      <c r="E79" s="8" t="n">
        <v>1732.49</v>
      </c>
      <c r="F79" s="8" t="n">
        <v>41.24</v>
      </c>
      <c r="G79" s="8" t="n">
        <v>1691.25</v>
      </c>
      <c r="H79" s="8" t="n">
        <v>5135.47</v>
      </c>
      <c r="I79" s="7" t="s">
        <v>3021</v>
      </c>
    </row>
    <row r="80" customFormat="false" ht="15" hidden="false" customHeight="false" outlineLevel="0" collapsed="false">
      <c r="A80" s="7" t="s">
        <v>1552</v>
      </c>
      <c r="B80" s="7" t="s">
        <v>137</v>
      </c>
      <c r="C80" s="16" t="n">
        <v>46</v>
      </c>
      <c r="D80" s="20" t="n">
        <v>46920</v>
      </c>
      <c r="E80" s="8" t="n">
        <v>1732.49</v>
      </c>
      <c r="F80" s="8" t="n">
        <v>31.03</v>
      </c>
      <c r="G80" s="8" t="n">
        <v>1701.46</v>
      </c>
      <c r="H80" s="8" t="n">
        <v>3434.01</v>
      </c>
      <c r="I80" s="7" t="s">
        <v>3021</v>
      </c>
    </row>
    <row r="81" customFormat="false" ht="15" hidden="false" customHeight="false" outlineLevel="0" collapsed="false">
      <c r="A81" s="7" t="s">
        <v>1552</v>
      </c>
      <c r="B81" s="7" t="s">
        <v>137</v>
      </c>
      <c r="C81" s="16" t="n">
        <v>47</v>
      </c>
      <c r="D81" s="20" t="n">
        <v>46950</v>
      </c>
      <c r="E81" s="8" t="n">
        <v>1732.49</v>
      </c>
      <c r="F81" s="8" t="n">
        <v>20.75</v>
      </c>
      <c r="G81" s="8" t="n">
        <v>1711.74</v>
      </c>
      <c r="H81" s="8" t="n">
        <v>1722.27</v>
      </c>
      <c r="I81" s="7" t="s">
        <v>3021</v>
      </c>
    </row>
    <row r="82" customFormat="false" ht="15" hidden="false" customHeight="false" outlineLevel="0" collapsed="false">
      <c r="A82" s="7" t="s">
        <v>1552</v>
      </c>
      <c r="B82" s="7" t="s">
        <v>137</v>
      </c>
      <c r="C82" s="16" t="n">
        <v>48</v>
      </c>
      <c r="D82" s="20" t="n">
        <v>46981</v>
      </c>
      <c r="E82" s="8" t="n">
        <v>1732.68</v>
      </c>
      <c r="F82" s="8" t="n">
        <v>10.41</v>
      </c>
      <c r="G82" s="8" t="n">
        <v>1722.27</v>
      </c>
      <c r="H82" s="8" t="n">
        <v>0</v>
      </c>
      <c r="I82" s="7" t="s">
        <v>3021</v>
      </c>
    </row>
    <row r="83" customFormat="false" ht="15" hidden="false" customHeight="false" outlineLevel="0" collapsed="false">
      <c r="A83" s="7" t="s">
        <v>769</v>
      </c>
      <c r="B83" s="7" t="s">
        <v>137</v>
      </c>
      <c r="C83" s="16" t="n">
        <v>1</v>
      </c>
      <c r="D83" s="20" t="n">
        <v>44387</v>
      </c>
      <c r="E83" s="8" t="n">
        <v>845.09</v>
      </c>
      <c r="F83" s="8" t="n">
        <v>149.5</v>
      </c>
      <c r="G83" s="8" t="n">
        <v>695.59</v>
      </c>
      <c r="H83" s="8" t="n">
        <v>45304.41</v>
      </c>
      <c r="I83" s="7" t="s">
        <v>2684</v>
      </c>
    </row>
    <row r="84" customFormat="false" ht="15" hidden="false" customHeight="false" outlineLevel="0" collapsed="false">
      <c r="A84" s="7" t="s">
        <v>769</v>
      </c>
      <c r="B84" s="7" t="s">
        <v>137</v>
      </c>
      <c r="C84" s="16" t="n">
        <v>2</v>
      </c>
      <c r="D84" s="20" t="n">
        <v>44418</v>
      </c>
      <c r="E84" s="8" t="n">
        <v>845.09</v>
      </c>
      <c r="F84" s="8" t="n">
        <v>147.24</v>
      </c>
      <c r="G84" s="8" t="n">
        <v>697.85</v>
      </c>
      <c r="H84" s="8" t="n">
        <v>44606.56</v>
      </c>
      <c r="I84" s="7" t="s">
        <v>2684</v>
      </c>
    </row>
    <row r="85" customFormat="false" ht="15" hidden="false" customHeight="false" outlineLevel="0" collapsed="false">
      <c r="A85" s="7" t="s">
        <v>769</v>
      </c>
      <c r="B85" s="7" t="s">
        <v>137</v>
      </c>
      <c r="C85" s="16" t="n">
        <v>3</v>
      </c>
      <c r="D85" s="20" t="n">
        <v>44449</v>
      </c>
      <c r="E85" s="8" t="n">
        <v>845.09</v>
      </c>
      <c r="F85" s="8" t="n">
        <v>144.97</v>
      </c>
      <c r="G85" s="8" t="n">
        <v>700.12</v>
      </c>
      <c r="H85" s="8" t="n">
        <v>43906.44</v>
      </c>
      <c r="I85" s="7" t="s">
        <v>2684</v>
      </c>
    </row>
    <row r="86" customFormat="false" ht="15" hidden="false" customHeight="false" outlineLevel="0" collapsed="false">
      <c r="A86" s="7" t="s">
        <v>769</v>
      </c>
      <c r="B86" s="7" t="s">
        <v>137</v>
      </c>
      <c r="C86" s="16" t="n">
        <v>4</v>
      </c>
      <c r="D86" s="20" t="n">
        <v>44479</v>
      </c>
      <c r="E86" s="8" t="n">
        <v>845.09</v>
      </c>
      <c r="F86" s="8" t="n">
        <v>142.7</v>
      </c>
      <c r="G86" s="8" t="n">
        <v>702.39</v>
      </c>
      <c r="H86" s="8" t="n">
        <v>43204.05</v>
      </c>
      <c r="I86" s="7" t="s">
        <v>2684</v>
      </c>
    </row>
    <row r="87" customFormat="false" ht="15" hidden="false" customHeight="false" outlineLevel="0" collapsed="false">
      <c r="A87" s="7" t="s">
        <v>769</v>
      </c>
      <c r="B87" s="7" t="s">
        <v>137</v>
      </c>
      <c r="C87" s="16" t="n">
        <v>5</v>
      </c>
      <c r="D87" s="20" t="n">
        <v>44510</v>
      </c>
      <c r="E87" s="8" t="n">
        <v>845.09</v>
      </c>
      <c r="F87" s="8" t="n">
        <v>140.41</v>
      </c>
      <c r="G87" s="8" t="n">
        <v>704.68</v>
      </c>
      <c r="H87" s="8" t="n">
        <v>42499.37</v>
      </c>
      <c r="I87" s="7" t="s">
        <v>2684</v>
      </c>
    </row>
    <row r="88" customFormat="false" ht="15" hidden="false" customHeight="false" outlineLevel="0" collapsed="false">
      <c r="A88" s="7" t="s">
        <v>769</v>
      </c>
      <c r="B88" s="7" t="s">
        <v>137</v>
      </c>
      <c r="C88" s="16" t="n">
        <v>6</v>
      </c>
      <c r="D88" s="20" t="n">
        <v>44540</v>
      </c>
      <c r="E88" s="8" t="n">
        <v>845.09</v>
      </c>
      <c r="F88" s="8" t="n">
        <v>138.12</v>
      </c>
      <c r="G88" s="8" t="n">
        <v>706.97</v>
      </c>
      <c r="H88" s="8" t="n">
        <v>41792.4</v>
      </c>
      <c r="I88" s="7" t="s">
        <v>2684</v>
      </c>
    </row>
    <row r="89" customFormat="false" ht="15" hidden="false" customHeight="false" outlineLevel="0" collapsed="false">
      <c r="A89" s="7" t="s">
        <v>769</v>
      </c>
      <c r="B89" s="7" t="s">
        <v>137</v>
      </c>
      <c r="C89" s="16" t="n">
        <v>7</v>
      </c>
      <c r="D89" s="20" t="n">
        <v>44571</v>
      </c>
      <c r="E89" s="8" t="n">
        <v>845.09</v>
      </c>
      <c r="F89" s="8" t="n">
        <v>135.83</v>
      </c>
      <c r="G89" s="8" t="n">
        <v>709.26</v>
      </c>
      <c r="H89" s="8" t="n">
        <v>41083.14</v>
      </c>
      <c r="I89" s="7" t="s">
        <v>2684</v>
      </c>
    </row>
    <row r="90" customFormat="false" ht="15" hidden="false" customHeight="false" outlineLevel="0" collapsed="false">
      <c r="A90" s="7" t="s">
        <v>769</v>
      </c>
      <c r="B90" s="7" t="s">
        <v>137</v>
      </c>
      <c r="C90" s="16" t="n">
        <v>8</v>
      </c>
      <c r="D90" s="20" t="n">
        <v>44602</v>
      </c>
      <c r="E90" s="8" t="n">
        <v>845.09</v>
      </c>
      <c r="F90" s="8" t="n">
        <v>133.52</v>
      </c>
      <c r="G90" s="8" t="n">
        <v>711.57</v>
      </c>
      <c r="H90" s="8" t="n">
        <v>40371.57</v>
      </c>
      <c r="I90" s="7" t="s">
        <v>2684</v>
      </c>
    </row>
    <row r="91" customFormat="false" ht="15" hidden="false" customHeight="false" outlineLevel="0" collapsed="false">
      <c r="A91" s="7" t="s">
        <v>769</v>
      </c>
      <c r="B91" s="7" t="s">
        <v>137</v>
      </c>
      <c r="C91" s="16" t="n">
        <v>9</v>
      </c>
      <c r="D91" s="20" t="n">
        <v>44630</v>
      </c>
      <c r="E91" s="8" t="n">
        <v>845.09</v>
      </c>
      <c r="F91" s="8" t="n">
        <v>131.21</v>
      </c>
      <c r="G91" s="8" t="n">
        <v>713.88</v>
      </c>
      <c r="H91" s="8" t="n">
        <v>39657.69</v>
      </c>
      <c r="I91" s="7" t="s">
        <v>2684</v>
      </c>
    </row>
    <row r="92" customFormat="false" ht="15" hidden="false" customHeight="false" outlineLevel="0" collapsed="false">
      <c r="A92" s="7" t="s">
        <v>769</v>
      </c>
      <c r="B92" s="7" t="s">
        <v>137</v>
      </c>
      <c r="C92" s="16" t="n">
        <v>10</v>
      </c>
      <c r="D92" s="20" t="n">
        <v>44661</v>
      </c>
      <c r="E92" s="8" t="n">
        <v>845.09</v>
      </c>
      <c r="F92" s="8" t="n">
        <v>128.89</v>
      </c>
      <c r="G92" s="8" t="n">
        <v>716.2</v>
      </c>
      <c r="H92" s="8" t="n">
        <v>38941.49</v>
      </c>
      <c r="I92" s="7" t="s">
        <v>2684</v>
      </c>
    </row>
    <row r="93" customFormat="false" ht="15" hidden="false" customHeight="false" outlineLevel="0" collapsed="false">
      <c r="A93" s="7" t="s">
        <v>769</v>
      </c>
      <c r="B93" s="7" t="s">
        <v>137</v>
      </c>
      <c r="C93" s="16" t="n">
        <v>11</v>
      </c>
      <c r="D93" s="20" t="n">
        <v>44691</v>
      </c>
      <c r="E93" s="8" t="n">
        <v>845.09</v>
      </c>
      <c r="F93" s="8" t="n">
        <v>126.56</v>
      </c>
      <c r="G93" s="8" t="n">
        <v>718.53</v>
      </c>
      <c r="H93" s="8" t="n">
        <v>38222.96</v>
      </c>
      <c r="I93" s="7" t="s">
        <v>2684</v>
      </c>
    </row>
    <row r="94" customFormat="false" ht="15" hidden="false" customHeight="false" outlineLevel="0" collapsed="false">
      <c r="A94" s="7" t="s">
        <v>769</v>
      </c>
      <c r="B94" s="7" t="s">
        <v>137</v>
      </c>
      <c r="C94" s="16" t="n">
        <v>12</v>
      </c>
      <c r="D94" s="20" t="n">
        <v>44722</v>
      </c>
      <c r="E94" s="8" t="n">
        <v>845.09</v>
      </c>
      <c r="F94" s="8" t="n">
        <v>124.22</v>
      </c>
      <c r="G94" s="8" t="n">
        <v>720.87</v>
      </c>
      <c r="H94" s="8" t="n">
        <v>37502.09</v>
      </c>
      <c r="I94" s="7" t="s">
        <v>2684</v>
      </c>
    </row>
    <row r="95" customFormat="false" ht="15" hidden="false" customHeight="false" outlineLevel="0" collapsed="false">
      <c r="A95" s="7" t="s">
        <v>769</v>
      </c>
      <c r="B95" s="7" t="s">
        <v>137</v>
      </c>
      <c r="C95" s="16" t="n">
        <v>13</v>
      </c>
      <c r="D95" s="20" t="n">
        <v>44752</v>
      </c>
      <c r="E95" s="8" t="n">
        <v>845.09</v>
      </c>
      <c r="F95" s="8" t="n">
        <v>121.88</v>
      </c>
      <c r="G95" s="8" t="n">
        <v>723.21</v>
      </c>
      <c r="H95" s="8" t="n">
        <v>36778.88</v>
      </c>
      <c r="I95" s="7" t="s">
        <v>2684</v>
      </c>
    </row>
    <row r="96" customFormat="false" ht="15" hidden="false" customHeight="false" outlineLevel="0" collapsed="false">
      <c r="A96" s="7" t="s">
        <v>769</v>
      </c>
      <c r="B96" s="7" t="s">
        <v>137</v>
      </c>
      <c r="C96" s="16" t="n">
        <v>14</v>
      </c>
      <c r="D96" s="20" t="n">
        <v>44783</v>
      </c>
      <c r="E96" s="8" t="n">
        <v>845.09</v>
      </c>
      <c r="F96" s="8" t="n">
        <v>119.53</v>
      </c>
      <c r="G96" s="8" t="n">
        <v>725.56</v>
      </c>
      <c r="H96" s="8" t="n">
        <v>36053.32</v>
      </c>
      <c r="I96" s="7" t="s">
        <v>2684</v>
      </c>
    </row>
    <row r="97" customFormat="false" ht="15" hidden="false" customHeight="false" outlineLevel="0" collapsed="false">
      <c r="A97" s="7" t="s">
        <v>769</v>
      </c>
      <c r="B97" s="7" t="s">
        <v>137</v>
      </c>
      <c r="C97" s="16" t="n">
        <v>15</v>
      </c>
      <c r="D97" s="20" t="n">
        <v>44814</v>
      </c>
      <c r="E97" s="8" t="n">
        <v>845.09</v>
      </c>
      <c r="F97" s="8" t="n">
        <v>117.17</v>
      </c>
      <c r="G97" s="8" t="n">
        <v>727.92</v>
      </c>
      <c r="H97" s="8" t="n">
        <v>35325.4</v>
      </c>
      <c r="I97" s="7" t="s">
        <v>2684</v>
      </c>
    </row>
    <row r="98" customFormat="false" ht="15" hidden="false" customHeight="false" outlineLevel="0" collapsed="false">
      <c r="A98" s="7" t="s">
        <v>769</v>
      </c>
      <c r="B98" s="7" t="s">
        <v>137</v>
      </c>
      <c r="C98" s="16" t="n">
        <v>16</v>
      </c>
      <c r="D98" s="20" t="n">
        <v>44844</v>
      </c>
      <c r="E98" s="8" t="n">
        <v>845.09</v>
      </c>
      <c r="F98" s="8" t="n">
        <v>114.81</v>
      </c>
      <c r="G98" s="8" t="n">
        <v>730.28</v>
      </c>
      <c r="H98" s="8" t="n">
        <v>34595.12</v>
      </c>
      <c r="I98" s="7" t="s">
        <v>2684</v>
      </c>
    </row>
    <row r="99" customFormat="false" ht="15" hidden="false" customHeight="false" outlineLevel="0" collapsed="false">
      <c r="A99" s="7" t="s">
        <v>769</v>
      </c>
      <c r="B99" s="7" t="s">
        <v>137</v>
      </c>
      <c r="C99" s="16" t="n">
        <v>17</v>
      </c>
      <c r="D99" s="20" t="n">
        <v>44875</v>
      </c>
      <c r="E99" s="8" t="n">
        <v>845.09</v>
      </c>
      <c r="F99" s="8" t="n">
        <v>112.43</v>
      </c>
      <c r="G99" s="8" t="n">
        <v>732.66</v>
      </c>
      <c r="H99" s="8" t="n">
        <v>33862.46</v>
      </c>
      <c r="I99" s="7" t="s">
        <v>2684</v>
      </c>
    </row>
    <row r="100" customFormat="false" ht="15" hidden="false" customHeight="false" outlineLevel="0" collapsed="false">
      <c r="A100" s="7" t="s">
        <v>769</v>
      </c>
      <c r="B100" s="7" t="s">
        <v>137</v>
      </c>
      <c r="C100" s="16" t="n">
        <v>18</v>
      </c>
      <c r="D100" s="20" t="n">
        <v>44905</v>
      </c>
      <c r="E100" s="8" t="n">
        <v>845.09</v>
      </c>
      <c r="F100" s="8" t="n">
        <v>110.05</v>
      </c>
      <c r="G100" s="8" t="n">
        <v>735.04</v>
      </c>
      <c r="H100" s="8" t="n">
        <v>33127.42</v>
      </c>
      <c r="I100" s="7" t="s">
        <v>2684</v>
      </c>
    </row>
    <row r="101" customFormat="false" ht="15" hidden="false" customHeight="false" outlineLevel="0" collapsed="false">
      <c r="A101" s="7" t="s">
        <v>769</v>
      </c>
      <c r="B101" s="7" t="s">
        <v>137</v>
      </c>
      <c r="C101" s="16" t="n">
        <v>19</v>
      </c>
      <c r="D101" s="20" t="n">
        <v>44936</v>
      </c>
      <c r="E101" s="8" t="n">
        <v>845.09</v>
      </c>
      <c r="F101" s="8" t="n">
        <v>107.66</v>
      </c>
      <c r="G101" s="8" t="n">
        <v>737.43</v>
      </c>
      <c r="H101" s="8" t="n">
        <v>32389.99</v>
      </c>
      <c r="I101" s="7" t="s">
        <v>2684</v>
      </c>
    </row>
    <row r="102" customFormat="false" ht="15" hidden="false" customHeight="false" outlineLevel="0" collapsed="false">
      <c r="A102" s="7" t="s">
        <v>769</v>
      </c>
      <c r="B102" s="7" t="s">
        <v>137</v>
      </c>
      <c r="C102" s="16" t="n">
        <v>20</v>
      </c>
      <c r="D102" s="20" t="n">
        <v>44967</v>
      </c>
      <c r="E102" s="8" t="n">
        <v>845.09</v>
      </c>
      <c r="F102" s="8" t="n">
        <v>105.27</v>
      </c>
      <c r="G102" s="8" t="n">
        <v>739.82</v>
      </c>
      <c r="H102" s="8" t="n">
        <v>31650.17</v>
      </c>
      <c r="I102" s="7" t="s">
        <v>2684</v>
      </c>
    </row>
    <row r="103" customFormat="false" ht="15" hidden="false" customHeight="false" outlineLevel="0" collapsed="false">
      <c r="A103" s="7" t="s">
        <v>769</v>
      </c>
      <c r="B103" s="7" t="s">
        <v>137</v>
      </c>
      <c r="C103" s="16" t="n">
        <v>21</v>
      </c>
      <c r="D103" s="20" t="n">
        <v>44995</v>
      </c>
      <c r="E103" s="8" t="n">
        <v>845.09</v>
      </c>
      <c r="F103" s="8" t="n">
        <v>102.86</v>
      </c>
      <c r="G103" s="8" t="n">
        <v>742.23</v>
      </c>
      <c r="H103" s="8" t="n">
        <v>30907.94</v>
      </c>
      <c r="I103" s="7" t="s">
        <v>2684</v>
      </c>
    </row>
    <row r="104" customFormat="false" ht="15" hidden="false" customHeight="false" outlineLevel="0" collapsed="false">
      <c r="A104" s="7" t="s">
        <v>769</v>
      </c>
      <c r="B104" s="7" t="s">
        <v>137</v>
      </c>
      <c r="C104" s="16" t="n">
        <v>22</v>
      </c>
      <c r="D104" s="20" t="n">
        <v>45026</v>
      </c>
      <c r="E104" s="8" t="n">
        <v>845.09</v>
      </c>
      <c r="F104" s="8" t="n">
        <v>100.45</v>
      </c>
      <c r="G104" s="8" t="n">
        <v>744.64</v>
      </c>
      <c r="H104" s="8" t="n">
        <v>30163.3</v>
      </c>
      <c r="I104" s="7" t="s">
        <v>2684</v>
      </c>
    </row>
    <row r="105" customFormat="false" ht="15" hidden="false" customHeight="false" outlineLevel="0" collapsed="false">
      <c r="A105" s="7" t="s">
        <v>769</v>
      </c>
      <c r="B105" s="7" t="s">
        <v>137</v>
      </c>
      <c r="C105" s="16" t="n">
        <v>23</v>
      </c>
      <c r="D105" s="20" t="n">
        <v>45056</v>
      </c>
      <c r="E105" s="8" t="n">
        <v>845.09</v>
      </c>
      <c r="F105" s="8" t="n">
        <v>98.03</v>
      </c>
      <c r="G105" s="8" t="n">
        <v>747.06</v>
      </c>
      <c r="H105" s="8" t="n">
        <v>29416.24</v>
      </c>
      <c r="I105" s="7" t="s">
        <v>2684</v>
      </c>
    </row>
    <row r="106" customFormat="false" ht="15" hidden="false" customHeight="false" outlineLevel="0" collapsed="false">
      <c r="A106" s="7" t="s">
        <v>769</v>
      </c>
      <c r="B106" s="7" t="s">
        <v>137</v>
      </c>
      <c r="C106" s="16" t="n">
        <v>24</v>
      </c>
      <c r="D106" s="20" t="n">
        <v>45087</v>
      </c>
      <c r="E106" s="8" t="n">
        <v>845.09</v>
      </c>
      <c r="F106" s="8" t="n">
        <v>95.6</v>
      </c>
      <c r="G106" s="8" t="n">
        <v>749.49</v>
      </c>
      <c r="H106" s="8" t="n">
        <v>28666.75</v>
      </c>
      <c r="I106" s="7" t="s">
        <v>2684</v>
      </c>
    </row>
    <row r="107" customFormat="false" ht="15" hidden="false" customHeight="false" outlineLevel="0" collapsed="false">
      <c r="A107" s="7" t="s">
        <v>769</v>
      </c>
      <c r="B107" s="7" t="s">
        <v>137</v>
      </c>
      <c r="C107" s="16" t="n">
        <v>25</v>
      </c>
      <c r="D107" s="20" t="n">
        <v>45117</v>
      </c>
      <c r="E107" s="8" t="n">
        <v>845.09</v>
      </c>
      <c r="F107" s="8" t="n">
        <v>93.17</v>
      </c>
      <c r="G107" s="8" t="n">
        <v>751.92</v>
      </c>
      <c r="H107" s="8" t="n">
        <v>27914.83</v>
      </c>
      <c r="I107" s="7" t="s">
        <v>2684</v>
      </c>
    </row>
    <row r="108" customFormat="false" ht="15" hidden="false" customHeight="false" outlineLevel="0" collapsed="false">
      <c r="A108" s="7" t="s">
        <v>769</v>
      </c>
      <c r="B108" s="7" t="s">
        <v>137</v>
      </c>
      <c r="C108" s="16" t="n">
        <v>26</v>
      </c>
      <c r="D108" s="20" t="n">
        <v>45148</v>
      </c>
      <c r="E108" s="8" t="n">
        <v>845.09</v>
      </c>
      <c r="F108" s="8" t="n">
        <v>90.72</v>
      </c>
      <c r="G108" s="8" t="n">
        <v>754.37</v>
      </c>
      <c r="H108" s="8" t="n">
        <v>27160.46</v>
      </c>
      <c r="I108" s="7" t="s">
        <v>2684</v>
      </c>
    </row>
    <row r="109" customFormat="false" ht="15" hidden="false" customHeight="false" outlineLevel="0" collapsed="false">
      <c r="A109" s="7" t="s">
        <v>769</v>
      </c>
      <c r="B109" s="7" t="s">
        <v>137</v>
      </c>
      <c r="C109" s="16" t="n">
        <v>27</v>
      </c>
      <c r="D109" s="20" t="n">
        <v>45179</v>
      </c>
      <c r="E109" s="8" t="n">
        <v>845.09</v>
      </c>
      <c r="F109" s="8" t="n">
        <v>88.27</v>
      </c>
      <c r="G109" s="8" t="n">
        <v>756.82</v>
      </c>
      <c r="H109" s="8" t="n">
        <v>26403.64</v>
      </c>
      <c r="I109" s="7" t="s">
        <v>2684</v>
      </c>
    </row>
    <row r="110" customFormat="false" ht="15" hidden="false" customHeight="false" outlineLevel="0" collapsed="false">
      <c r="A110" s="7" t="s">
        <v>769</v>
      </c>
      <c r="B110" s="7" t="s">
        <v>137</v>
      </c>
      <c r="C110" s="16" t="n">
        <v>28</v>
      </c>
      <c r="D110" s="20" t="n">
        <v>45209</v>
      </c>
      <c r="E110" s="8" t="n">
        <v>845.09</v>
      </c>
      <c r="F110" s="8" t="n">
        <v>85.81</v>
      </c>
      <c r="G110" s="8" t="n">
        <v>759.28</v>
      </c>
      <c r="H110" s="8" t="n">
        <v>25644.36</v>
      </c>
      <c r="I110" s="7" t="s">
        <v>2684</v>
      </c>
    </row>
    <row r="111" customFormat="false" ht="15" hidden="false" customHeight="false" outlineLevel="0" collapsed="false">
      <c r="A111" s="7" t="s">
        <v>769</v>
      </c>
      <c r="B111" s="7" t="s">
        <v>137</v>
      </c>
      <c r="C111" s="16" t="n">
        <v>29</v>
      </c>
      <c r="D111" s="20" t="n">
        <v>45240</v>
      </c>
      <c r="E111" s="8" t="n">
        <v>845.09</v>
      </c>
      <c r="F111" s="8" t="n">
        <v>83.34</v>
      </c>
      <c r="G111" s="8" t="n">
        <v>761.75</v>
      </c>
      <c r="H111" s="8" t="n">
        <v>24882.61</v>
      </c>
      <c r="I111" s="7" t="s">
        <v>2684</v>
      </c>
    </row>
    <row r="112" customFormat="false" ht="15" hidden="false" customHeight="false" outlineLevel="0" collapsed="false">
      <c r="A112" s="7" t="s">
        <v>769</v>
      </c>
      <c r="B112" s="7" t="s">
        <v>137</v>
      </c>
      <c r="C112" s="16" t="n">
        <v>30</v>
      </c>
      <c r="D112" s="20" t="n">
        <v>45270</v>
      </c>
      <c r="E112" s="8" t="n">
        <v>845.09</v>
      </c>
      <c r="F112" s="8" t="n">
        <v>80.87</v>
      </c>
      <c r="G112" s="8" t="n">
        <v>764.22</v>
      </c>
      <c r="H112" s="8" t="n">
        <v>24118.39</v>
      </c>
      <c r="I112" s="7" t="s">
        <v>2684</v>
      </c>
    </row>
    <row r="113" customFormat="false" ht="15" hidden="false" customHeight="false" outlineLevel="0" collapsed="false">
      <c r="A113" s="7" t="s">
        <v>769</v>
      </c>
      <c r="B113" s="7" t="s">
        <v>137</v>
      </c>
      <c r="C113" s="16" t="n">
        <v>31</v>
      </c>
      <c r="D113" s="20" t="n">
        <v>45301</v>
      </c>
      <c r="E113" s="8" t="n">
        <v>845.09</v>
      </c>
      <c r="F113" s="8" t="n">
        <v>78.38</v>
      </c>
      <c r="G113" s="8" t="n">
        <v>766.71</v>
      </c>
      <c r="H113" s="8" t="n">
        <v>23351.68</v>
      </c>
      <c r="I113" s="7" t="s">
        <v>2684</v>
      </c>
    </row>
    <row r="114" customFormat="false" ht="15" hidden="false" customHeight="false" outlineLevel="0" collapsed="false">
      <c r="A114" s="7" t="s">
        <v>769</v>
      </c>
      <c r="B114" s="7" t="s">
        <v>137</v>
      </c>
      <c r="C114" s="16" t="n">
        <v>32</v>
      </c>
      <c r="D114" s="20" t="n">
        <v>45332</v>
      </c>
      <c r="E114" s="8" t="n">
        <v>845.09</v>
      </c>
      <c r="F114" s="8" t="n">
        <v>75.89</v>
      </c>
      <c r="G114" s="8" t="n">
        <v>769.2</v>
      </c>
      <c r="H114" s="8" t="n">
        <v>22582.48</v>
      </c>
      <c r="I114" s="7" t="s">
        <v>2684</v>
      </c>
    </row>
    <row r="115" customFormat="false" ht="15" hidden="false" customHeight="false" outlineLevel="0" collapsed="false">
      <c r="A115" s="7" t="s">
        <v>769</v>
      </c>
      <c r="B115" s="7" t="s">
        <v>137</v>
      </c>
      <c r="C115" s="16" t="n">
        <v>33</v>
      </c>
      <c r="D115" s="20" t="n">
        <v>45361</v>
      </c>
      <c r="E115" s="8" t="n">
        <v>845.09</v>
      </c>
      <c r="F115" s="8" t="n">
        <v>73.39</v>
      </c>
      <c r="G115" s="8" t="n">
        <v>771.7</v>
      </c>
      <c r="H115" s="8" t="n">
        <v>21810.78</v>
      </c>
      <c r="I115" s="7" t="s">
        <v>2684</v>
      </c>
    </row>
    <row r="116" customFormat="false" ht="15" hidden="false" customHeight="false" outlineLevel="0" collapsed="false">
      <c r="A116" s="7" t="s">
        <v>769</v>
      </c>
      <c r="B116" s="7" t="s">
        <v>137</v>
      </c>
      <c r="C116" s="16" t="n">
        <v>34</v>
      </c>
      <c r="D116" s="20" t="n">
        <v>45392</v>
      </c>
      <c r="E116" s="8" t="n">
        <v>845.09</v>
      </c>
      <c r="F116" s="8" t="n">
        <v>70.89</v>
      </c>
      <c r="G116" s="8" t="n">
        <v>774.2</v>
      </c>
      <c r="H116" s="8" t="n">
        <v>21036.58</v>
      </c>
      <c r="I116" s="7" t="s">
        <v>2684</v>
      </c>
    </row>
    <row r="117" customFormat="false" ht="15" hidden="false" customHeight="false" outlineLevel="0" collapsed="false">
      <c r="A117" s="7" t="s">
        <v>769</v>
      </c>
      <c r="B117" s="7" t="s">
        <v>137</v>
      </c>
      <c r="C117" s="16" t="n">
        <v>35</v>
      </c>
      <c r="D117" s="20" t="n">
        <v>45422</v>
      </c>
      <c r="E117" s="8" t="n">
        <v>845.09</v>
      </c>
      <c r="F117" s="8" t="n">
        <v>68.37</v>
      </c>
      <c r="G117" s="8" t="n">
        <v>776.72</v>
      </c>
      <c r="H117" s="8" t="n">
        <v>20259.86</v>
      </c>
      <c r="I117" s="7" t="s">
        <v>2684</v>
      </c>
    </row>
    <row r="118" customFormat="false" ht="15" hidden="false" customHeight="false" outlineLevel="0" collapsed="false">
      <c r="A118" s="7" t="s">
        <v>769</v>
      </c>
      <c r="B118" s="7" t="s">
        <v>137</v>
      </c>
      <c r="C118" s="16" t="n">
        <v>36</v>
      </c>
      <c r="D118" s="20" t="n">
        <v>45453</v>
      </c>
      <c r="E118" s="8" t="n">
        <v>845.09</v>
      </c>
      <c r="F118" s="8" t="n">
        <v>65.84</v>
      </c>
      <c r="G118" s="8" t="n">
        <v>779.25</v>
      </c>
      <c r="H118" s="8" t="n">
        <v>19480.61</v>
      </c>
      <c r="I118" s="7" t="s">
        <v>2684</v>
      </c>
    </row>
    <row r="119" customFormat="false" ht="15" hidden="false" customHeight="false" outlineLevel="0" collapsed="false">
      <c r="A119" s="7" t="s">
        <v>769</v>
      </c>
      <c r="B119" s="7" t="s">
        <v>137</v>
      </c>
      <c r="C119" s="16" t="n">
        <v>37</v>
      </c>
      <c r="D119" s="20" t="n">
        <v>45483</v>
      </c>
      <c r="E119" s="8" t="n">
        <v>845.09</v>
      </c>
      <c r="F119" s="8" t="n">
        <v>63.31</v>
      </c>
      <c r="G119" s="8" t="n">
        <v>781.78</v>
      </c>
      <c r="H119" s="8" t="n">
        <v>18698.83</v>
      </c>
      <c r="I119" s="7" t="s">
        <v>2684</v>
      </c>
    </row>
    <row r="120" customFormat="false" ht="15" hidden="false" customHeight="false" outlineLevel="0" collapsed="false">
      <c r="A120" s="7" t="s">
        <v>769</v>
      </c>
      <c r="B120" s="7" t="s">
        <v>137</v>
      </c>
      <c r="C120" s="16" t="n">
        <v>38</v>
      </c>
      <c r="D120" s="20" t="n">
        <v>45514</v>
      </c>
      <c r="E120" s="8" t="n">
        <v>845.09</v>
      </c>
      <c r="F120" s="8" t="n">
        <v>60.77</v>
      </c>
      <c r="G120" s="8" t="n">
        <v>784.32</v>
      </c>
      <c r="H120" s="8" t="n">
        <v>17914.51</v>
      </c>
      <c r="I120" s="7" t="s">
        <v>2684</v>
      </c>
    </row>
    <row r="121" customFormat="false" ht="15" hidden="false" customHeight="false" outlineLevel="0" collapsed="false">
      <c r="A121" s="7" t="s">
        <v>769</v>
      </c>
      <c r="B121" s="7" t="s">
        <v>137</v>
      </c>
      <c r="C121" s="16" t="n">
        <v>39</v>
      </c>
      <c r="D121" s="20" t="n">
        <v>45545</v>
      </c>
      <c r="E121" s="8" t="n">
        <v>845.09</v>
      </c>
      <c r="F121" s="8" t="n">
        <v>58.22</v>
      </c>
      <c r="G121" s="8" t="n">
        <v>786.87</v>
      </c>
      <c r="H121" s="8" t="n">
        <v>17127.64</v>
      </c>
      <c r="I121" s="7" t="s">
        <v>2684</v>
      </c>
    </row>
    <row r="122" customFormat="false" ht="15" hidden="false" customHeight="false" outlineLevel="0" collapsed="false">
      <c r="A122" s="7" t="s">
        <v>769</v>
      </c>
      <c r="B122" s="7" t="s">
        <v>137</v>
      </c>
      <c r="C122" s="16" t="n">
        <v>40</v>
      </c>
      <c r="D122" s="20" t="n">
        <v>45575</v>
      </c>
      <c r="E122" s="8" t="n">
        <v>845.09</v>
      </c>
      <c r="F122" s="8" t="n">
        <v>55.66</v>
      </c>
      <c r="G122" s="8" t="n">
        <v>789.43</v>
      </c>
      <c r="H122" s="8" t="n">
        <v>16338.21</v>
      </c>
      <c r="I122" s="7" t="s">
        <v>2684</v>
      </c>
    </row>
    <row r="123" customFormat="false" ht="15" hidden="false" customHeight="false" outlineLevel="0" collapsed="false">
      <c r="A123" s="7" t="s">
        <v>769</v>
      </c>
      <c r="B123" s="7" t="s">
        <v>137</v>
      </c>
      <c r="C123" s="16" t="n">
        <v>41</v>
      </c>
      <c r="D123" s="20" t="n">
        <v>45606</v>
      </c>
      <c r="E123" s="8" t="n">
        <v>845.09</v>
      </c>
      <c r="F123" s="8" t="n">
        <v>53.1</v>
      </c>
      <c r="G123" s="8" t="n">
        <v>791.99</v>
      </c>
      <c r="H123" s="8" t="n">
        <v>15546.22</v>
      </c>
      <c r="I123" s="7" t="s">
        <v>2684</v>
      </c>
    </row>
    <row r="124" customFormat="false" ht="15" hidden="false" customHeight="false" outlineLevel="0" collapsed="false">
      <c r="A124" s="7" t="s">
        <v>769</v>
      </c>
      <c r="B124" s="7" t="s">
        <v>137</v>
      </c>
      <c r="C124" s="16" t="n">
        <v>42</v>
      </c>
      <c r="D124" s="20" t="n">
        <v>45636</v>
      </c>
      <c r="E124" s="8" t="n">
        <v>845.09</v>
      </c>
      <c r="F124" s="8" t="n">
        <v>50.53</v>
      </c>
      <c r="G124" s="8" t="n">
        <v>794.56</v>
      </c>
      <c r="H124" s="8" t="n">
        <v>14751.66</v>
      </c>
      <c r="I124" s="7" t="s">
        <v>2684</v>
      </c>
    </row>
    <row r="125" customFormat="false" ht="15" hidden="false" customHeight="false" outlineLevel="0" collapsed="false">
      <c r="A125" s="7" t="s">
        <v>769</v>
      </c>
      <c r="B125" s="7" t="s">
        <v>137</v>
      </c>
      <c r="C125" s="16" t="n">
        <v>43</v>
      </c>
      <c r="D125" s="20" t="n">
        <v>45667</v>
      </c>
      <c r="E125" s="8" t="n">
        <v>845.09</v>
      </c>
      <c r="F125" s="8" t="n">
        <v>47.94</v>
      </c>
      <c r="G125" s="8" t="n">
        <v>797.15</v>
      </c>
      <c r="H125" s="8" t="n">
        <v>13954.51</v>
      </c>
      <c r="I125" s="7" t="s">
        <v>2684</v>
      </c>
    </row>
    <row r="126" customFormat="false" ht="15" hidden="false" customHeight="false" outlineLevel="0" collapsed="false">
      <c r="A126" s="7" t="s">
        <v>769</v>
      </c>
      <c r="B126" s="7" t="s">
        <v>137</v>
      </c>
      <c r="C126" s="16" t="n">
        <v>44</v>
      </c>
      <c r="D126" s="20" t="n">
        <v>45698</v>
      </c>
      <c r="E126" s="8" t="n">
        <v>845.09</v>
      </c>
      <c r="F126" s="8" t="n">
        <v>45.35</v>
      </c>
      <c r="G126" s="8" t="n">
        <v>799.74</v>
      </c>
      <c r="H126" s="8" t="n">
        <v>13154.77</v>
      </c>
      <c r="I126" s="7" t="s">
        <v>2684</v>
      </c>
    </row>
    <row r="127" customFormat="false" ht="15" hidden="false" customHeight="false" outlineLevel="0" collapsed="false">
      <c r="A127" s="7" t="s">
        <v>769</v>
      </c>
      <c r="B127" s="7" t="s">
        <v>137</v>
      </c>
      <c r="C127" s="16" t="n">
        <v>45</v>
      </c>
      <c r="D127" s="20" t="n">
        <v>45726</v>
      </c>
      <c r="E127" s="8" t="n">
        <v>845.09</v>
      </c>
      <c r="F127" s="8" t="n">
        <v>42.75</v>
      </c>
      <c r="G127" s="8" t="n">
        <v>802.34</v>
      </c>
      <c r="H127" s="8" t="n">
        <v>12352.43</v>
      </c>
      <c r="I127" s="7" t="s">
        <v>2684</v>
      </c>
    </row>
    <row r="128" customFormat="false" ht="15" hidden="false" customHeight="false" outlineLevel="0" collapsed="false">
      <c r="A128" s="7" t="s">
        <v>769</v>
      </c>
      <c r="B128" s="7" t="s">
        <v>137</v>
      </c>
      <c r="C128" s="16" t="n">
        <v>46</v>
      </c>
      <c r="D128" s="20" t="n">
        <v>45757</v>
      </c>
      <c r="E128" s="8" t="n">
        <v>845.09</v>
      </c>
      <c r="F128" s="8" t="n">
        <v>40.15</v>
      </c>
      <c r="G128" s="8" t="n">
        <v>804.94</v>
      </c>
      <c r="H128" s="8" t="n">
        <v>11547.49</v>
      </c>
      <c r="I128" s="7" t="s">
        <v>2684</v>
      </c>
    </row>
    <row r="129" customFormat="false" ht="15" hidden="false" customHeight="false" outlineLevel="0" collapsed="false">
      <c r="A129" s="7" t="s">
        <v>769</v>
      </c>
      <c r="B129" s="7" t="s">
        <v>137</v>
      </c>
      <c r="C129" s="16" t="n">
        <v>47</v>
      </c>
      <c r="D129" s="20" t="n">
        <v>45787</v>
      </c>
      <c r="E129" s="8" t="n">
        <v>845.09</v>
      </c>
      <c r="F129" s="8" t="n">
        <v>37.53</v>
      </c>
      <c r="G129" s="8" t="n">
        <v>807.56</v>
      </c>
      <c r="H129" s="8" t="n">
        <v>10739.93</v>
      </c>
      <c r="I129" s="7" t="s">
        <v>2684</v>
      </c>
    </row>
    <row r="130" customFormat="false" ht="15" hidden="false" customHeight="false" outlineLevel="0" collapsed="false">
      <c r="A130" s="7" t="s">
        <v>769</v>
      </c>
      <c r="B130" s="7" t="s">
        <v>137</v>
      </c>
      <c r="C130" s="16" t="n">
        <v>48</v>
      </c>
      <c r="D130" s="20" t="n">
        <v>45818</v>
      </c>
      <c r="E130" s="8" t="n">
        <v>845.09</v>
      </c>
      <c r="F130" s="8" t="n">
        <v>34.9</v>
      </c>
      <c r="G130" s="8" t="n">
        <v>810.19</v>
      </c>
      <c r="H130" s="8" t="n">
        <v>9929.74</v>
      </c>
      <c r="I130" s="7" t="s">
        <v>2684</v>
      </c>
    </row>
    <row r="131" customFormat="false" ht="15" hidden="false" customHeight="false" outlineLevel="0" collapsed="false">
      <c r="A131" s="7" t="s">
        <v>769</v>
      </c>
      <c r="B131" s="7" t="s">
        <v>137</v>
      </c>
      <c r="C131" s="16" t="n">
        <v>49</v>
      </c>
      <c r="D131" s="20" t="n">
        <v>45848</v>
      </c>
      <c r="E131" s="8" t="n">
        <v>845.09</v>
      </c>
      <c r="F131" s="8" t="n">
        <v>32.27</v>
      </c>
      <c r="G131" s="8" t="n">
        <v>812.82</v>
      </c>
      <c r="H131" s="8" t="n">
        <v>9116.92</v>
      </c>
      <c r="I131" s="7" t="s">
        <v>2684</v>
      </c>
    </row>
    <row r="132" customFormat="false" ht="15" hidden="false" customHeight="false" outlineLevel="0" collapsed="false">
      <c r="A132" s="7" t="s">
        <v>769</v>
      </c>
      <c r="B132" s="7" t="s">
        <v>137</v>
      </c>
      <c r="C132" s="16" t="n">
        <v>50</v>
      </c>
      <c r="D132" s="20" t="n">
        <v>45879</v>
      </c>
      <c r="E132" s="8" t="n">
        <v>845.09</v>
      </c>
      <c r="F132" s="8" t="n">
        <v>29.63</v>
      </c>
      <c r="G132" s="8" t="n">
        <v>815.46</v>
      </c>
      <c r="H132" s="8" t="n">
        <v>8301.46</v>
      </c>
      <c r="I132" s="7" t="s">
        <v>2684</v>
      </c>
    </row>
    <row r="133" customFormat="false" ht="15" hidden="false" customHeight="false" outlineLevel="0" collapsed="false">
      <c r="A133" s="7" t="s">
        <v>769</v>
      </c>
      <c r="B133" s="7" t="s">
        <v>137</v>
      </c>
      <c r="C133" s="16" t="n">
        <v>51</v>
      </c>
      <c r="D133" s="20" t="n">
        <v>45910</v>
      </c>
      <c r="E133" s="8" t="n">
        <v>845.09</v>
      </c>
      <c r="F133" s="8" t="n">
        <v>26.98</v>
      </c>
      <c r="G133" s="8" t="n">
        <v>818.11</v>
      </c>
      <c r="H133" s="8" t="n">
        <v>7483.35</v>
      </c>
      <c r="I133" s="7" t="s">
        <v>2684</v>
      </c>
    </row>
    <row r="134" customFormat="false" ht="15" hidden="false" customHeight="false" outlineLevel="0" collapsed="false">
      <c r="A134" s="7" t="s">
        <v>769</v>
      </c>
      <c r="B134" s="7" t="s">
        <v>137</v>
      </c>
      <c r="C134" s="16" t="n">
        <v>52</v>
      </c>
      <c r="D134" s="20" t="n">
        <v>45940</v>
      </c>
      <c r="E134" s="8" t="n">
        <v>845.09</v>
      </c>
      <c r="F134" s="8" t="n">
        <v>24.32</v>
      </c>
      <c r="G134" s="8" t="n">
        <v>820.77</v>
      </c>
      <c r="H134" s="8" t="n">
        <v>6662.58</v>
      </c>
      <c r="I134" s="7" t="s">
        <v>2684</v>
      </c>
    </row>
    <row r="135" customFormat="false" ht="15" hidden="false" customHeight="false" outlineLevel="0" collapsed="false">
      <c r="A135" s="7" t="s">
        <v>769</v>
      </c>
      <c r="B135" s="7" t="s">
        <v>137</v>
      </c>
      <c r="C135" s="16" t="n">
        <v>53</v>
      </c>
      <c r="D135" s="20" t="n">
        <v>45971</v>
      </c>
      <c r="E135" s="8" t="n">
        <v>845.09</v>
      </c>
      <c r="F135" s="8" t="n">
        <v>21.65</v>
      </c>
      <c r="G135" s="8" t="n">
        <v>823.44</v>
      </c>
      <c r="H135" s="8" t="n">
        <v>5839.14</v>
      </c>
      <c r="I135" s="7" t="s">
        <v>2684</v>
      </c>
    </row>
    <row r="136" customFormat="false" ht="15" hidden="false" customHeight="false" outlineLevel="0" collapsed="false">
      <c r="A136" s="7" t="s">
        <v>769</v>
      </c>
      <c r="B136" s="7" t="s">
        <v>137</v>
      </c>
      <c r="C136" s="16" t="n">
        <v>54</v>
      </c>
      <c r="D136" s="20" t="n">
        <v>46001</v>
      </c>
      <c r="E136" s="8" t="n">
        <v>845.09</v>
      </c>
      <c r="F136" s="8" t="n">
        <v>18.98</v>
      </c>
      <c r="G136" s="8" t="n">
        <v>826.11</v>
      </c>
      <c r="H136" s="8" t="n">
        <v>5013.03</v>
      </c>
      <c r="I136" s="7" t="s">
        <v>2684</v>
      </c>
    </row>
    <row r="137" customFormat="false" ht="15" hidden="false" customHeight="false" outlineLevel="0" collapsed="false">
      <c r="A137" s="7" t="s">
        <v>769</v>
      </c>
      <c r="B137" s="7" t="s">
        <v>137</v>
      </c>
      <c r="C137" s="16" t="n">
        <v>55</v>
      </c>
      <c r="D137" s="20" t="n">
        <v>46032</v>
      </c>
      <c r="E137" s="8" t="n">
        <v>845.09</v>
      </c>
      <c r="F137" s="8" t="n">
        <v>16.29</v>
      </c>
      <c r="G137" s="8" t="n">
        <v>828.8</v>
      </c>
      <c r="H137" s="8" t="n">
        <v>4184.23</v>
      </c>
      <c r="I137" s="7" t="s">
        <v>2684</v>
      </c>
    </row>
    <row r="138" customFormat="false" ht="15" hidden="false" customHeight="false" outlineLevel="0" collapsed="false">
      <c r="A138" s="7" t="s">
        <v>769</v>
      </c>
      <c r="B138" s="7" t="s">
        <v>137</v>
      </c>
      <c r="C138" s="16" t="n">
        <v>56</v>
      </c>
      <c r="D138" s="20" t="n">
        <v>46063</v>
      </c>
      <c r="E138" s="8" t="n">
        <v>845.09</v>
      </c>
      <c r="F138" s="8" t="n">
        <v>13.6</v>
      </c>
      <c r="G138" s="8" t="n">
        <v>831.49</v>
      </c>
      <c r="H138" s="8" t="n">
        <v>3352.74</v>
      </c>
      <c r="I138" s="7" t="s">
        <v>2684</v>
      </c>
    </row>
    <row r="139" customFormat="false" ht="15" hidden="false" customHeight="false" outlineLevel="0" collapsed="false">
      <c r="A139" s="7" t="s">
        <v>769</v>
      </c>
      <c r="B139" s="7" t="s">
        <v>137</v>
      </c>
      <c r="C139" s="16" t="n">
        <v>57</v>
      </c>
      <c r="D139" s="20" t="n">
        <v>46091</v>
      </c>
      <c r="E139" s="8" t="n">
        <v>845.09</v>
      </c>
      <c r="F139" s="8" t="n">
        <v>10.9</v>
      </c>
      <c r="G139" s="8" t="n">
        <v>834.19</v>
      </c>
      <c r="H139" s="8" t="n">
        <v>2518.55</v>
      </c>
      <c r="I139" s="7" t="s">
        <v>2684</v>
      </c>
    </row>
    <row r="140" customFormat="false" ht="15" hidden="false" customHeight="false" outlineLevel="0" collapsed="false">
      <c r="A140" s="7" t="s">
        <v>769</v>
      </c>
      <c r="B140" s="7" t="s">
        <v>137</v>
      </c>
      <c r="C140" s="16" t="n">
        <v>58</v>
      </c>
      <c r="D140" s="20" t="n">
        <v>46122</v>
      </c>
      <c r="E140" s="8" t="n">
        <v>845.09</v>
      </c>
      <c r="F140" s="8" t="n">
        <v>8.19</v>
      </c>
      <c r="G140" s="8" t="n">
        <v>836.9</v>
      </c>
      <c r="H140" s="8" t="n">
        <v>1681.65</v>
      </c>
      <c r="I140" s="7" t="s">
        <v>2684</v>
      </c>
    </row>
    <row r="141" customFormat="false" ht="15" hidden="false" customHeight="false" outlineLevel="0" collapsed="false">
      <c r="A141" s="7" t="s">
        <v>769</v>
      </c>
      <c r="B141" s="7" t="s">
        <v>137</v>
      </c>
      <c r="C141" s="16" t="n">
        <v>59</v>
      </c>
      <c r="D141" s="20" t="n">
        <v>46152</v>
      </c>
      <c r="E141" s="8" t="n">
        <v>845.09</v>
      </c>
      <c r="F141" s="8" t="n">
        <v>5.47</v>
      </c>
      <c r="G141" s="8" t="n">
        <v>839.62</v>
      </c>
      <c r="H141" s="8" t="n">
        <v>842.03</v>
      </c>
      <c r="I141" s="7" t="s">
        <v>2684</v>
      </c>
    </row>
    <row r="142" customFormat="false" ht="15" hidden="false" customHeight="false" outlineLevel="0" collapsed="false">
      <c r="A142" s="7" t="s">
        <v>769</v>
      </c>
      <c r="B142" s="7" t="s">
        <v>137</v>
      </c>
      <c r="C142" s="16" t="n">
        <v>60</v>
      </c>
      <c r="D142" s="20" t="n">
        <v>46183</v>
      </c>
      <c r="E142" s="8" t="n">
        <v>844.77</v>
      </c>
      <c r="F142" s="8" t="n">
        <v>2.74</v>
      </c>
      <c r="G142" s="8" t="n">
        <v>842.03</v>
      </c>
      <c r="H142" s="8" t="n">
        <v>0</v>
      </c>
      <c r="I142" s="7" t="s">
        <v>2684</v>
      </c>
    </row>
  </sheetData>
  <autoFilter ref="A1:I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1" t="s">
        <v>131</v>
      </c>
      <c r="B1" s="11" t="s">
        <v>212</v>
      </c>
      <c r="C1" s="11" t="s">
        <v>3022</v>
      </c>
      <c r="D1" s="11" t="s">
        <v>3023</v>
      </c>
      <c r="E1" s="11" t="s">
        <v>3024</v>
      </c>
      <c r="F1" s="11" t="s">
        <v>3025</v>
      </c>
      <c r="G1" s="11" t="s">
        <v>205</v>
      </c>
      <c r="H1" s="11" t="s">
        <v>3026</v>
      </c>
    </row>
    <row r="2" customFormat="false" ht="15" hidden="false" customHeight="false" outlineLevel="0" collapsed="false">
      <c r="A2" s="7" t="s">
        <v>137</v>
      </c>
      <c r="B2" s="20" t="n">
        <v>44957</v>
      </c>
      <c r="C2" s="8" t="n">
        <v>59000</v>
      </c>
      <c r="D2" s="16" t="n">
        <v>250000</v>
      </c>
      <c r="E2" s="16" t="n">
        <v>191000</v>
      </c>
      <c r="F2" s="16" t="n">
        <v>0.085</v>
      </c>
      <c r="G2" s="8" t="n">
        <v>621.32</v>
      </c>
      <c r="H2" s="8" t="n">
        <v>86064.52</v>
      </c>
    </row>
    <row r="3" customFormat="false" ht="15" hidden="false" customHeight="false" outlineLevel="0" collapsed="false">
      <c r="A3" s="7" t="s">
        <v>137</v>
      </c>
      <c r="B3" s="20" t="n">
        <v>44985</v>
      </c>
      <c r="C3" s="8" t="n">
        <v>59000</v>
      </c>
      <c r="D3" s="16" t="n">
        <v>250000</v>
      </c>
      <c r="E3" s="16" t="n">
        <v>191000</v>
      </c>
      <c r="F3" s="16" t="n">
        <v>0.0875</v>
      </c>
      <c r="G3" s="8" t="n">
        <v>396.03</v>
      </c>
      <c r="H3" s="8" t="n">
        <v>59000</v>
      </c>
    </row>
    <row r="4" customFormat="false" ht="15" hidden="false" customHeight="false" outlineLevel="0" collapsed="false">
      <c r="A4" s="7" t="s">
        <v>137</v>
      </c>
      <c r="B4" s="20" t="n">
        <v>45016</v>
      </c>
      <c r="C4" s="8" t="n">
        <v>73000</v>
      </c>
      <c r="D4" s="16" t="n">
        <v>250000</v>
      </c>
      <c r="E4" s="16" t="n">
        <v>177000</v>
      </c>
      <c r="F4" s="16" t="n">
        <v>0.09</v>
      </c>
      <c r="G4" s="8" t="n">
        <v>509.67</v>
      </c>
      <c r="H4" s="8" t="n">
        <v>66677.42</v>
      </c>
    </row>
    <row r="5" customFormat="false" ht="15" hidden="false" customHeight="false" outlineLevel="0" collapsed="false">
      <c r="A5" s="7" t="s">
        <v>137</v>
      </c>
      <c r="B5" s="20" t="n">
        <v>45046</v>
      </c>
      <c r="C5" s="8" t="n">
        <v>86000</v>
      </c>
      <c r="D5" s="16" t="n">
        <v>250000</v>
      </c>
      <c r="E5" s="16" t="n">
        <v>164000</v>
      </c>
      <c r="F5" s="16" t="n">
        <v>0.09</v>
      </c>
      <c r="G5" s="8" t="n">
        <v>607.32</v>
      </c>
      <c r="H5" s="8" t="n">
        <v>82100</v>
      </c>
    </row>
    <row r="6" customFormat="false" ht="15" hidden="false" customHeight="false" outlineLevel="0" collapsed="false">
      <c r="A6" s="7" t="s">
        <v>137</v>
      </c>
      <c r="B6" s="20" t="n">
        <v>45077</v>
      </c>
      <c r="C6" s="8" t="n">
        <v>126000</v>
      </c>
      <c r="D6" s="16" t="n">
        <v>250000</v>
      </c>
      <c r="E6" s="16" t="n">
        <v>124000</v>
      </c>
      <c r="F6" s="16" t="n">
        <v>0.0925</v>
      </c>
      <c r="G6" s="8" t="n">
        <v>871.27</v>
      </c>
      <c r="H6" s="8" t="n">
        <v>110903.23</v>
      </c>
    </row>
    <row r="7" customFormat="false" ht="15" hidden="false" customHeight="false" outlineLevel="0" collapsed="false">
      <c r="A7" s="7" t="s">
        <v>137</v>
      </c>
      <c r="B7" s="20" t="n">
        <v>45107</v>
      </c>
      <c r="C7" s="8" t="n">
        <v>158000</v>
      </c>
      <c r="D7" s="16" t="n">
        <v>250000</v>
      </c>
      <c r="E7" s="16" t="n">
        <v>92000</v>
      </c>
      <c r="F7" s="16" t="n">
        <v>0.0925</v>
      </c>
      <c r="G7" s="8" t="n">
        <v>1120.14</v>
      </c>
      <c r="H7" s="8" t="n">
        <v>147333.33</v>
      </c>
    </row>
    <row r="8" customFormat="false" ht="15" hidden="false" customHeight="false" outlineLevel="0" collapsed="false">
      <c r="A8" s="7" t="s">
        <v>137</v>
      </c>
      <c r="B8" s="20" t="n">
        <v>45138</v>
      </c>
      <c r="C8" s="8" t="n">
        <v>176000</v>
      </c>
      <c r="D8" s="16" t="n">
        <v>250000</v>
      </c>
      <c r="E8" s="16" t="n">
        <v>74000</v>
      </c>
      <c r="F8" s="16" t="n">
        <v>0.095</v>
      </c>
      <c r="G8" s="8" t="n">
        <v>1410.68</v>
      </c>
      <c r="H8" s="8" t="n">
        <v>174838.71</v>
      </c>
    </row>
    <row r="9" customFormat="false" ht="15" hidden="false" customHeight="false" outlineLevel="0" collapsed="false">
      <c r="A9" s="7" t="s">
        <v>137</v>
      </c>
      <c r="B9" s="20" t="n">
        <v>45169</v>
      </c>
      <c r="C9" s="8" t="n">
        <v>170000</v>
      </c>
      <c r="D9" s="16" t="n">
        <v>250000</v>
      </c>
      <c r="E9" s="16" t="n">
        <v>80000</v>
      </c>
      <c r="F9" s="16" t="n">
        <v>0.095</v>
      </c>
      <c r="G9" s="8" t="n">
        <v>1529.37</v>
      </c>
      <c r="H9" s="8" t="n">
        <v>189548.39</v>
      </c>
    </row>
    <row r="10" customFormat="false" ht="15" hidden="false" customHeight="false" outlineLevel="0" collapsed="false">
      <c r="A10" s="7" t="s">
        <v>137</v>
      </c>
      <c r="B10" s="20" t="n">
        <v>45199</v>
      </c>
      <c r="C10" s="8" t="n">
        <v>170000</v>
      </c>
      <c r="D10" s="16" t="n">
        <v>250000</v>
      </c>
      <c r="E10" s="16" t="n">
        <v>80000</v>
      </c>
      <c r="F10" s="16" t="n">
        <v>0.095</v>
      </c>
      <c r="G10" s="8" t="n">
        <v>1327.4</v>
      </c>
      <c r="H10" s="8" t="n">
        <v>170000</v>
      </c>
    </row>
    <row r="11" customFormat="false" ht="15" hidden="false" customHeight="false" outlineLevel="0" collapsed="false">
      <c r="A11" s="7" t="s">
        <v>137</v>
      </c>
      <c r="B11" s="20" t="n">
        <v>45230</v>
      </c>
      <c r="C11" s="8" t="n">
        <v>113000</v>
      </c>
      <c r="D11" s="16" t="n">
        <v>250000</v>
      </c>
      <c r="E11" s="16" t="n">
        <v>137000</v>
      </c>
      <c r="F11" s="16" t="n">
        <v>0.095</v>
      </c>
      <c r="G11" s="8" t="n">
        <v>1371.64</v>
      </c>
      <c r="H11" s="8" t="n">
        <v>170000</v>
      </c>
    </row>
    <row r="12" customFormat="false" ht="15" hidden="false" customHeight="false" outlineLevel="0" collapsed="false">
      <c r="A12" s="7" t="s">
        <v>137</v>
      </c>
      <c r="B12" s="20" t="n">
        <v>45260</v>
      </c>
      <c r="C12" s="8" t="n">
        <v>113000</v>
      </c>
      <c r="D12" s="16" t="n">
        <v>250000</v>
      </c>
      <c r="E12" s="16" t="n">
        <v>137000</v>
      </c>
      <c r="F12" s="16" t="n">
        <v>0.095</v>
      </c>
      <c r="G12" s="8" t="n">
        <v>882.33</v>
      </c>
      <c r="H12" s="8" t="n">
        <v>113000</v>
      </c>
    </row>
    <row r="13" customFormat="false" ht="15" hidden="false" customHeight="false" outlineLevel="0" collapsed="false">
      <c r="A13" s="7" t="s">
        <v>137</v>
      </c>
      <c r="B13" s="20" t="n">
        <v>45291</v>
      </c>
      <c r="C13" s="8" t="n">
        <v>92000</v>
      </c>
      <c r="D13" s="16" t="n">
        <v>250000</v>
      </c>
      <c r="E13" s="16" t="n">
        <v>158000</v>
      </c>
      <c r="F13" s="16" t="n">
        <v>0.095</v>
      </c>
      <c r="G13" s="8" t="n">
        <v>1089.25</v>
      </c>
      <c r="H13" s="8" t="n">
        <v>135000</v>
      </c>
    </row>
    <row r="14" customFormat="false" ht="15" hidden="false" customHeight="false" outlineLevel="0" collapsed="false">
      <c r="A14" s="7" t="s">
        <v>137</v>
      </c>
      <c r="B14" s="20" t="n">
        <v>45322</v>
      </c>
      <c r="C14" s="8" t="n">
        <v>139000</v>
      </c>
      <c r="D14" s="16" t="n">
        <v>250000</v>
      </c>
      <c r="E14" s="16" t="n">
        <v>111000</v>
      </c>
      <c r="F14" s="16" t="n">
        <v>0.095</v>
      </c>
      <c r="G14" s="8" t="n">
        <v>932.04</v>
      </c>
      <c r="H14" s="8" t="n">
        <v>115516.13</v>
      </c>
    </row>
    <row r="15" customFormat="false" ht="15" hidden="false" customHeight="false" outlineLevel="0" collapsed="false">
      <c r="A15" s="7" t="s">
        <v>137</v>
      </c>
      <c r="B15" s="20" t="n">
        <v>45351</v>
      </c>
      <c r="C15" s="8" t="n">
        <v>139000</v>
      </c>
      <c r="D15" s="16" t="n">
        <v>250000</v>
      </c>
      <c r="E15" s="16" t="n">
        <v>111000</v>
      </c>
      <c r="F15" s="16" t="n">
        <v>0.095</v>
      </c>
      <c r="G15" s="8" t="n">
        <v>1049.16</v>
      </c>
      <c r="H15" s="8" t="n">
        <v>139000</v>
      </c>
    </row>
    <row r="16" customFormat="false" ht="15" hidden="false" customHeight="false" outlineLevel="0" collapsed="false">
      <c r="A16" s="7" t="s">
        <v>137</v>
      </c>
      <c r="B16" s="20" t="n">
        <v>45382</v>
      </c>
      <c r="C16" s="8" t="n">
        <v>109000</v>
      </c>
      <c r="D16" s="16" t="n">
        <v>250000</v>
      </c>
      <c r="E16" s="16" t="n">
        <v>141000</v>
      </c>
      <c r="F16" s="16" t="n">
        <v>0.095</v>
      </c>
      <c r="G16" s="8" t="n">
        <v>1121.52</v>
      </c>
      <c r="H16" s="8" t="n">
        <v>139000</v>
      </c>
    </row>
    <row r="17" customFormat="false" ht="15" hidden="false" customHeight="false" outlineLevel="0" collapsed="false">
      <c r="A17" s="7" t="s">
        <v>137</v>
      </c>
      <c r="B17" s="20" t="n">
        <v>45412</v>
      </c>
      <c r="C17" s="8" t="n">
        <v>109000</v>
      </c>
      <c r="D17" s="16" t="n">
        <v>250000</v>
      </c>
      <c r="E17" s="16" t="n">
        <v>141000</v>
      </c>
      <c r="F17" s="16" t="n">
        <v>0.095</v>
      </c>
      <c r="G17" s="8" t="n">
        <v>851.1</v>
      </c>
      <c r="H17" s="8" t="n">
        <v>109000</v>
      </c>
    </row>
    <row r="18" customFormat="false" ht="15" hidden="false" customHeight="false" outlineLevel="0" collapsed="false">
      <c r="A18" s="7" t="s">
        <v>137</v>
      </c>
      <c r="B18" s="20" t="n">
        <v>45443</v>
      </c>
      <c r="C18" s="8" t="n">
        <v>125000</v>
      </c>
      <c r="D18" s="16" t="n">
        <v>250000</v>
      </c>
      <c r="E18" s="16" t="n">
        <v>125000</v>
      </c>
      <c r="F18" s="16" t="n">
        <v>0.095</v>
      </c>
      <c r="G18" s="8" t="n">
        <v>971.08</v>
      </c>
      <c r="H18" s="8" t="n">
        <v>120354.84</v>
      </c>
    </row>
    <row r="19" customFormat="false" ht="15" hidden="false" customHeight="false" outlineLevel="0" collapsed="false">
      <c r="A19" s="7" t="s">
        <v>137</v>
      </c>
      <c r="B19" s="20" t="n">
        <v>45473</v>
      </c>
      <c r="C19" s="8" t="n">
        <v>141000</v>
      </c>
      <c r="D19" s="16" t="n">
        <v>250000</v>
      </c>
      <c r="E19" s="16" t="n">
        <v>109000</v>
      </c>
      <c r="F19" s="16" t="n">
        <v>0.095</v>
      </c>
      <c r="G19" s="8" t="n">
        <v>1017.67</v>
      </c>
      <c r="H19" s="8" t="n">
        <v>130333.33</v>
      </c>
    </row>
    <row r="20" customFormat="false" ht="15" hidden="false" customHeight="false" outlineLevel="0" collapsed="false">
      <c r="A20" s="7" t="s">
        <v>137</v>
      </c>
      <c r="B20" s="20" t="n">
        <v>45504</v>
      </c>
      <c r="C20" s="8" t="n">
        <v>170000</v>
      </c>
      <c r="D20" s="16" t="n">
        <v>250000</v>
      </c>
      <c r="E20" s="16" t="n">
        <v>80000</v>
      </c>
      <c r="F20" s="16" t="n">
        <v>0.095</v>
      </c>
      <c r="G20" s="8" t="n">
        <v>1262.33</v>
      </c>
      <c r="H20" s="8" t="n">
        <v>156451.61</v>
      </c>
    </row>
    <row r="21" customFormat="false" ht="15" hidden="false" customHeight="false" outlineLevel="0" collapsed="false">
      <c r="A21" s="7" t="s">
        <v>137</v>
      </c>
      <c r="B21" s="20" t="n">
        <v>45535</v>
      </c>
      <c r="C21" s="8" t="n">
        <v>177000</v>
      </c>
      <c r="D21" s="16" t="n">
        <v>250000</v>
      </c>
      <c r="E21" s="16" t="n">
        <v>73000</v>
      </c>
      <c r="F21" s="16" t="n">
        <v>0.095</v>
      </c>
      <c r="G21" s="8" t="n">
        <v>1567.63</v>
      </c>
      <c r="H21" s="8" t="n">
        <v>194290.32</v>
      </c>
    </row>
    <row r="22" customFormat="false" ht="15" hidden="false" customHeight="false" outlineLevel="0" collapsed="false">
      <c r="A22" s="7" t="s">
        <v>137</v>
      </c>
      <c r="B22" s="20" t="n">
        <v>45565</v>
      </c>
      <c r="C22" s="8" t="n">
        <v>157000</v>
      </c>
      <c r="D22" s="16" t="n">
        <v>250000</v>
      </c>
      <c r="E22" s="16" t="n">
        <v>93000</v>
      </c>
      <c r="F22" s="16" t="n">
        <v>0.09</v>
      </c>
      <c r="G22" s="8" t="n">
        <v>1309.32</v>
      </c>
      <c r="H22" s="8" t="n">
        <v>177000</v>
      </c>
    </row>
    <row r="23" customFormat="false" ht="15" hidden="false" customHeight="false" outlineLevel="0" collapsed="false">
      <c r="A23" s="7" t="s">
        <v>137</v>
      </c>
      <c r="B23" s="20" t="n">
        <v>45596</v>
      </c>
      <c r="C23" s="8" t="n">
        <v>115000</v>
      </c>
      <c r="D23" s="16" t="n">
        <v>250000</v>
      </c>
      <c r="E23" s="16" t="n">
        <v>135000</v>
      </c>
      <c r="F23" s="16" t="n">
        <v>0.09</v>
      </c>
      <c r="G23" s="8" t="n">
        <v>1200.08</v>
      </c>
      <c r="H23" s="8" t="n">
        <v>157000</v>
      </c>
    </row>
    <row r="24" customFormat="false" ht="15" hidden="false" customHeight="false" outlineLevel="0" collapsed="false">
      <c r="A24" s="7" t="s">
        <v>137</v>
      </c>
      <c r="B24" s="20" t="n">
        <v>45626</v>
      </c>
      <c r="C24" s="8" t="n">
        <v>115000</v>
      </c>
      <c r="D24" s="16" t="n">
        <v>250000</v>
      </c>
      <c r="E24" s="16" t="n">
        <v>135000</v>
      </c>
      <c r="F24" s="16" t="n">
        <v>0.0875</v>
      </c>
      <c r="G24" s="8" t="n">
        <v>827.05</v>
      </c>
      <c r="H24" s="8" t="n">
        <v>115000</v>
      </c>
    </row>
    <row r="25" customFormat="false" ht="15" hidden="false" customHeight="false" outlineLevel="0" collapsed="false">
      <c r="A25" s="7" t="s">
        <v>137</v>
      </c>
      <c r="B25" s="20" t="n">
        <v>45657</v>
      </c>
      <c r="C25" s="8" t="n">
        <v>124000</v>
      </c>
      <c r="D25" s="16" t="n">
        <v>250000</v>
      </c>
      <c r="E25" s="16" t="n">
        <v>126000</v>
      </c>
      <c r="F25" s="16" t="n">
        <v>0.085</v>
      </c>
      <c r="G25" s="8" t="n">
        <v>1097.32</v>
      </c>
      <c r="H25" s="8" t="n">
        <v>152000</v>
      </c>
    </row>
    <row r="26" customFormat="false" ht="15" hidden="false" customHeight="false" outlineLevel="0" collapsed="false">
      <c r="A26" s="7" t="s">
        <v>137</v>
      </c>
      <c r="B26" s="20" t="n">
        <v>45688</v>
      </c>
      <c r="C26" s="8" t="n">
        <v>113000</v>
      </c>
      <c r="D26" s="16" t="n">
        <v>250000</v>
      </c>
      <c r="E26" s="16" t="n">
        <v>137000</v>
      </c>
      <c r="F26" s="16" t="n">
        <v>0.085</v>
      </c>
      <c r="G26" s="8" t="n">
        <v>953.86</v>
      </c>
      <c r="H26" s="8" t="n">
        <v>132129.03</v>
      </c>
    </row>
    <row r="27" customFormat="false" ht="15" hidden="false" customHeight="false" outlineLevel="0" collapsed="false">
      <c r="A27" s="7" t="s">
        <v>137</v>
      </c>
      <c r="B27" s="20" t="n">
        <v>45716</v>
      </c>
      <c r="C27" s="8" t="n">
        <v>113000</v>
      </c>
      <c r="D27" s="16" t="n">
        <v>250000</v>
      </c>
      <c r="E27" s="16" t="n">
        <v>137000</v>
      </c>
      <c r="F27" s="16" t="n">
        <v>0.085</v>
      </c>
      <c r="G27" s="8" t="n">
        <v>736.82</v>
      </c>
      <c r="H27" s="8" t="n">
        <v>113000</v>
      </c>
    </row>
    <row r="28" customFormat="false" ht="15" hidden="false" customHeight="false" outlineLevel="0" collapsed="false">
      <c r="A28" s="7" t="s">
        <v>137</v>
      </c>
      <c r="B28" s="20" t="n">
        <v>45747</v>
      </c>
      <c r="C28" s="8" t="n">
        <v>155000</v>
      </c>
      <c r="D28" s="16" t="n">
        <v>250000</v>
      </c>
      <c r="E28" s="16" t="n">
        <v>95000</v>
      </c>
      <c r="F28" s="16" t="n">
        <v>0.085</v>
      </c>
      <c r="G28" s="8" t="n">
        <v>1060.29</v>
      </c>
      <c r="H28" s="8" t="n">
        <v>146870.97</v>
      </c>
    </row>
    <row r="29" customFormat="false" ht="15" hidden="false" customHeight="false" outlineLevel="0" collapsed="false">
      <c r="A29" s="7" t="s">
        <v>137</v>
      </c>
      <c r="B29" s="20" t="n">
        <v>45777</v>
      </c>
      <c r="C29" s="8" t="n">
        <v>172000</v>
      </c>
      <c r="D29" s="16" t="n">
        <v>250000</v>
      </c>
      <c r="E29" s="16" t="n">
        <v>78000</v>
      </c>
      <c r="F29" s="16" t="n">
        <v>0.085</v>
      </c>
      <c r="G29" s="8" t="n">
        <v>1201.64</v>
      </c>
      <c r="H29" s="8" t="n">
        <v>172000</v>
      </c>
    </row>
    <row r="30" customFormat="false" ht="15" hidden="false" customHeight="false" outlineLevel="0" collapsed="false">
      <c r="A30" s="7" t="s">
        <v>137</v>
      </c>
      <c r="B30" s="20" t="n">
        <v>45808</v>
      </c>
      <c r="C30" s="8" t="n">
        <v>185000</v>
      </c>
      <c r="D30" s="16" t="n">
        <v>250000</v>
      </c>
      <c r="E30" s="16" t="n">
        <v>65000</v>
      </c>
      <c r="F30" s="16" t="n">
        <v>0.085</v>
      </c>
      <c r="G30" s="8" t="n">
        <v>1290.14</v>
      </c>
      <c r="H30" s="8" t="n">
        <v>178709.68</v>
      </c>
    </row>
    <row r="31" customFormat="false" ht="15" hidden="false" customHeight="false" outlineLevel="0" collapsed="false">
      <c r="A31" s="7" t="s">
        <v>137</v>
      </c>
      <c r="B31" s="20" t="n">
        <v>45838</v>
      </c>
      <c r="C31" s="8" t="n">
        <v>218000</v>
      </c>
      <c r="D31" s="16" t="n">
        <v>250000</v>
      </c>
      <c r="E31" s="16" t="n">
        <v>32000</v>
      </c>
      <c r="F31" s="16" t="n">
        <v>0.085</v>
      </c>
      <c r="G31" s="8" t="n">
        <v>1441.04</v>
      </c>
      <c r="H31" s="8" t="n">
        <v>206266.67</v>
      </c>
    </row>
    <row r="32" customFormat="false" ht="15" hidden="false" customHeight="false" outlineLevel="0" collapsed="false">
      <c r="A32" s="7" t="s">
        <v>137</v>
      </c>
      <c r="B32" s="20" t="n">
        <v>45869</v>
      </c>
      <c r="C32" s="8" t="n">
        <v>246000</v>
      </c>
      <c r="D32" s="16" t="n">
        <v>250000</v>
      </c>
      <c r="E32" s="16" t="n">
        <v>4000</v>
      </c>
      <c r="F32" s="16" t="n">
        <v>0.085</v>
      </c>
      <c r="G32" s="8" t="n">
        <v>1738.66</v>
      </c>
      <c r="H32" s="8" t="n">
        <v>240838.71</v>
      </c>
    </row>
    <row r="33" customFormat="false" ht="15" hidden="false" customHeight="false" outlineLevel="0" collapsed="false">
      <c r="A33" s="7" t="s">
        <v>137</v>
      </c>
      <c r="B33" s="20" t="n">
        <v>45900</v>
      </c>
      <c r="C33" s="8" t="n">
        <v>221000</v>
      </c>
      <c r="D33" s="16" t="n">
        <v>250000</v>
      </c>
      <c r="E33" s="16" t="n">
        <v>29000</v>
      </c>
      <c r="F33" s="16" t="n">
        <v>0.085</v>
      </c>
      <c r="G33" s="8" t="n">
        <v>1801.07</v>
      </c>
      <c r="H33" s="8" t="n">
        <v>249483.87</v>
      </c>
    </row>
    <row r="34" customFormat="false" ht="15" hidden="false" customHeight="false" outlineLevel="0" collapsed="false">
      <c r="A34" s="7" t="s">
        <v>137</v>
      </c>
      <c r="B34" s="20" t="n">
        <v>45930</v>
      </c>
      <c r="C34" s="8" t="n">
        <v>221000</v>
      </c>
      <c r="D34" s="16" t="n">
        <v>250000</v>
      </c>
      <c r="E34" s="16" t="n">
        <v>29000</v>
      </c>
      <c r="F34" s="16" t="n">
        <v>0.0825</v>
      </c>
      <c r="G34" s="8" t="n">
        <v>1498.56</v>
      </c>
      <c r="H34" s="8" t="n">
        <v>221000</v>
      </c>
    </row>
    <row r="35" customFormat="false" ht="15" hidden="false" customHeight="false" outlineLevel="0" collapsed="false">
      <c r="A35" s="7" t="s">
        <v>137</v>
      </c>
      <c r="B35" s="20" t="n">
        <v>45961</v>
      </c>
      <c r="C35" s="8" t="n">
        <v>203000</v>
      </c>
      <c r="D35" s="16" t="n">
        <v>250000</v>
      </c>
      <c r="E35" s="16" t="n">
        <v>47000</v>
      </c>
      <c r="F35" s="16" t="n">
        <v>0.08</v>
      </c>
      <c r="G35" s="8" t="n">
        <v>1501.59</v>
      </c>
      <c r="H35" s="8" t="n">
        <v>221000</v>
      </c>
    </row>
    <row r="36" customFormat="false" ht="15" hidden="false" customHeight="false" outlineLevel="0" collapsed="false">
      <c r="A36" s="7" t="s">
        <v>137</v>
      </c>
      <c r="B36" s="20" t="n">
        <v>45991</v>
      </c>
      <c r="C36" s="8" t="n">
        <v>203000</v>
      </c>
      <c r="D36" s="16" t="n">
        <v>250000</v>
      </c>
      <c r="E36" s="16" t="n">
        <v>47000</v>
      </c>
      <c r="F36" s="16" t="n">
        <v>0.08</v>
      </c>
      <c r="G36" s="8" t="n">
        <v>1334.79</v>
      </c>
      <c r="H36" s="8" t="n">
        <v>203000</v>
      </c>
    </row>
    <row r="37" customFormat="false" ht="15" hidden="false" customHeight="false" outlineLevel="0" collapsed="false">
      <c r="A37" s="7" t="s">
        <v>137</v>
      </c>
      <c r="B37" s="20" t="n">
        <v>46022</v>
      </c>
      <c r="C37" s="8" t="n">
        <v>175000</v>
      </c>
      <c r="D37" s="16" t="n">
        <v>250000</v>
      </c>
      <c r="E37" s="16" t="n">
        <v>75000</v>
      </c>
      <c r="F37" s="16" t="n">
        <v>0.0775</v>
      </c>
      <c r="G37" s="8" t="n">
        <v>1428.34</v>
      </c>
      <c r="H37" s="8" t="n">
        <v>217000</v>
      </c>
    </row>
    <row r="38" customFormat="false" ht="15" hidden="false" customHeight="false" outlineLevel="0" collapsed="false">
      <c r="A38" s="7" t="s">
        <v>137</v>
      </c>
      <c r="B38" s="20" t="n">
        <v>46053</v>
      </c>
      <c r="C38" s="8" t="n">
        <v>197000</v>
      </c>
      <c r="D38" s="16" t="n">
        <v>250000</v>
      </c>
      <c r="E38" s="16" t="n">
        <v>53000</v>
      </c>
      <c r="F38" s="16" t="n">
        <v>0.0775</v>
      </c>
      <c r="G38" s="8" t="n">
        <v>1297.12</v>
      </c>
      <c r="H38" s="8" t="n">
        <v>197064.52</v>
      </c>
    </row>
    <row r="39" customFormat="false" ht="15" hidden="false" customHeight="false" outlineLevel="0" collapsed="false">
      <c r="A39" s="7" t="s">
        <v>137</v>
      </c>
      <c r="B39" s="20" t="n">
        <v>46081</v>
      </c>
      <c r="C39" s="8" t="n">
        <v>146000</v>
      </c>
      <c r="D39" s="16" t="n">
        <v>250000</v>
      </c>
      <c r="E39" s="16" t="n">
        <v>104000</v>
      </c>
      <c r="F39" s="16" t="n">
        <v>0.0775</v>
      </c>
      <c r="G39" s="8" t="n">
        <v>1171.21</v>
      </c>
      <c r="H39" s="8" t="n">
        <v>197000</v>
      </c>
    </row>
    <row r="40" customFormat="false" ht="15" hidden="false" customHeight="false" outlineLevel="0" collapsed="false">
      <c r="A40" s="7" t="s">
        <v>137</v>
      </c>
      <c r="B40" s="20" t="n">
        <v>46112</v>
      </c>
      <c r="C40" s="8" t="n">
        <v>177000</v>
      </c>
      <c r="D40" s="16" t="n">
        <v>250000</v>
      </c>
      <c r="E40" s="16" t="n">
        <v>73000</v>
      </c>
      <c r="F40" s="16" t="n">
        <v>0.0775</v>
      </c>
      <c r="G40" s="8" t="n">
        <v>1125.55</v>
      </c>
      <c r="H40" s="8" t="n">
        <v>171000</v>
      </c>
    </row>
    <row r="41" customFormat="false" ht="15" hidden="false" customHeight="false" outlineLevel="0" collapsed="false">
      <c r="A41" s="7" t="s">
        <v>137</v>
      </c>
      <c r="B41" s="20" t="n">
        <v>46142</v>
      </c>
      <c r="C41" s="8" t="n">
        <v>177000</v>
      </c>
      <c r="D41" s="16" t="n">
        <v>250000</v>
      </c>
      <c r="E41" s="16" t="n">
        <v>73000</v>
      </c>
      <c r="F41" s="16" t="n">
        <v>0.0775</v>
      </c>
      <c r="G41" s="8" t="n">
        <v>1127.47</v>
      </c>
      <c r="H41" s="8" t="n">
        <v>177000</v>
      </c>
    </row>
    <row r="42" customFormat="false" ht="15" hidden="false" customHeight="false" outlineLevel="0" collapsed="false">
      <c r="A42" s="7" t="s">
        <v>137</v>
      </c>
      <c r="B42" s="20" t="n">
        <v>46173</v>
      </c>
      <c r="C42" s="8" t="n">
        <v>192000</v>
      </c>
      <c r="D42" s="16" t="n">
        <v>250000</v>
      </c>
      <c r="E42" s="16" t="n">
        <v>58000</v>
      </c>
      <c r="F42" s="16" t="n">
        <v>0.0775</v>
      </c>
      <c r="G42" s="8" t="n">
        <v>1174.6</v>
      </c>
      <c r="H42" s="8" t="n">
        <v>178451.61</v>
      </c>
    </row>
    <row r="43" customFormat="false" ht="15" hidden="false" customHeight="false" outlineLevel="0" collapsed="false">
      <c r="A43" s="7" t="s">
        <v>137</v>
      </c>
      <c r="B43" s="20" t="n">
        <v>46203</v>
      </c>
      <c r="C43" s="8" t="n">
        <v>228000</v>
      </c>
      <c r="D43" s="16" t="n">
        <v>250000</v>
      </c>
      <c r="E43" s="16" t="n">
        <v>22000</v>
      </c>
      <c r="F43" s="16" t="n">
        <v>0.0775</v>
      </c>
      <c r="G43" s="8" t="n">
        <v>1324.93</v>
      </c>
      <c r="H43" s="8" t="n">
        <v>208000</v>
      </c>
    </row>
    <row r="44" customFormat="false" ht="15" hidden="false" customHeight="false" outlineLevel="0" collapsed="false">
      <c r="A44" s="7" t="s">
        <v>137</v>
      </c>
      <c r="B44" s="20" t="n">
        <v>46234</v>
      </c>
      <c r="C44" s="8" t="n">
        <v>245000</v>
      </c>
      <c r="D44" s="16" t="n">
        <v>250000</v>
      </c>
      <c r="E44" s="16" t="n">
        <v>5000</v>
      </c>
      <c r="F44" s="16" t="n">
        <v>0.0775</v>
      </c>
      <c r="G44" s="8" t="n">
        <v>1612.64</v>
      </c>
      <c r="H44" s="8" t="n">
        <v>245000</v>
      </c>
    </row>
    <row r="45" customFormat="false" ht="15" hidden="false" customHeight="false" outlineLevel="0" collapsed="false">
      <c r="A45" s="7" t="s">
        <v>137</v>
      </c>
      <c r="B45" s="20" t="n">
        <v>46265</v>
      </c>
      <c r="C45" s="8" t="n">
        <v>250000</v>
      </c>
      <c r="D45" s="16" t="n">
        <v>250000</v>
      </c>
      <c r="E45" s="16" t="n">
        <v>0</v>
      </c>
      <c r="F45" s="16" t="n">
        <v>0.0775</v>
      </c>
      <c r="G45" s="8" t="n">
        <v>1645.55</v>
      </c>
      <c r="H45" s="8" t="n">
        <v>250000</v>
      </c>
    </row>
    <row r="46" customFormat="false" ht="15" hidden="false" customHeight="false" outlineLevel="0" collapsed="false">
      <c r="A46" s="7" t="s">
        <v>137</v>
      </c>
      <c r="B46" s="20" t="n">
        <v>46295</v>
      </c>
      <c r="C46" s="8" t="n">
        <v>221000</v>
      </c>
      <c r="D46" s="16" t="n">
        <v>250000</v>
      </c>
      <c r="E46" s="16" t="n">
        <v>29000</v>
      </c>
      <c r="F46" s="16" t="n">
        <v>0.0775</v>
      </c>
      <c r="G46" s="8" t="n">
        <v>1592.47</v>
      </c>
      <c r="H46" s="8" t="n">
        <v>250000</v>
      </c>
    </row>
  </sheetData>
  <autoFilter ref="A1:H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3"/>
    <col collapsed="false" customWidth="true" hidden="false" outlineLevel="0" max="5" min="5" style="0" width="4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7"/>
  </cols>
  <sheetData>
    <row r="1" customFormat="false" ht="15" hidden="false" customHeight="false" outlineLevel="0" collapsed="false">
      <c r="A1" s="11" t="s">
        <v>131</v>
      </c>
      <c r="B1" s="11" t="s">
        <v>3027</v>
      </c>
      <c r="C1" s="11" t="s">
        <v>130</v>
      </c>
      <c r="D1" s="11" t="s">
        <v>3028</v>
      </c>
      <c r="E1" s="11" t="s">
        <v>3029</v>
      </c>
      <c r="F1" s="11" t="s">
        <v>3030</v>
      </c>
      <c r="G1" s="11" t="s">
        <v>3031</v>
      </c>
      <c r="H1" s="11" t="s">
        <v>3032</v>
      </c>
      <c r="I1" s="11" t="s">
        <v>411</v>
      </c>
    </row>
    <row r="2" customFormat="false" ht="15" hidden="false" customHeight="false" outlineLevel="0" collapsed="false">
      <c r="A2" s="7" t="s">
        <v>137</v>
      </c>
      <c r="B2" s="20" t="n">
        <v>45047</v>
      </c>
      <c r="C2" s="7" t="s">
        <v>149</v>
      </c>
      <c r="D2" s="7" t="s">
        <v>3033</v>
      </c>
      <c r="E2" s="7" t="s">
        <v>3034</v>
      </c>
      <c r="F2" s="16" t="n">
        <v>56.5</v>
      </c>
      <c r="G2" s="22" t="n">
        <v>19</v>
      </c>
      <c r="H2" s="8" t="n">
        <v>1074.12</v>
      </c>
      <c r="I2" s="7" t="s">
        <v>3035</v>
      </c>
    </row>
    <row r="3" customFormat="false" ht="15" hidden="false" customHeight="false" outlineLevel="0" collapsed="false">
      <c r="A3" s="7" t="s">
        <v>137</v>
      </c>
      <c r="B3" s="20" t="n">
        <v>45047</v>
      </c>
      <c r="C3" s="7" t="s">
        <v>149</v>
      </c>
      <c r="D3" s="7" t="s">
        <v>3033</v>
      </c>
      <c r="E3" s="7" t="s">
        <v>3034</v>
      </c>
      <c r="F3" s="16" t="n">
        <v>59.1</v>
      </c>
      <c r="G3" s="22" t="n">
        <v>19</v>
      </c>
      <c r="H3" s="8" t="n">
        <v>1123.81</v>
      </c>
      <c r="I3" s="7" t="s">
        <v>3035</v>
      </c>
    </row>
    <row r="4" customFormat="false" ht="15" hidden="false" customHeight="false" outlineLevel="0" collapsed="false">
      <c r="A4" s="7" t="s">
        <v>137</v>
      </c>
      <c r="B4" s="20" t="n">
        <v>45078</v>
      </c>
      <c r="C4" s="7" t="s">
        <v>149</v>
      </c>
      <c r="D4" s="7" t="s">
        <v>3033</v>
      </c>
      <c r="E4" s="7" t="s">
        <v>3034</v>
      </c>
      <c r="F4" s="16" t="n">
        <v>62.4</v>
      </c>
      <c r="G4" s="22" t="n">
        <v>19</v>
      </c>
      <c r="H4" s="8" t="n">
        <v>1186.09</v>
      </c>
      <c r="I4" s="7" t="s">
        <v>3035</v>
      </c>
    </row>
    <row r="5" customFormat="false" ht="15" hidden="false" customHeight="false" outlineLevel="0" collapsed="false">
      <c r="A5" s="7" t="s">
        <v>137</v>
      </c>
      <c r="B5" s="20" t="n">
        <v>45078</v>
      </c>
      <c r="C5" s="7" t="s">
        <v>149</v>
      </c>
      <c r="D5" s="7" t="s">
        <v>3033</v>
      </c>
      <c r="E5" s="7" t="s">
        <v>3034</v>
      </c>
      <c r="F5" s="16" t="n">
        <v>111.1</v>
      </c>
      <c r="G5" s="22" t="n">
        <v>19</v>
      </c>
      <c r="H5" s="8" t="n">
        <v>2111.1</v>
      </c>
      <c r="I5" s="7" t="s">
        <v>3035</v>
      </c>
    </row>
    <row r="6" customFormat="false" ht="15" hidden="false" customHeight="false" outlineLevel="0" collapsed="false">
      <c r="A6" s="7" t="s">
        <v>137</v>
      </c>
      <c r="B6" s="20" t="n">
        <v>45108</v>
      </c>
      <c r="C6" s="7" t="s">
        <v>149</v>
      </c>
      <c r="D6" s="7" t="s">
        <v>3033</v>
      </c>
      <c r="E6" s="7" t="s">
        <v>3034</v>
      </c>
      <c r="F6" s="16" t="n">
        <v>111.2</v>
      </c>
      <c r="G6" s="22" t="n">
        <v>19</v>
      </c>
      <c r="H6" s="8" t="n">
        <v>2112.08</v>
      </c>
      <c r="I6" s="7" t="s">
        <v>3035</v>
      </c>
    </row>
    <row r="7" customFormat="false" ht="15" hidden="false" customHeight="false" outlineLevel="0" collapsed="false">
      <c r="A7" s="7" t="s">
        <v>137</v>
      </c>
      <c r="B7" s="20" t="n">
        <v>45108</v>
      </c>
      <c r="C7" s="7" t="s">
        <v>149</v>
      </c>
      <c r="D7" s="7" t="s">
        <v>3033</v>
      </c>
      <c r="E7" s="7" t="s">
        <v>3034</v>
      </c>
      <c r="F7" s="16" t="n">
        <v>52.3</v>
      </c>
      <c r="G7" s="22" t="n">
        <v>19</v>
      </c>
      <c r="H7" s="8" t="n">
        <v>993.56</v>
      </c>
      <c r="I7" s="7" t="s">
        <v>3035</v>
      </c>
    </row>
    <row r="8" customFormat="false" ht="15" hidden="false" customHeight="false" outlineLevel="0" collapsed="false">
      <c r="A8" s="7" t="s">
        <v>137</v>
      </c>
      <c r="B8" s="20" t="n">
        <v>45139</v>
      </c>
      <c r="C8" s="7" t="s">
        <v>149</v>
      </c>
      <c r="D8" s="7" t="s">
        <v>3033</v>
      </c>
      <c r="E8" s="7" t="s">
        <v>3034</v>
      </c>
      <c r="F8" s="16" t="n">
        <v>61.6</v>
      </c>
      <c r="G8" s="22" t="n">
        <v>19</v>
      </c>
      <c r="H8" s="8" t="n">
        <v>1169.52</v>
      </c>
      <c r="I8" s="7" t="s">
        <v>3035</v>
      </c>
    </row>
    <row r="9" customFormat="false" ht="15" hidden="false" customHeight="false" outlineLevel="0" collapsed="false">
      <c r="A9" s="7" t="s">
        <v>137</v>
      </c>
      <c r="B9" s="20" t="n">
        <v>45139</v>
      </c>
      <c r="C9" s="7" t="s">
        <v>149</v>
      </c>
      <c r="D9" s="7" t="s">
        <v>3033</v>
      </c>
      <c r="E9" s="7" t="s">
        <v>3034</v>
      </c>
      <c r="F9" s="16" t="n">
        <v>62.4</v>
      </c>
      <c r="G9" s="22" t="n">
        <v>19</v>
      </c>
      <c r="H9" s="8" t="n">
        <v>1186.2</v>
      </c>
      <c r="I9" s="7" t="s">
        <v>3035</v>
      </c>
    </row>
    <row r="10" customFormat="false" ht="15" hidden="false" customHeight="false" outlineLevel="0" collapsed="false">
      <c r="A10" s="7" t="s">
        <v>137</v>
      </c>
      <c r="B10" s="20" t="n">
        <v>45170</v>
      </c>
      <c r="C10" s="7" t="s">
        <v>149</v>
      </c>
      <c r="D10" s="7" t="s">
        <v>3033</v>
      </c>
      <c r="E10" s="7" t="s">
        <v>3034</v>
      </c>
      <c r="F10" s="16" t="n">
        <v>62.9</v>
      </c>
      <c r="G10" s="22" t="n">
        <v>19</v>
      </c>
      <c r="H10" s="8" t="n">
        <v>1195.99</v>
      </c>
      <c r="I10" s="7" t="s">
        <v>3035</v>
      </c>
    </row>
    <row r="11" customFormat="false" ht="15" hidden="false" customHeight="false" outlineLevel="0" collapsed="false">
      <c r="A11" s="7" t="s">
        <v>137</v>
      </c>
      <c r="B11" s="20" t="n">
        <v>45170</v>
      </c>
      <c r="C11" s="7" t="s">
        <v>149</v>
      </c>
      <c r="D11" s="7" t="s">
        <v>3033</v>
      </c>
      <c r="E11" s="7" t="s">
        <v>3034</v>
      </c>
      <c r="F11" s="16" t="n">
        <v>119.1</v>
      </c>
      <c r="G11" s="22" t="n">
        <v>19</v>
      </c>
      <c r="H11" s="8" t="n">
        <v>2262.98</v>
      </c>
      <c r="I11" s="7" t="s">
        <v>3035</v>
      </c>
    </row>
    <row r="12" customFormat="false" ht="15" hidden="false" customHeight="false" outlineLevel="0" collapsed="false">
      <c r="A12" s="7" t="s">
        <v>137</v>
      </c>
      <c r="B12" s="20" t="n">
        <v>45170</v>
      </c>
      <c r="C12" s="7" t="s">
        <v>149</v>
      </c>
      <c r="D12" s="7" t="s">
        <v>3033</v>
      </c>
      <c r="E12" s="7" t="s">
        <v>3034</v>
      </c>
      <c r="F12" s="16" t="n">
        <v>110.4</v>
      </c>
      <c r="G12" s="22" t="n">
        <v>19</v>
      </c>
      <c r="H12" s="8" t="n">
        <v>2096.97</v>
      </c>
      <c r="I12" s="7" t="s">
        <v>3035</v>
      </c>
    </row>
    <row r="13" customFormat="false" ht="15" hidden="false" customHeight="false" outlineLevel="0" collapsed="false">
      <c r="A13" s="7" t="s">
        <v>137</v>
      </c>
      <c r="B13" s="20" t="n">
        <v>45200</v>
      </c>
      <c r="C13" s="7" t="s">
        <v>149</v>
      </c>
      <c r="D13" s="7" t="s">
        <v>3033</v>
      </c>
      <c r="E13" s="7" t="s">
        <v>3034</v>
      </c>
      <c r="F13" s="16" t="n">
        <v>108.9</v>
      </c>
      <c r="G13" s="22" t="n">
        <v>19</v>
      </c>
      <c r="H13" s="8" t="n">
        <v>2068.17</v>
      </c>
      <c r="I13" s="7" t="s">
        <v>3035</v>
      </c>
    </row>
    <row r="14" customFormat="false" ht="15" hidden="false" customHeight="false" outlineLevel="0" collapsed="false">
      <c r="A14" s="7" t="s">
        <v>137</v>
      </c>
      <c r="B14" s="20" t="n">
        <v>45200</v>
      </c>
      <c r="C14" s="7" t="s">
        <v>149</v>
      </c>
      <c r="D14" s="7" t="s">
        <v>3033</v>
      </c>
      <c r="E14" s="7" t="s">
        <v>3034</v>
      </c>
      <c r="F14" s="16" t="n">
        <v>110.2</v>
      </c>
      <c r="G14" s="22" t="n">
        <v>19</v>
      </c>
      <c r="H14" s="8" t="n">
        <v>2093.81</v>
      </c>
      <c r="I14" s="7" t="s">
        <v>3035</v>
      </c>
    </row>
    <row r="15" customFormat="false" ht="15" hidden="false" customHeight="false" outlineLevel="0" collapsed="false">
      <c r="A15" s="7" t="s">
        <v>137</v>
      </c>
      <c r="B15" s="20" t="n">
        <v>45231</v>
      </c>
      <c r="C15" s="7" t="s">
        <v>149</v>
      </c>
      <c r="D15" s="7" t="s">
        <v>3033</v>
      </c>
      <c r="E15" s="7" t="s">
        <v>3034</v>
      </c>
      <c r="F15" s="16" t="n">
        <v>107.2</v>
      </c>
      <c r="G15" s="22" t="n">
        <v>19</v>
      </c>
      <c r="H15" s="8" t="n">
        <v>2036.35</v>
      </c>
      <c r="I15" s="7" t="s">
        <v>3035</v>
      </c>
    </row>
    <row r="16" customFormat="false" ht="15" hidden="false" customHeight="false" outlineLevel="0" collapsed="false">
      <c r="A16" s="7" t="s">
        <v>137</v>
      </c>
      <c r="B16" s="20" t="n">
        <v>45413</v>
      </c>
      <c r="C16" s="7" t="s">
        <v>149</v>
      </c>
      <c r="D16" s="7" t="s">
        <v>3033</v>
      </c>
      <c r="E16" s="7" t="s">
        <v>3034</v>
      </c>
      <c r="F16" s="16" t="n">
        <v>61.9</v>
      </c>
      <c r="G16" s="22" t="n">
        <v>20</v>
      </c>
      <c r="H16" s="8" t="n">
        <v>1238.34</v>
      </c>
      <c r="I16" s="7" t="s">
        <v>3035</v>
      </c>
    </row>
    <row r="17" customFormat="false" ht="15" hidden="false" customHeight="false" outlineLevel="0" collapsed="false">
      <c r="A17" s="7" t="s">
        <v>137</v>
      </c>
      <c r="B17" s="20" t="n">
        <v>45413</v>
      </c>
      <c r="C17" s="7" t="s">
        <v>149</v>
      </c>
      <c r="D17" s="7" t="s">
        <v>3033</v>
      </c>
      <c r="E17" s="7" t="s">
        <v>3034</v>
      </c>
      <c r="F17" s="16" t="n">
        <v>60.4</v>
      </c>
      <c r="G17" s="22" t="n">
        <v>20</v>
      </c>
      <c r="H17" s="8" t="n">
        <v>1207.9</v>
      </c>
      <c r="I17" s="7" t="s">
        <v>3035</v>
      </c>
    </row>
    <row r="18" customFormat="false" ht="15" hidden="false" customHeight="false" outlineLevel="0" collapsed="false">
      <c r="A18" s="7" t="s">
        <v>137</v>
      </c>
      <c r="B18" s="20" t="n">
        <v>45444</v>
      </c>
      <c r="C18" s="7" t="s">
        <v>149</v>
      </c>
      <c r="D18" s="7" t="s">
        <v>3033</v>
      </c>
      <c r="E18" s="7" t="s">
        <v>3034</v>
      </c>
      <c r="F18" s="16" t="n">
        <v>124</v>
      </c>
      <c r="G18" s="22" t="n">
        <v>20</v>
      </c>
      <c r="H18" s="8" t="n">
        <v>2479.84</v>
      </c>
      <c r="I18" s="7" t="s">
        <v>3035</v>
      </c>
    </row>
    <row r="19" customFormat="false" ht="15" hidden="false" customHeight="false" outlineLevel="0" collapsed="false">
      <c r="A19" s="7" t="s">
        <v>137</v>
      </c>
      <c r="B19" s="20" t="n">
        <v>45444</v>
      </c>
      <c r="C19" s="7" t="s">
        <v>149</v>
      </c>
      <c r="D19" s="7" t="s">
        <v>3033</v>
      </c>
      <c r="E19" s="7" t="s">
        <v>3034</v>
      </c>
      <c r="F19" s="16" t="n">
        <v>126.3</v>
      </c>
      <c r="G19" s="22" t="n">
        <v>20</v>
      </c>
      <c r="H19" s="8" t="n">
        <v>2525.56</v>
      </c>
      <c r="I19" s="7" t="s">
        <v>3035</v>
      </c>
    </row>
    <row r="20" customFormat="false" ht="15" hidden="false" customHeight="false" outlineLevel="0" collapsed="false">
      <c r="A20" s="7" t="s">
        <v>137</v>
      </c>
      <c r="B20" s="20" t="n">
        <v>45474</v>
      </c>
      <c r="C20" s="7" t="s">
        <v>149</v>
      </c>
      <c r="D20" s="7" t="s">
        <v>3033</v>
      </c>
      <c r="E20" s="7" t="s">
        <v>3034</v>
      </c>
      <c r="F20" s="16" t="n">
        <v>109.8</v>
      </c>
      <c r="G20" s="22" t="n">
        <v>20</v>
      </c>
      <c r="H20" s="8" t="n">
        <v>2196.63</v>
      </c>
      <c r="I20" s="7" t="s">
        <v>3035</v>
      </c>
    </row>
    <row r="21" customFormat="false" ht="15" hidden="false" customHeight="false" outlineLevel="0" collapsed="false">
      <c r="A21" s="7" t="s">
        <v>137</v>
      </c>
      <c r="B21" s="20" t="n">
        <v>45474</v>
      </c>
      <c r="C21" s="7" t="s">
        <v>149</v>
      </c>
      <c r="D21" s="7" t="s">
        <v>3033</v>
      </c>
      <c r="E21" s="7" t="s">
        <v>3034</v>
      </c>
      <c r="F21" s="16" t="n">
        <v>59.7</v>
      </c>
      <c r="G21" s="22" t="n">
        <v>20</v>
      </c>
      <c r="H21" s="8" t="n">
        <v>1193.33</v>
      </c>
      <c r="I21" s="7" t="s">
        <v>3035</v>
      </c>
    </row>
    <row r="22" customFormat="false" ht="15" hidden="false" customHeight="false" outlineLevel="0" collapsed="false">
      <c r="A22" s="7" t="s">
        <v>137</v>
      </c>
      <c r="B22" s="20" t="n">
        <v>45505</v>
      </c>
      <c r="C22" s="7" t="s">
        <v>149</v>
      </c>
      <c r="D22" s="7" t="s">
        <v>3033</v>
      </c>
      <c r="E22" s="7" t="s">
        <v>3034</v>
      </c>
      <c r="F22" s="16" t="n">
        <v>59.9</v>
      </c>
      <c r="G22" s="22" t="n">
        <v>20</v>
      </c>
      <c r="H22" s="8" t="n">
        <v>1197.23</v>
      </c>
      <c r="I22" s="7" t="s">
        <v>3035</v>
      </c>
    </row>
    <row r="23" customFormat="false" ht="15" hidden="false" customHeight="false" outlineLevel="0" collapsed="false">
      <c r="A23" s="7" t="s">
        <v>137</v>
      </c>
      <c r="B23" s="20" t="n">
        <v>45505</v>
      </c>
      <c r="C23" s="7" t="s">
        <v>149</v>
      </c>
      <c r="D23" s="7" t="s">
        <v>3033</v>
      </c>
      <c r="E23" s="7" t="s">
        <v>3034</v>
      </c>
      <c r="F23" s="16" t="n">
        <v>61</v>
      </c>
      <c r="G23" s="22" t="n">
        <v>20</v>
      </c>
      <c r="H23" s="8" t="n">
        <v>1220.61</v>
      </c>
      <c r="I23" s="7" t="s">
        <v>3035</v>
      </c>
    </row>
    <row r="24" customFormat="false" ht="15" hidden="false" customHeight="false" outlineLevel="0" collapsed="false">
      <c r="A24" s="7" t="s">
        <v>137</v>
      </c>
      <c r="B24" s="20" t="n">
        <v>45536</v>
      </c>
      <c r="C24" s="7" t="s">
        <v>149</v>
      </c>
      <c r="D24" s="7" t="s">
        <v>3033</v>
      </c>
      <c r="E24" s="7" t="s">
        <v>3034</v>
      </c>
      <c r="F24" s="16" t="n">
        <v>58.7</v>
      </c>
      <c r="G24" s="22" t="n">
        <v>20</v>
      </c>
      <c r="H24" s="8" t="n">
        <v>1173.98</v>
      </c>
      <c r="I24" s="7" t="s">
        <v>3035</v>
      </c>
    </row>
    <row r="25" customFormat="false" ht="15" hidden="false" customHeight="false" outlineLevel="0" collapsed="false">
      <c r="A25" s="7" t="s">
        <v>137</v>
      </c>
      <c r="B25" s="20" t="n">
        <v>45536</v>
      </c>
      <c r="C25" s="7" t="s">
        <v>149</v>
      </c>
      <c r="D25" s="7" t="s">
        <v>3033</v>
      </c>
      <c r="E25" s="7" t="s">
        <v>3034</v>
      </c>
      <c r="F25" s="16" t="n">
        <v>110</v>
      </c>
      <c r="G25" s="22" t="n">
        <v>20</v>
      </c>
      <c r="H25" s="8" t="n">
        <v>2199.46</v>
      </c>
      <c r="I25" s="7" t="s">
        <v>3035</v>
      </c>
    </row>
    <row r="26" customFormat="false" ht="15" hidden="false" customHeight="false" outlineLevel="0" collapsed="false">
      <c r="A26" s="7" t="s">
        <v>137</v>
      </c>
      <c r="B26" s="20" t="n">
        <v>45566</v>
      </c>
      <c r="C26" s="7" t="s">
        <v>149</v>
      </c>
      <c r="D26" s="7" t="s">
        <v>3033</v>
      </c>
      <c r="E26" s="7" t="s">
        <v>3034</v>
      </c>
      <c r="F26" s="16" t="n">
        <v>117.2</v>
      </c>
      <c r="G26" s="22" t="n">
        <v>20</v>
      </c>
      <c r="H26" s="8" t="n">
        <v>2343.75</v>
      </c>
      <c r="I26" s="7" t="s">
        <v>3035</v>
      </c>
    </row>
    <row r="27" customFormat="false" ht="15" hidden="false" customHeight="false" outlineLevel="0" collapsed="false">
      <c r="A27" s="7" t="s">
        <v>137</v>
      </c>
      <c r="B27" s="20" t="n">
        <v>45566</v>
      </c>
      <c r="C27" s="7" t="s">
        <v>149</v>
      </c>
      <c r="D27" s="7" t="s">
        <v>3033</v>
      </c>
      <c r="E27" s="7" t="s">
        <v>3034</v>
      </c>
      <c r="F27" s="16" t="n">
        <v>108.1</v>
      </c>
      <c r="G27" s="22" t="n">
        <v>20</v>
      </c>
      <c r="H27" s="8" t="n">
        <v>2161.52</v>
      </c>
      <c r="I27" s="7" t="s">
        <v>3035</v>
      </c>
    </row>
    <row r="28" customFormat="false" ht="15" hidden="false" customHeight="false" outlineLevel="0" collapsed="false">
      <c r="A28" s="7" t="s">
        <v>137</v>
      </c>
      <c r="B28" s="20" t="n">
        <v>45597</v>
      </c>
      <c r="C28" s="7" t="s">
        <v>149</v>
      </c>
      <c r="D28" s="7" t="s">
        <v>3033</v>
      </c>
      <c r="E28" s="7" t="s">
        <v>3034</v>
      </c>
      <c r="F28" s="16" t="n">
        <v>125.6</v>
      </c>
      <c r="G28" s="22" t="n">
        <v>20</v>
      </c>
      <c r="H28" s="8" t="n">
        <v>2512.27</v>
      </c>
      <c r="I28" s="7" t="s">
        <v>3035</v>
      </c>
    </row>
    <row r="29" customFormat="false" ht="15" hidden="false" customHeight="false" outlineLevel="0" collapsed="false">
      <c r="A29" s="7" t="s">
        <v>137</v>
      </c>
      <c r="B29" s="20" t="n">
        <v>45597</v>
      </c>
      <c r="C29" s="7" t="s">
        <v>149</v>
      </c>
      <c r="D29" s="7" t="s">
        <v>3033</v>
      </c>
      <c r="E29" s="7" t="s">
        <v>3034</v>
      </c>
      <c r="F29" s="16" t="n">
        <v>70.6</v>
      </c>
      <c r="G29" s="22" t="n">
        <v>20</v>
      </c>
      <c r="H29" s="8" t="n">
        <v>1411.5</v>
      </c>
      <c r="I29" s="7" t="s">
        <v>3035</v>
      </c>
    </row>
    <row r="30" customFormat="false" ht="15" hidden="false" customHeight="false" outlineLevel="0" collapsed="false">
      <c r="A30" s="7" t="s">
        <v>137</v>
      </c>
      <c r="B30" s="20" t="n">
        <v>45778</v>
      </c>
      <c r="C30" s="7" t="s">
        <v>149</v>
      </c>
      <c r="D30" s="7" t="s">
        <v>3033</v>
      </c>
      <c r="E30" s="7" t="s">
        <v>3034</v>
      </c>
      <c r="F30" s="16" t="n">
        <v>61.4</v>
      </c>
      <c r="G30" s="22" t="n">
        <v>21</v>
      </c>
      <c r="H30" s="8" t="n">
        <v>1290.22</v>
      </c>
      <c r="I30" s="7" t="s">
        <v>3035</v>
      </c>
    </row>
    <row r="31" customFormat="false" ht="15" hidden="false" customHeight="false" outlineLevel="0" collapsed="false">
      <c r="A31" s="7" t="s">
        <v>137</v>
      </c>
      <c r="B31" s="20" t="n">
        <v>45778</v>
      </c>
      <c r="C31" s="7" t="s">
        <v>149</v>
      </c>
      <c r="D31" s="7" t="s">
        <v>3033</v>
      </c>
      <c r="E31" s="7" t="s">
        <v>3034</v>
      </c>
      <c r="F31" s="16" t="n">
        <v>61.9</v>
      </c>
      <c r="G31" s="22" t="n">
        <v>21</v>
      </c>
      <c r="H31" s="8" t="n">
        <v>1300.83</v>
      </c>
      <c r="I31" s="7" t="s">
        <v>3035</v>
      </c>
    </row>
    <row r="32" customFormat="false" ht="15" hidden="false" customHeight="false" outlineLevel="0" collapsed="false">
      <c r="A32" s="7" t="s">
        <v>137</v>
      </c>
      <c r="B32" s="20" t="n">
        <v>45809</v>
      </c>
      <c r="C32" s="7" t="s">
        <v>149</v>
      </c>
      <c r="D32" s="7" t="s">
        <v>3033</v>
      </c>
      <c r="E32" s="7" t="s">
        <v>3034</v>
      </c>
      <c r="F32" s="16" t="n">
        <v>106.5</v>
      </c>
      <c r="G32" s="22" t="n">
        <v>21</v>
      </c>
      <c r="H32" s="8" t="n">
        <v>2235.51</v>
      </c>
      <c r="I32" s="7" t="s">
        <v>3035</v>
      </c>
    </row>
    <row r="33" customFormat="false" ht="15" hidden="false" customHeight="false" outlineLevel="0" collapsed="false">
      <c r="A33" s="7" t="s">
        <v>137</v>
      </c>
      <c r="B33" s="20" t="n">
        <v>45809</v>
      </c>
      <c r="C33" s="7" t="s">
        <v>149</v>
      </c>
      <c r="D33" s="7" t="s">
        <v>3033</v>
      </c>
      <c r="E33" s="7" t="s">
        <v>3034</v>
      </c>
      <c r="F33" s="16" t="n">
        <v>108.7</v>
      </c>
      <c r="G33" s="22" t="n">
        <v>21</v>
      </c>
      <c r="H33" s="8" t="n">
        <v>2282.43</v>
      </c>
      <c r="I33" s="7" t="s">
        <v>3035</v>
      </c>
    </row>
    <row r="34" customFormat="false" ht="15" hidden="false" customHeight="false" outlineLevel="0" collapsed="false">
      <c r="A34" s="7" t="s">
        <v>137</v>
      </c>
      <c r="B34" s="20" t="n">
        <v>45839</v>
      </c>
      <c r="C34" s="7" t="s">
        <v>149</v>
      </c>
      <c r="D34" s="7" t="s">
        <v>3033</v>
      </c>
      <c r="E34" s="7" t="s">
        <v>3034</v>
      </c>
      <c r="F34" s="16" t="n">
        <v>103.5</v>
      </c>
      <c r="G34" s="22" t="n">
        <v>21</v>
      </c>
      <c r="H34" s="8" t="n">
        <v>2173.65</v>
      </c>
      <c r="I34" s="7" t="s">
        <v>3035</v>
      </c>
    </row>
    <row r="35" customFormat="false" ht="15" hidden="false" customHeight="false" outlineLevel="0" collapsed="false">
      <c r="A35" s="7" t="s">
        <v>137</v>
      </c>
      <c r="B35" s="20" t="n">
        <v>45839</v>
      </c>
      <c r="C35" s="7" t="s">
        <v>149</v>
      </c>
      <c r="D35" s="7" t="s">
        <v>3033</v>
      </c>
      <c r="E35" s="7" t="s">
        <v>3034</v>
      </c>
      <c r="F35" s="16" t="n">
        <v>57.2</v>
      </c>
      <c r="G35" s="22" t="n">
        <v>21</v>
      </c>
      <c r="H35" s="8" t="n">
        <v>1201.18</v>
      </c>
      <c r="I35" s="7" t="s">
        <v>3035</v>
      </c>
    </row>
    <row r="36" customFormat="false" ht="15" hidden="false" customHeight="false" outlineLevel="0" collapsed="false">
      <c r="A36" s="7" t="s">
        <v>137</v>
      </c>
      <c r="B36" s="20" t="n">
        <v>45870</v>
      </c>
      <c r="C36" s="7" t="s">
        <v>149</v>
      </c>
      <c r="D36" s="7" t="s">
        <v>3033</v>
      </c>
      <c r="E36" s="7" t="s">
        <v>3034</v>
      </c>
      <c r="F36" s="16" t="n">
        <v>62.7</v>
      </c>
      <c r="G36" s="22" t="n">
        <v>21</v>
      </c>
      <c r="H36" s="8" t="n">
        <v>1317.42</v>
      </c>
      <c r="I36" s="7" t="s">
        <v>3035</v>
      </c>
    </row>
    <row r="37" customFormat="false" ht="15" hidden="false" customHeight="false" outlineLevel="0" collapsed="false">
      <c r="A37" s="7" t="s">
        <v>137</v>
      </c>
      <c r="B37" s="20" t="n">
        <v>45870</v>
      </c>
      <c r="C37" s="7" t="s">
        <v>149</v>
      </c>
      <c r="D37" s="7" t="s">
        <v>3033</v>
      </c>
      <c r="E37" s="7" t="s">
        <v>3034</v>
      </c>
      <c r="F37" s="16" t="n">
        <v>63.9</v>
      </c>
      <c r="G37" s="22" t="n">
        <v>21</v>
      </c>
      <c r="H37" s="8" t="n">
        <v>1342.33</v>
      </c>
      <c r="I37" s="7" t="s">
        <v>3035</v>
      </c>
    </row>
    <row r="38" customFormat="false" ht="15" hidden="false" customHeight="false" outlineLevel="0" collapsed="false">
      <c r="A38" s="7" t="s">
        <v>137</v>
      </c>
      <c r="B38" s="20" t="n">
        <v>45901</v>
      </c>
      <c r="C38" s="7" t="s">
        <v>149</v>
      </c>
      <c r="D38" s="7" t="s">
        <v>3033</v>
      </c>
      <c r="E38" s="7" t="s">
        <v>3034</v>
      </c>
      <c r="F38" s="16" t="n">
        <v>65.3</v>
      </c>
      <c r="G38" s="22" t="n">
        <v>21</v>
      </c>
      <c r="H38" s="8" t="n">
        <v>1370.63</v>
      </c>
      <c r="I38" s="7" t="s">
        <v>3035</v>
      </c>
    </row>
    <row r="39" customFormat="false" ht="15" hidden="false" customHeight="false" outlineLevel="0" collapsed="false">
      <c r="A39" s="7" t="s">
        <v>137</v>
      </c>
      <c r="B39" s="20" t="n">
        <v>45901</v>
      </c>
      <c r="C39" s="7" t="s">
        <v>149</v>
      </c>
      <c r="D39" s="7" t="s">
        <v>3033</v>
      </c>
      <c r="E39" s="7" t="s">
        <v>3034</v>
      </c>
      <c r="F39" s="16" t="n">
        <v>110.9</v>
      </c>
      <c r="G39" s="22" t="n">
        <v>21</v>
      </c>
      <c r="H39" s="8" t="n">
        <v>2328.22</v>
      </c>
      <c r="I39" s="7" t="s">
        <v>3035</v>
      </c>
    </row>
    <row r="40" customFormat="false" ht="15" hidden="false" customHeight="false" outlineLevel="0" collapsed="false">
      <c r="A40" s="7" t="s">
        <v>137</v>
      </c>
      <c r="B40" s="20" t="n">
        <v>45931</v>
      </c>
      <c r="C40" s="7" t="s">
        <v>149</v>
      </c>
      <c r="D40" s="7" t="s">
        <v>3033</v>
      </c>
      <c r="E40" s="7" t="s">
        <v>3034</v>
      </c>
      <c r="F40" s="16" t="n">
        <v>104.7</v>
      </c>
      <c r="G40" s="22" t="n">
        <v>21</v>
      </c>
      <c r="H40" s="8" t="n">
        <v>2198.94</v>
      </c>
      <c r="I40" s="7" t="s">
        <v>3035</v>
      </c>
    </row>
    <row r="41" customFormat="false" ht="15" hidden="false" customHeight="false" outlineLevel="0" collapsed="false">
      <c r="A41" s="7" t="s">
        <v>137</v>
      </c>
      <c r="B41" s="20" t="n">
        <v>45931</v>
      </c>
      <c r="C41" s="7" t="s">
        <v>149</v>
      </c>
      <c r="D41" s="7" t="s">
        <v>3033</v>
      </c>
      <c r="E41" s="7" t="s">
        <v>3034</v>
      </c>
      <c r="F41" s="16" t="n">
        <v>104.4</v>
      </c>
      <c r="G41" s="22" t="n">
        <v>21</v>
      </c>
      <c r="H41" s="8" t="n">
        <v>2191.47</v>
      </c>
      <c r="I41" s="7" t="s">
        <v>3035</v>
      </c>
    </row>
    <row r="42" customFormat="false" ht="15" hidden="false" customHeight="false" outlineLevel="0" collapsed="false">
      <c r="A42" s="7" t="s">
        <v>137</v>
      </c>
      <c r="B42" s="20" t="n">
        <v>45931</v>
      </c>
      <c r="C42" s="7" t="s">
        <v>149</v>
      </c>
      <c r="D42" s="7" t="s">
        <v>3033</v>
      </c>
      <c r="E42" s="7" t="s">
        <v>3034</v>
      </c>
      <c r="F42" s="16" t="n">
        <v>117.1</v>
      </c>
      <c r="G42" s="22" t="n">
        <v>21</v>
      </c>
      <c r="H42" s="8" t="n">
        <v>2459.81</v>
      </c>
      <c r="I42" s="7" t="s">
        <v>3035</v>
      </c>
    </row>
    <row r="43" customFormat="false" ht="15" hidden="false" customHeight="false" outlineLevel="0" collapsed="false">
      <c r="A43" s="7" t="s">
        <v>137</v>
      </c>
      <c r="B43" s="20" t="n">
        <v>45962</v>
      </c>
      <c r="C43" s="7" t="s">
        <v>149</v>
      </c>
      <c r="D43" s="7" t="s">
        <v>3033</v>
      </c>
      <c r="E43" s="7" t="s">
        <v>3034</v>
      </c>
      <c r="F43" s="16" t="n">
        <v>57.1</v>
      </c>
      <c r="G43" s="22" t="n">
        <v>21</v>
      </c>
      <c r="H43" s="8" t="n">
        <v>1198.1</v>
      </c>
      <c r="I43" s="7" t="s">
        <v>3035</v>
      </c>
    </row>
    <row r="44" customFormat="false" ht="15" hidden="false" customHeight="false" outlineLevel="0" collapsed="false">
      <c r="A44" s="7" t="s">
        <v>137</v>
      </c>
      <c r="B44" s="20" t="n">
        <v>46143</v>
      </c>
      <c r="C44" s="7" t="s">
        <v>149</v>
      </c>
      <c r="D44" s="7" t="s">
        <v>3033</v>
      </c>
      <c r="E44" s="7" t="s">
        <v>3034</v>
      </c>
      <c r="F44" s="16" t="n">
        <v>63.9</v>
      </c>
      <c r="G44" s="22" t="n">
        <v>22</v>
      </c>
      <c r="H44" s="8" t="n">
        <v>1405.2</v>
      </c>
      <c r="I44" s="7" t="s">
        <v>3035</v>
      </c>
    </row>
    <row r="45" customFormat="false" ht="15" hidden="false" customHeight="false" outlineLevel="0" collapsed="false">
      <c r="A45" s="7" t="s">
        <v>137</v>
      </c>
      <c r="B45" s="20" t="n">
        <v>46143</v>
      </c>
      <c r="C45" s="7" t="s">
        <v>149</v>
      </c>
      <c r="D45" s="7" t="s">
        <v>3033</v>
      </c>
      <c r="E45" s="7" t="s">
        <v>3034</v>
      </c>
      <c r="F45" s="16" t="n">
        <v>61</v>
      </c>
      <c r="G45" s="22" t="n">
        <v>22</v>
      </c>
      <c r="H45" s="8" t="n">
        <v>1343.02</v>
      </c>
      <c r="I45" s="7" t="s">
        <v>3035</v>
      </c>
    </row>
    <row r="46" customFormat="false" ht="15" hidden="false" customHeight="false" outlineLevel="0" collapsed="false">
      <c r="A46" s="7" t="s">
        <v>137</v>
      </c>
      <c r="B46" s="20" t="n">
        <v>46174</v>
      </c>
      <c r="C46" s="7" t="s">
        <v>149</v>
      </c>
      <c r="D46" s="7" t="s">
        <v>3033</v>
      </c>
      <c r="E46" s="7" t="s">
        <v>3034</v>
      </c>
      <c r="F46" s="16" t="n">
        <v>100</v>
      </c>
      <c r="G46" s="22" t="n">
        <v>22</v>
      </c>
      <c r="H46" s="8" t="n">
        <v>2200.63</v>
      </c>
      <c r="I46" s="7" t="s">
        <v>3035</v>
      </c>
    </row>
    <row r="47" customFormat="false" ht="15" hidden="false" customHeight="false" outlineLevel="0" collapsed="false">
      <c r="A47" s="7" t="s">
        <v>137</v>
      </c>
      <c r="B47" s="20" t="n">
        <v>46174</v>
      </c>
      <c r="C47" s="7" t="s">
        <v>149</v>
      </c>
      <c r="D47" s="7" t="s">
        <v>3033</v>
      </c>
      <c r="E47" s="7" t="s">
        <v>3034</v>
      </c>
      <c r="F47" s="16" t="n">
        <v>112.2</v>
      </c>
      <c r="G47" s="22" t="n">
        <v>22</v>
      </c>
      <c r="H47" s="8" t="n">
        <v>2467.95</v>
      </c>
      <c r="I47" s="7" t="s">
        <v>3035</v>
      </c>
    </row>
    <row r="48" customFormat="false" ht="15" hidden="false" customHeight="false" outlineLevel="0" collapsed="false">
      <c r="A48" s="7" t="s">
        <v>137</v>
      </c>
      <c r="B48" s="20" t="n">
        <v>46204</v>
      </c>
      <c r="C48" s="7" t="s">
        <v>149</v>
      </c>
      <c r="D48" s="7" t="s">
        <v>3033</v>
      </c>
      <c r="E48" s="7" t="s">
        <v>3034</v>
      </c>
      <c r="F48" s="16" t="n">
        <v>115.5</v>
      </c>
      <c r="G48" s="22" t="n">
        <v>22</v>
      </c>
      <c r="H48" s="8" t="n">
        <v>2540.85</v>
      </c>
      <c r="I48" s="7" t="s">
        <v>3035</v>
      </c>
    </row>
    <row r="49" customFormat="false" ht="15" hidden="false" customHeight="false" outlineLevel="0" collapsed="false">
      <c r="A49" s="7" t="s">
        <v>137</v>
      </c>
      <c r="B49" s="20" t="n">
        <v>46204</v>
      </c>
      <c r="C49" s="7" t="s">
        <v>149</v>
      </c>
      <c r="D49" s="7" t="s">
        <v>3033</v>
      </c>
      <c r="E49" s="7" t="s">
        <v>3034</v>
      </c>
      <c r="F49" s="16" t="n">
        <v>63.1</v>
      </c>
      <c r="G49" s="22" t="n">
        <v>22</v>
      </c>
      <c r="H49" s="8" t="n">
        <v>1387.2</v>
      </c>
      <c r="I49" s="7" t="s">
        <v>3035</v>
      </c>
    </row>
    <row r="50" customFormat="false" ht="15" hidden="false" customHeight="false" outlineLevel="0" collapsed="false">
      <c r="A50" s="7" t="s">
        <v>137</v>
      </c>
      <c r="B50" s="20" t="n">
        <v>46235</v>
      </c>
      <c r="C50" s="7" t="s">
        <v>149</v>
      </c>
      <c r="D50" s="7" t="s">
        <v>3033</v>
      </c>
      <c r="E50" s="7" t="s">
        <v>3034</v>
      </c>
      <c r="F50" s="16" t="n">
        <v>57.8</v>
      </c>
      <c r="G50" s="22" t="n">
        <v>22</v>
      </c>
      <c r="H50" s="8" t="n">
        <v>1271.27</v>
      </c>
      <c r="I50" s="7" t="s">
        <v>3035</v>
      </c>
    </row>
    <row r="51" customFormat="false" ht="15" hidden="false" customHeight="false" outlineLevel="0" collapsed="false">
      <c r="A51" s="7" t="s">
        <v>137</v>
      </c>
      <c r="B51" s="20" t="n">
        <v>46235</v>
      </c>
      <c r="C51" s="7" t="s">
        <v>149</v>
      </c>
      <c r="D51" s="7" t="s">
        <v>3033</v>
      </c>
      <c r="E51" s="7" t="s">
        <v>3034</v>
      </c>
      <c r="F51" s="16" t="n">
        <v>68.3</v>
      </c>
      <c r="G51" s="22" t="n">
        <v>22</v>
      </c>
      <c r="H51" s="8" t="n">
        <v>1502.11</v>
      </c>
      <c r="I51" s="7" t="s">
        <v>3035</v>
      </c>
    </row>
    <row r="52" customFormat="false" ht="15" hidden="false" customHeight="false" outlineLevel="0" collapsed="false">
      <c r="A52" s="7" t="s">
        <v>137</v>
      </c>
      <c r="B52" s="20" t="n">
        <v>46266</v>
      </c>
      <c r="C52" s="7" t="s">
        <v>149</v>
      </c>
      <c r="D52" s="7" t="s">
        <v>3033</v>
      </c>
      <c r="E52" s="7" t="s">
        <v>3034</v>
      </c>
      <c r="F52" s="16" t="n">
        <v>64.7</v>
      </c>
      <c r="G52" s="22" t="n">
        <v>22</v>
      </c>
      <c r="H52" s="8" t="n">
        <v>1422.95</v>
      </c>
      <c r="I52" s="7" t="s">
        <v>3035</v>
      </c>
    </row>
    <row r="53" customFormat="false" ht="15" hidden="false" customHeight="false" outlineLevel="0" collapsed="false">
      <c r="A53" s="7" t="s">
        <v>137</v>
      </c>
      <c r="B53" s="20" t="n">
        <v>46266</v>
      </c>
      <c r="C53" s="7" t="s">
        <v>149</v>
      </c>
      <c r="D53" s="7" t="s">
        <v>3033</v>
      </c>
      <c r="E53" s="7" t="s">
        <v>3034</v>
      </c>
      <c r="F53" s="16" t="n">
        <v>113.3</v>
      </c>
      <c r="G53" s="22" t="n">
        <v>22</v>
      </c>
      <c r="H53" s="8" t="n">
        <v>2492.9</v>
      </c>
      <c r="I53" s="7" t="s">
        <v>3035</v>
      </c>
    </row>
    <row r="54" customFormat="false" ht="15" hidden="false" customHeight="false" outlineLevel="0" collapsed="false">
      <c r="A54" s="7" t="s">
        <v>137</v>
      </c>
      <c r="B54" s="20" t="n">
        <v>44927</v>
      </c>
      <c r="C54" s="7" t="s">
        <v>149</v>
      </c>
      <c r="D54" s="7" t="s">
        <v>3036</v>
      </c>
      <c r="E54" s="7" t="s">
        <v>3037</v>
      </c>
      <c r="F54" s="16" t="n">
        <v>20</v>
      </c>
      <c r="G54" s="22" t="n">
        <v>0</v>
      </c>
      <c r="H54" s="8" t="n">
        <v>0</v>
      </c>
      <c r="I54" s="7"/>
    </row>
    <row r="55" customFormat="false" ht="15" hidden="false" customHeight="false" outlineLevel="0" collapsed="false">
      <c r="A55" s="7" t="s">
        <v>137</v>
      </c>
      <c r="B55" s="20" t="n">
        <v>44927</v>
      </c>
      <c r="C55" s="7" t="s">
        <v>153</v>
      </c>
      <c r="D55" s="7" t="s">
        <v>3036</v>
      </c>
      <c r="E55" s="7" t="s">
        <v>3038</v>
      </c>
      <c r="F55" s="16" t="n">
        <v>70</v>
      </c>
      <c r="G55" s="22" t="n">
        <v>0</v>
      </c>
      <c r="H55" s="8" t="n">
        <v>0</v>
      </c>
      <c r="I55" s="7"/>
    </row>
    <row r="56" customFormat="false" ht="15" hidden="false" customHeight="false" outlineLevel="0" collapsed="false">
      <c r="A56" s="7" t="s">
        <v>137</v>
      </c>
      <c r="B56" s="20" t="n">
        <v>44958</v>
      </c>
      <c r="C56" s="7" t="s">
        <v>149</v>
      </c>
      <c r="D56" s="7" t="s">
        <v>3036</v>
      </c>
      <c r="E56" s="7" t="s">
        <v>3037</v>
      </c>
      <c r="F56" s="16" t="n">
        <v>20</v>
      </c>
      <c r="G56" s="22" t="n">
        <v>0</v>
      </c>
      <c r="H56" s="8" t="n">
        <v>0</v>
      </c>
      <c r="I56" s="7"/>
    </row>
    <row r="57" customFormat="false" ht="15" hidden="false" customHeight="false" outlineLevel="0" collapsed="false">
      <c r="A57" s="7" t="s">
        <v>137</v>
      </c>
      <c r="B57" s="20" t="n">
        <v>44958</v>
      </c>
      <c r="C57" s="7" t="s">
        <v>153</v>
      </c>
      <c r="D57" s="7" t="s">
        <v>3036</v>
      </c>
      <c r="E57" s="7" t="s">
        <v>3038</v>
      </c>
      <c r="F57" s="16" t="n">
        <v>70</v>
      </c>
      <c r="G57" s="22" t="n">
        <v>0</v>
      </c>
      <c r="H57" s="8" t="n">
        <v>0</v>
      </c>
      <c r="I57" s="7"/>
    </row>
    <row r="58" customFormat="false" ht="15" hidden="false" customHeight="false" outlineLevel="0" collapsed="false">
      <c r="A58" s="7" t="s">
        <v>137</v>
      </c>
      <c r="B58" s="20" t="n">
        <v>44986</v>
      </c>
      <c r="C58" s="7" t="s">
        <v>149</v>
      </c>
      <c r="D58" s="7" t="s">
        <v>3036</v>
      </c>
      <c r="E58" s="7" t="s">
        <v>3037</v>
      </c>
      <c r="F58" s="16" t="n">
        <v>20</v>
      </c>
      <c r="G58" s="22" t="n">
        <v>0</v>
      </c>
      <c r="H58" s="8" t="n">
        <v>0</v>
      </c>
      <c r="I58" s="7"/>
    </row>
    <row r="59" customFormat="false" ht="15" hidden="false" customHeight="false" outlineLevel="0" collapsed="false">
      <c r="A59" s="7" t="s">
        <v>137</v>
      </c>
      <c r="B59" s="20" t="n">
        <v>44986</v>
      </c>
      <c r="C59" s="7" t="s">
        <v>153</v>
      </c>
      <c r="D59" s="7" t="s">
        <v>3036</v>
      </c>
      <c r="E59" s="7" t="s">
        <v>3038</v>
      </c>
      <c r="F59" s="16" t="n">
        <v>70</v>
      </c>
      <c r="G59" s="22" t="n">
        <v>0</v>
      </c>
      <c r="H59" s="8" t="n">
        <v>0</v>
      </c>
      <c r="I59" s="7"/>
    </row>
    <row r="60" customFormat="false" ht="15" hidden="false" customHeight="false" outlineLevel="0" collapsed="false">
      <c r="A60" s="7" t="s">
        <v>137</v>
      </c>
      <c r="B60" s="20" t="n">
        <v>45017</v>
      </c>
      <c r="C60" s="7" t="s">
        <v>149</v>
      </c>
      <c r="D60" s="7" t="s">
        <v>3036</v>
      </c>
      <c r="E60" s="7" t="s">
        <v>3037</v>
      </c>
      <c r="F60" s="16" t="n">
        <v>20</v>
      </c>
      <c r="G60" s="22" t="n">
        <v>0</v>
      </c>
      <c r="H60" s="8" t="n">
        <v>0</v>
      </c>
      <c r="I60" s="7"/>
    </row>
    <row r="61" customFormat="false" ht="15" hidden="false" customHeight="false" outlineLevel="0" collapsed="false">
      <c r="A61" s="7" t="s">
        <v>137</v>
      </c>
      <c r="B61" s="20" t="n">
        <v>45017</v>
      </c>
      <c r="C61" s="7" t="s">
        <v>153</v>
      </c>
      <c r="D61" s="7" t="s">
        <v>3036</v>
      </c>
      <c r="E61" s="7" t="s">
        <v>3038</v>
      </c>
      <c r="F61" s="16" t="n">
        <v>150</v>
      </c>
      <c r="G61" s="22" t="n">
        <v>0</v>
      </c>
      <c r="H61" s="8" t="n">
        <v>0</v>
      </c>
      <c r="I61" s="7"/>
    </row>
    <row r="62" customFormat="false" ht="15" hidden="false" customHeight="false" outlineLevel="0" collapsed="false">
      <c r="A62" s="7" t="s">
        <v>137</v>
      </c>
      <c r="B62" s="20" t="n">
        <v>45047</v>
      </c>
      <c r="C62" s="7" t="s">
        <v>149</v>
      </c>
      <c r="D62" s="7" t="s">
        <v>3036</v>
      </c>
      <c r="E62" s="7" t="s">
        <v>3037</v>
      </c>
      <c r="F62" s="16" t="n">
        <v>20</v>
      </c>
      <c r="G62" s="22" t="n">
        <v>0</v>
      </c>
      <c r="H62" s="8" t="n">
        <v>0</v>
      </c>
      <c r="I62" s="7"/>
    </row>
    <row r="63" customFormat="false" ht="15" hidden="false" customHeight="false" outlineLevel="0" collapsed="false">
      <c r="A63" s="7" t="s">
        <v>137</v>
      </c>
      <c r="B63" s="20" t="n">
        <v>45047</v>
      </c>
      <c r="C63" s="7" t="s">
        <v>153</v>
      </c>
      <c r="D63" s="7" t="s">
        <v>3036</v>
      </c>
      <c r="E63" s="7" t="s">
        <v>3038</v>
      </c>
      <c r="F63" s="16" t="n">
        <v>150</v>
      </c>
      <c r="G63" s="22" t="n">
        <v>0</v>
      </c>
      <c r="H63" s="8" t="n">
        <v>0</v>
      </c>
      <c r="I63" s="7"/>
    </row>
    <row r="64" customFormat="false" ht="15" hidden="false" customHeight="false" outlineLevel="0" collapsed="false">
      <c r="A64" s="7" t="s">
        <v>137</v>
      </c>
      <c r="B64" s="20" t="n">
        <v>45078</v>
      </c>
      <c r="C64" s="7" t="s">
        <v>149</v>
      </c>
      <c r="D64" s="7" t="s">
        <v>3036</v>
      </c>
      <c r="E64" s="7" t="s">
        <v>3037</v>
      </c>
      <c r="F64" s="16" t="n">
        <v>200</v>
      </c>
      <c r="G64" s="22" t="n">
        <v>0</v>
      </c>
      <c r="H64" s="8" t="n">
        <v>0</v>
      </c>
      <c r="I64" s="7"/>
    </row>
    <row r="65" customFormat="false" ht="15" hidden="false" customHeight="false" outlineLevel="0" collapsed="false">
      <c r="A65" s="7" t="s">
        <v>137</v>
      </c>
      <c r="B65" s="20" t="n">
        <v>45078</v>
      </c>
      <c r="C65" s="7" t="s">
        <v>153</v>
      </c>
      <c r="D65" s="7" t="s">
        <v>3036</v>
      </c>
      <c r="E65" s="7" t="s">
        <v>3038</v>
      </c>
      <c r="F65" s="16" t="n">
        <v>150</v>
      </c>
      <c r="G65" s="22" t="n">
        <v>0</v>
      </c>
      <c r="H65" s="8" t="n">
        <v>0</v>
      </c>
      <c r="I65" s="7"/>
    </row>
    <row r="66" customFormat="false" ht="15" hidden="false" customHeight="false" outlineLevel="0" collapsed="false">
      <c r="A66" s="7" t="s">
        <v>137</v>
      </c>
      <c r="B66" s="20" t="n">
        <v>45108</v>
      </c>
      <c r="C66" s="7" t="s">
        <v>149</v>
      </c>
      <c r="D66" s="7" t="s">
        <v>3036</v>
      </c>
      <c r="E66" s="7" t="s">
        <v>3037</v>
      </c>
      <c r="F66" s="16" t="n">
        <v>200</v>
      </c>
      <c r="G66" s="22" t="n">
        <v>0</v>
      </c>
      <c r="H66" s="8" t="n">
        <v>0</v>
      </c>
      <c r="I66" s="7"/>
    </row>
    <row r="67" customFormat="false" ht="15" hidden="false" customHeight="false" outlineLevel="0" collapsed="false">
      <c r="A67" s="7" t="s">
        <v>137</v>
      </c>
      <c r="B67" s="20" t="n">
        <v>45108</v>
      </c>
      <c r="C67" s="7" t="s">
        <v>153</v>
      </c>
      <c r="D67" s="7" t="s">
        <v>3036</v>
      </c>
      <c r="E67" s="7" t="s">
        <v>3038</v>
      </c>
      <c r="F67" s="16" t="n">
        <v>70</v>
      </c>
      <c r="G67" s="22" t="n">
        <v>0</v>
      </c>
      <c r="H67" s="8" t="n">
        <v>0</v>
      </c>
      <c r="I67" s="7"/>
    </row>
    <row r="68" customFormat="false" ht="15" hidden="false" customHeight="false" outlineLevel="0" collapsed="false">
      <c r="A68" s="7" t="s">
        <v>137</v>
      </c>
      <c r="B68" s="20" t="n">
        <v>45139</v>
      </c>
      <c r="C68" s="7" t="s">
        <v>149</v>
      </c>
      <c r="D68" s="7" t="s">
        <v>3036</v>
      </c>
      <c r="E68" s="7" t="s">
        <v>3037</v>
      </c>
      <c r="F68" s="16" t="n">
        <v>20</v>
      </c>
      <c r="G68" s="22" t="n">
        <v>0</v>
      </c>
      <c r="H68" s="8" t="n">
        <v>0</v>
      </c>
      <c r="I68" s="7"/>
    </row>
    <row r="69" customFormat="false" ht="15" hidden="false" customHeight="false" outlineLevel="0" collapsed="false">
      <c r="A69" s="7" t="s">
        <v>137</v>
      </c>
      <c r="B69" s="20" t="n">
        <v>45139</v>
      </c>
      <c r="C69" s="7" t="s">
        <v>153</v>
      </c>
      <c r="D69" s="7" t="s">
        <v>3036</v>
      </c>
      <c r="E69" s="7" t="s">
        <v>3038</v>
      </c>
      <c r="F69" s="16" t="n">
        <v>70</v>
      </c>
      <c r="G69" s="22" t="n">
        <v>0</v>
      </c>
      <c r="H69" s="8" t="n">
        <v>0</v>
      </c>
      <c r="I69" s="7"/>
    </row>
    <row r="70" customFormat="false" ht="15" hidden="false" customHeight="false" outlineLevel="0" collapsed="false">
      <c r="A70" s="7" t="s">
        <v>137</v>
      </c>
      <c r="B70" s="20" t="n">
        <v>45170</v>
      </c>
      <c r="C70" s="7" t="s">
        <v>149</v>
      </c>
      <c r="D70" s="7" t="s">
        <v>3036</v>
      </c>
      <c r="E70" s="7" t="s">
        <v>3037</v>
      </c>
      <c r="F70" s="16" t="n">
        <v>200</v>
      </c>
      <c r="G70" s="22" t="n">
        <v>0</v>
      </c>
      <c r="H70" s="8" t="n">
        <v>0</v>
      </c>
      <c r="I70" s="7"/>
    </row>
    <row r="71" customFormat="false" ht="15" hidden="false" customHeight="false" outlineLevel="0" collapsed="false">
      <c r="A71" s="7" t="s">
        <v>137</v>
      </c>
      <c r="B71" s="20" t="n">
        <v>45170</v>
      </c>
      <c r="C71" s="7" t="s">
        <v>153</v>
      </c>
      <c r="D71" s="7" t="s">
        <v>3036</v>
      </c>
      <c r="E71" s="7" t="s">
        <v>3038</v>
      </c>
      <c r="F71" s="16" t="n">
        <v>150</v>
      </c>
      <c r="G71" s="22" t="n">
        <v>0</v>
      </c>
      <c r="H71" s="8" t="n">
        <v>0</v>
      </c>
      <c r="I71" s="7"/>
    </row>
    <row r="72" customFormat="false" ht="15" hidden="false" customHeight="false" outlineLevel="0" collapsed="false">
      <c r="A72" s="7" t="s">
        <v>137</v>
      </c>
      <c r="B72" s="20" t="n">
        <v>45200</v>
      </c>
      <c r="C72" s="7" t="s">
        <v>149</v>
      </c>
      <c r="D72" s="7" t="s">
        <v>3036</v>
      </c>
      <c r="E72" s="7" t="s">
        <v>3037</v>
      </c>
      <c r="F72" s="16" t="n">
        <v>200</v>
      </c>
      <c r="G72" s="22" t="n">
        <v>0</v>
      </c>
      <c r="H72" s="8" t="n">
        <v>0</v>
      </c>
      <c r="I72" s="7"/>
    </row>
    <row r="73" customFormat="false" ht="15" hidden="false" customHeight="false" outlineLevel="0" collapsed="false">
      <c r="A73" s="7" t="s">
        <v>137</v>
      </c>
      <c r="B73" s="20" t="n">
        <v>45200</v>
      </c>
      <c r="C73" s="7" t="s">
        <v>153</v>
      </c>
      <c r="D73" s="7" t="s">
        <v>3036</v>
      </c>
      <c r="E73" s="7" t="s">
        <v>3038</v>
      </c>
      <c r="F73" s="16" t="n">
        <v>150</v>
      </c>
      <c r="G73" s="22" t="n">
        <v>0</v>
      </c>
      <c r="H73" s="8" t="n">
        <v>0</v>
      </c>
      <c r="I73" s="7"/>
    </row>
    <row r="74" customFormat="false" ht="15" hidden="false" customHeight="false" outlineLevel="0" collapsed="false">
      <c r="A74" s="7" t="s">
        <v>137</v>
      </c>
      <c r="B74" s="20" t="n">
        <v>45231</v>
      </c>
      <c r="C74" s="7" t="s">
        <v>149</v>
      </c>
      <c r="D74" s="7" t="s">
        <v>3036</v>
      </c>
      <c r="E74" s="7" t="s">
        <v>3037</v>
      </c>
      <c r="F74" s="16" t="n">
        <v>200</v>
      </c>
      <c r="G74" s="22" t="n">
        <v>0</v>
      </c>
      <c r="H74" s="8" t="n">
        <v>0</v>
      </c>
      <c r="I74" s="7"/>
    </row>
    <row r="75" customFormat="false" ht="15" hidden="false" customHeight="false" outlineLevel="0" collapsed="false">
      <c r="A75" s="7" t="s">
        <v>137</v>
      </c>
      <c r="B75" s="20" t="n">
        <v>45231</v>
      </c>
      <c r="C75" s="7" t="s">
        <v>153</v>
      </c>
      <c r="D75" s="7" t="s">
        <v>3036</v>
      </c>
      <c r="E75" s="7" t="s">
        <v>3038</v>
      </c>
      <c r="F75" s="16" t="n">
        <v>70</v>
      </c>
      <c r="G75" s="22" t="n">
        <v>0</v>
      </c>
      <c r="H75" s="8" t="n">
        <v>0</v>
      </c>
      <c r="I75" s="7"/>
    </row>
    <row r="76" customFormat="false" ht="15" hidden="false" customHeight="false" outlineLevel="0" collapsed="false">
      <c r="A76" s="7" t="s">
        <v>137</v>
      </c>
      <c r="B76" s="20" t="n">
        <v>45261</v>
      </c>
      <c r="C76" s="7" t="s">
        <v>149</v>
      </c>
      <c r="D76" s="7" t="s">
        <v>3036</v>
      </c>
      <c r="E76" s="7" t="s">
        <v>3037</v>
      </c>
      <c r="F76" s="16" t="n">
        <v>20</v>
      </c>
      <c r="G76" s="22" t="n">
        <v>0</v>
      </c>
      <c r="H76" s="8" t="n">
        <v>0</v>
      </c>
      <c r="I76" s="7"/>
    </row>
    <row r="77" customFormat="false" ht="15" hidden="false" customHeight="false" outlineLevel="0" collapsed="false">
      <c r="A77" s="7" t="s">
        <v>137</v>
      </c>
      <c r="B77" s="20" t="n">
        <v>45261</v>
      </c>
      <c r="C77" s="7" t="s">
        <v>153</v>
      </c>
      <c r="D77" s="7" t="s">
        <v>3036</v>
      </c>
      <c r="E77" s="7" t="s">
        <v>3038</v>
      </c>
      <c r="F77" s="16" t="n">
        <v>70</v>
      </c>
      <c r="G77" s="22" t="n">
        <v>0</v>
      </c>
      <c r="H77" s="8" t="n">
        <v>0</v>
      </c>
      <c r="I77" s="7"/>
    </row>
    <row r="78" customFormat="false" ht="15" hidden="false" customHeight="false" outlineLevel="0" collapsed="false">
      <c r="A78" s="7" t="s">
        <v>137</v>
      </c>
      <c r="B78" s="20" t="n">
        <v>45292</v>
      </c>
      <c r="C78" s="7" t="s">
        <v>149</v>
      </c>
      <c r="D78" s="7" t="s">
        <v>3036</v>
      </c>
      <c r="E78" s="7" t="s">
        <v>3037</v>
      </c>
      <c r="F78" s="16" t="n">
        <v>20</v>
      </c>
      <c r="G78" s="22" t="n">
        <v>0</v>
      </c>
      <c r="H78" s="8" t="n">
        <v>0</v>
      </c>
      <c r="I78" s="7"/>
    </row>
    <row r="79" customFormat="false" ht="15" hidden="false" customHeight="false" outlineLevel="0" collapsed="false">
      <c r="A79" s="7" t="s">
        <v>137</v>
      </c>
      <c r="B79" s="20" t="n">
        <v>45292</v>
      </c>
      <c r="C79" s="7" t="s">
        <v>153</v>
      </c>
      <c r="D79" s="7" t="s">
        <v>3036</v>
      </c>
      <c r="E79" s="7" t="s">
        <v>3038</v>
      </c>
      <c r="F79" s="16" t="n">
        <v>70</v>
      </c>
      <c r="G79" s="22" t="n">
        <v>0</v>
      </c>
      <c r="H79" s="8" t="n">
        <v>0</v>
      </c>
      <c r="I79" s="7"/>
    </row>
    <row r="80" customFormat="false" ht="15" hidden="false" customHeight="false" outlineLevel="0" collapsed="false">
      <c r="A80" s="7" t="s">
        <v>137</v>
      </c>
      <c r="B80" s="20" t="n">
        <v>45323</v>
      </c>
      <c r="C80" s="7" t="s">
        <v>149</v>
      </c>
      <c r="D80" s="7" t="s">
        <v>3036</v>
      </c>
      <c r="E80" s="7" t="s">
        <v>3037</v>
      </c>
      <c r="F80" s="16" t="n">
        <v>20</v>
      </c>
      <c r="G80" s="22" t="n">
        <v>0</v>
      </c>
      <c r="H80" s="8" t="n">
        <v>0</v>
      </c>
      <c r="I80" s="7"/>
    </row>
    <row r="81" customFormat="false" ht="15" hidden="false" customHeight="false" outlineLevel="0" collapsed="false">
      <c r="A81" s="7" t="s">
        <v>137</v>
      </c>
      <c r="B81" s="20" t="n">
        <v>45323</v>
      </c>
      <c r="C81" s="7" t="s">
        <v>153</v>
      </c>
      <c r="D81" s="7" t="s">
        <v>3036</v>
      </c>
      <c r="E81" s="7" t="s">
        <v>3038</v>
      </c>
      <c r="F81" s="16" t="n">
        <v>70</v>
      </c>
      <c r="G81" s="22" t="n">
        <v>0</v>
      </c>
      <c r="H81" s="8" t="n">
        <v>0</v>
      </c>
      <c r="I81" s="7"/>
    </row>
    <row r="82" customFormat="false" ht="15" hidden="false" customHeight="false" outlineLevel="0" collapsed="false">
      <c r="A82" s="7" t="s">
        <v>137</v>
      </c>
      <c r="B82" s="20" t="n">
        <v>45352</v>
      </c>
      <c r="C82" s="7" t="s">
        <v>149</v>
      </c>
      <c r="D82" s="7" t="s">
        <v>3036</v>
      </c>
      <c r="E82" s="7" t="s">
        <v>3037</v>
      </c>
      <c r="F82" s="16" t="n">
        <v>20</v>
      </c>
      <c r="G82" s="22" t="n">
        <v>0</v>
      </c>
      <c r="H82" s="8" t="n">
        <v>0</v>
      </c>
      <c r="I82" s="7"/>
    </row>
    <row r="83" customFormat="false" ht="15" hidden="false" customHeight="false" outlineLevel="0" collapsed="false">
      <c r="A83" s="7" t="s">
        <v>137</v>
      </c>
      <c r="B83" s="20" t="n">
        <v>45352</v>
      </c>
      <c r="C83" s="7" t="s">
        <v>153</v>
      </c>
      <c r="D83" s="7" t="s">
        <v>3036</v>
      </c>
      <c r="E83" s="7" t="s">
        <v>3038</v>
      </c>
      <c r="F83" s="16" t="n">
        <v>70</v>
      </c>
      <c r="G83" s="22" t="n">
        <v>0</v>
      </c>
      <c r="H83" s="8" t="n">
        <v>0</v>
      </c>
      <c r="I83" s="7"/>
    </row>
    <row r="84" customFormat="false" ht="15" hidden="false" customHeight="false" outlineLevel="0" collapsed="false">
      <c r="A84" s="7" t="s">
        <v>137</v>
      </c>
      <c r="B84" s="20" t="n">
        <v>45383</v>
      </c>
      <c r="C84" s="7" t="s">
        <v>149</v>
      </c>
      <c r="D84" s="7" t="s">
        <v>3036</v>
      </c>
      <c r="E84" s="7" t="s">
        <v>3037</v>
      </c>
      <c r="F84" s="16" t="n">
        <v>20</v>
      </c>
      <c r="G84" s="22" t="n">
        <v>0</v>
      </c>
      <c r="H84" s="8" t="n">
        <v>0</v>
      </c>
      <c r="I84" s="7"/>
    </row>
    <row r="85" customFormat="false" ht="15" hidden="false" customHeight="false" outlineLevel="0" collapsed="false">
      <c r="A85" s="7" t="s">
        <v>137</v>
      </c>
      <c r="B85" s="20" t="n">
        <v>45383</v>
      </c>
      <c r="C85" s="7" t="s">
        <v>153</v>
      </c>
      <c r="D85" s="7" t="s">
        <v>3036</v>
      </c>
      <c r="E85" s="7" t="s">
        <v>3038</v>
      </c>
      <c r="F85" s="16" t="n">
        <v>150</v>
      </c>
      <c r="G85" s="22" t="n">
        <v>0</v>
      </c>
      <c r="H85" s="8" t="n">
        <v>0</v>
      </c>
      <c r="I85" s="7"/>
    </row>
    <row r="86" customFormat="false" ht="15" hidden="false" customHeight="false" outlineLevel="0" collapsed="false">
      <c r="A86" s="7" t="s">
        <v>137</v>
      </c>
      <c r="B86" s="20" t="n">
        <v>45413</v>
      </c>
      <c r="C86" s="7" t="s">
        <v>149</v>
      </c>
      <c r="D86" s="7" t="s">
        <v>3036</v>
      </c>
      <c r="E86" s="7" t="s">
        <v>3037</v>
      </c>
      <c r="F86" s="16" t="n">
        <v>20</v>
      </c>
      <c r="G86" s="22" t="n">
        <v>0</v>
      </c>
      <c r="H86" s="8" t="n">
        <v>0</v>
      </c>
      <c r="I86" s="7"/>
    </row>
    <row r="87" customFormat="false" ht="15" hidden="false" customHeight="false" outlineLevel="0" collapsed="false">
      <c r="A87" s="7" t="s">
        <v>137</v>
      </c>
      <c r="B87" s="20" t="n">
        <v>45413</v>
      </c>
      <c r="C87" s="7" t="s">
        <v>153</v>
      </c>
      <c r="D87" s="7" t="s">
        <v>3036</v>
      </c>
      <c r="E87" s="7" t="s">
        <v>3038</v>
      </c>
      <c r="F87" s="16" t="n">
        <v>150</v>
      </c>
      <c r="G87" s="22" t="n">
        <v>0</v>
      </c>
      <c r="H87" s="8" t="n">
        <v>0</v>
      </c>
      <c r="I87" s="7"/>
    </row>
    <row r="88" customFormat="false" ht="15" hidden="false" customHeight="false" outlineLevel="0" collapsed="false">
      <c r="A88" s="7" t="s">
        <v>137</v>
      </c>
      <c r="B88" s="20" t="n">
        <v>45444</v>
      </c>
      <c r="C88" s="7" t="s">
        <v>149</v>
      </c>
      <c r="D88" s="7" t="s">
        <v>3036</v>
      </c>
      <c r="E88" s="7" t="s">
        <v>3037</v>
      </c>
      <c r="F88" s="16" t="n">
        <v>200</v>
      </c>
      <c r="G88" s="22" t="n">
        <v>0</v>
      </c>
      <c r="H88" s="8" t="n">
        <v>0</v>
      </c>
      <c r="I88" s="7"/>
    </row>
    <row r="89" customFormat="false" ht="15" hidden="false" customHeight="false" outlineLevel="0" collapsed="false">
      <c r="A89" s="7" t="s">
        <v>137</v>
      </c>
      <c r="B89" s="20" t="n">
        <v>45444</v>
      </c>
      <c r="C89" s="7" t="s">
        <v>153</v>
      </c>
      <c r="D89" s="7" t="s">
        <v>3036</v>
      </c>
      <c r="E89" s="7" t="s">
        <v>3038</v>
      </c>
      <c r="F89" s="16" t="n">
        <v>150</v>
      </c>
      <c r="G89" s="22" t="n">
        <v>0</v>
      </c>
      <c r="H89" s="8" t="n">
        <v>0</v>
      </c>
      <c r="I89" s="7"/>
    </row>
    <row r="90" customFormat="false" ht="15" hidden="false" customHeight="false" outlineLevel="0" collapsed="false">
      <c r="A90" s="7" t="s">
        <v>137</v>
      </c>
      <c r="B90" s="20" t="n">
        <v>45474</v>
      </c>
      <c r="C90" s="7" t="s">
        <v>149</v>
      </c>
      <c r="D90" s="7" t="s">
        <v>3036</v>
      </c>
      <c r="E90" s="7" t="s">
        <v>3037</v>
      </c>
      <c r="F90" s="16" t="n">
        <v>200</v>
      </c>
      <c r="G90" s="22" t="n">
        <v>0</v>
      </c>
      <c r="H90" s="8" t="n">
        <v>0</v>
      </c>
      <c r="I90" s="7"/>
    </row>
    <row r="91" customFormat="false" ht="15" hidden="false" customHeight="false" outlineLevel="0" collapsed="false">
      <c r="A91" s="7" t="s">
        <v>137</v>
      </c>
      <c r="B91" s="20" t="n">
        <v>45474</v>
      </c>
      <c r="C91" s="7" t="s">
        <v>153</v>
      </c>
      <c r="D91" s="7" t="s">
        <v>3036</v>
      </c>
      <c r="E91" s="7" t="s">
        <v>3038</v>
      </c>
      <c r="F91" s="16" t="n">
        <v>70</v>
      </c>
      <c r="G91" s="22" t="n">
        <v>0</v>
      </c>
      <c r="H91" s="8" t="n">
        <v>0</v>
      </c>
      <c r="I91" s="7"/>
    </row>
    <row r="92" customFormat="false" ht="15" hidden="false" customHeight="false" outlineLevel="0" collapsed="false">
      <c r="A92" s="7" t="s">
        <v>137</v>
      </c>
      <c r="B92" s="20" t="n">
        <v>45505</v>
      </c>
      <c r="C92" s="7" t="s">
        <v>149</v>
      </c>
      <c r="D92" s="7" t="s">
        <v>3036</v>
      </c>
      <c r="E92" s="7" t="s">
        <v>3037</v>
      </c>
      <c r="F92" s="16" t="n">
        <v>20</v>
      </c>
      <c r="G92" s="22" t="n">
        <v>0</v>
      </c>
      <c r="H92" s="8" t="n">
        <v>0</v>
      </c>
      <c r="I92" s="7"/>
    </row>
    <row r="93" customFormat="false" ht="15" hidden="false" customHeight="false" outlineLevel="0" collapsed="false">
      <c r="A93" s="7" t="s">
        <v>137</v>
      </c>
      <c r="B93" s="20" t="n">
        <v>45505</v>
      </c>
      <c r="C93" s="7" t="s">
        <v>153</v>
      </c>
      <c r="D93" s="7" t="s">
        <v>3036</v>
      </c>
      <c r="E93" s="7" t="s">
        <v>3038</v>
      </c>
      <c r="F93" s="16" t="n">
        <v>70</v>
      </c>
      <c r="G93" s="22" t="n">
        <v>0</v>
      </c>
      <c r="H93" s="8" t="n">
        <v>0</v>
      </c>
      <c r="I93" s="7"/>
    </row>
    <row r="94" customFormat="false" ht="15" hidden="false" customHeight="false" outlineLevel="0" collapsed="false">
      <c r="A94" s="7" t="s">
        <v>137</v>
      </c>
      <c r="B94" s="20" t="n">
        <v>45536</v>
      </c>
      <c r="C94" s="7" t="s">
        <v>149</v>
      </c>
      <c r="D94" s="7" t="s">
        <v>3036</v>
      </c>
      <c r="E94" s="7" t="s">
        <v>3037</v>
      </c>
      <c r="F94" s="16" t="n">
        <v>200</v>
      </c>
      <c r="G94" s="22" t="n">
        <v>0</v>
      </c>
      <c r="H94" s="8" t="n">
        <v>0</v>
      </c>
      <c r="I94" s="7"/>
    </row>
    <row r="95" customFormat="false" ht="15" hidden="false" customHeight="false" outlineLevel="0" collapsed="false">
      <c r="A95" s="7" t="s">
        <v>137</v>
      </c>
      <c r="B95" s="20" t="n">
        <v>45536</v>
      </c>
      <c r="C95" s="7" t="s">
        <v>153</v>
      </c>
      <c r="D95" s="7" t="s">
        <v>3036</v>
      </c>
      <c r="E95" s="7" t="s">
        <v>3038</v>
      </c>
      <c r="F95" s="16" t="n">
        <v>150</v>
      </c>
      <c r="G95" s="22" t="n">
        <v>0</v>
      </c>
      <c r="H95" s="8" t="n">
        <v>0</v>
      </c>
      <c r="I95" s="7"/>
    </row>
    <row r="96" customFormat="false" ht="15" hidden="false" customHeight="false" outlineLevel="0" collapsed="false">
      <c r="A96" s="7" t="s">
        <v>137</v>
      </c>
      <c r="B96" s="20" t="n">
        <v>45566</v>
      </c>
      <c r="C96" s="7" t="s">
        <v>149</v>
      </c>
      <c r="D96" s="7" t="s">
        <v>3036</v>
      </c>
      <c r="E96" s="7" t="s">
        <v>3037</v>
      </c>
      <c r="F96" s="16" t="n">
        <v>200</v>
      </c>
      <c r="G96" s="22" t="n">
        <v>0</v>
      </c>
      <c r="H96" s="8" t="n">
        <v>0</v>
      </c>
      <c r="I96" s="7"/>
    </row>
    <row r="97" customFormat="false" ht="15" hidden="false" customHeight="false" outlineLevel="0" collapsed="false">
      <c r="A97" s="7" t="s">
        <v>137</v>
      </c>
      <c r="B97" s="20" t="n">
        <v>45566</v>
      </c>
      <c r="C97" s="7" t="s">
        <v>153</v>
      </c>
      <c r="D97" s="7" t="s">
        <v>3036</v>
      </c>
      <c r="E97" s="7" t="s">
        <v>3038</v>
      </c>
      <c r="F97" s="16" t="n">
        <v>150</v>
      </c>
      <c r="G97" s="22" t="n">
        <v>0</v>
      </c>
      <c r="H97" s="8" t="n">
        <v>0</v>
      </c>
      <c r="I97" s="7"/>
    </row>
    <row r="98" customFormat="false" ht="15" hidden="false" customHeight="false" outlineLevel="0" collapsed="false">
      <c r="A98" s="7" t="s">
        <v>137</v>
      </c>
      <c r="B98" s="20" t="n">
        <v>45597</v>
      </c>
      <c r="C98" s="7" t="s">
        <v>149</v>
      </c>
      <c r="D98" s="7" t="s">
        <v>3036</v>
      </c>
      <c r="E98" s="7" t="s">
        <v>3037</v>
      </c>
      <c r="F98" s="16" t="n">
        <v>200</v>
      </c>
      <c r="G98" s="22" t="n">
        <v>0</v>
      </c>
      <c r="H98" s="8" t="n">
        <v>0</v>
      </c>
      <c r="I98" s="7"/>
    </row>
    <row r="99" customFormat="false" ht="15" hidden="false" customHeight="false" outlineLevel="0" collapsed="false">
      <c r="A99" s="7" t="s">
        <v>137</v>
      </c>
      <c r="B99" s="20" t="n">
        <v>45597</v>
      </c>
      <c r="C99" s="7" t="s">
        <v>153</v>
      </c>
      <c r="D99" s="7" t="s">
        <v>3036</v>
      </c>
      <c r="E99" s="7" t="s">
        <v>3038</v>
      </c>
      <c r="F99" s="16" t="n">
        <v>70</v>
      </c>
      <c r="G99" s="22" t="n">
        <v>0</v>
      </c>
      <c r="H99" s="8" t="n">
        <v>0</v>
      </c>
      <c r="I99" s="7"/>
    </row>
    <row r="100" customFormat="false" ht="15" hidden="false" customHeight="false" outlineLevel="0" collapsed="false">
      <c r="A100" s="7" t="s">
        <v>137</v>
      </c>
      <c r="B100" s="20" t="n">
        <v>45627</v>
      </c>
      <c r="C100" s="7" t="s">
        <v>149</v>
      </c>
      <c r="D100" s="7" t="s">
        <v>3036</v>
      </c>
      <c r="E100" s="7" t="s">
        <v>3037</v>
      </c>
      <c r="F100" s="16" t="n">
        <v>20</v>
      </c>
      <c r="G100" s="22" t="n">
        <v>0</v>
      </c>
      <c r="H100" s="8" t="n">
        <v>0</v>
      </c>
      <c r="I100" s="7"/>
    </row>
    <row r="101" customFormat="false" ht="15" hidden="false" customHeight="false" outlineLevel="0" collapsed="false">
      <c r="A101" s="7" t="s">
        <v>137</v>
      </c>
      <c r="B101" s="20" t="n">
        <v>45627</v>
      </c>
      <c r="C101" s="7" t="s">
        <v>153</v>
      </c>
      <c r="D101" s="7" t="s">
        <v>3036</v>
      </c>
      <c r="E101" s="7" t="s">
        <v>3038</v>
      </c>
      <c r="F101" s="16" t="n">
        <v>70</v>
      </c>
      <c r="G101" s="22" t="n">
        <v>0</v>
      </c>
      <c r="H101" s="8" t="n">
        <v>0</v>
      </c>
      <c r="I101" s="7"/>
    </row>
    <row r="102" customFormat="false" ht="15" hidden="false" customHeight="false" outlineLevel="0" collapsed="false">
      <c r="A102" s="7" t="s">
        <v>137</v>
      </c>
      <c r="B102" s="20" t="n">
        <v>45658</v>
      </c>
      <c r="C102" s="7" t="s">
        <v>149</v>
      </c>
      <c r="D102" s="7" t="s">
        <v>3036</v>
      </c>
      <c r="E102" s="7" t="s">
        <v>3037</v>
      </c>
      <c r="F102" s="16" t="n">
        <v>20</v>
      </c>
      <c r="G102" s="22" t="n">
        <v>0</v>
      </c>
      <c r="H102" s="8" t="n">
        <v>0</v>
      </c>
      <c r="I102" s="7"/>
    </row>
    <row r="103" customFormat="false" ht="15" hidden="false" customHeight="false" outlineLevel="0" collapsed="false">
      <c r="A103" s="7" t="s">
        <v>137</v>
      </c>
      <c r="B103" s="20" t="n">
        <v>45658</v>
      </c>
      <c r="C103" s="7" t="s">
        <v>153</v>
      </c>
      <c r="D103" s="7" t="s">
        <v>3036</v>
      </c>
      <c r="E103" s="7" t="s">
        <v>3038</v>
      </c>
      <c r="F103" s="16" t="n">
        <v>70</v>
      </c>
      <c r="G103" s="22" t="n">
        <v>0</v>
      </c>
      <c r="H103" s="8" t="n">
        <v>0</v>
      </c>
      <c r="I103" s="7"/>
    </row>
    <row r="104" customFormat="false" ht="15" hidden="false" customHeight="false" outlineLevel="0" collapsed="false">
      <c r="A104" s="7" t="s">
        <v>137</v>
      </c>
      <c r="B104" s="20" t="n">
        <v>45689</v>
      </c>
      <c r="C104" s="7" t="s">
        <v>149</v>
      </c>
      <c r="D104" s="7" t="s">
        <v>3036</v>
      </c>
      <c r="E104" s="7" t="s">
        <v>3037</v>
      </c>
      <c r="F104" s="16" t="n">
        <v>20</v>
      </c>
      <c r="G104" s="22" t="n">
        <v>0</v>
      </c>
      <c r="H104" s="8" t="n">
        <v>0</v>
      </c>
      <c r="I104" s="7"/>
    </row>
    <row r="105" customFormat="false" ht="15" hidden="false" customHeight="false" outlineLevel="0" collapsed="false">
      <c r="A105" s="7" t="s">
        <v>137</v>
      </c>
      <c r="B105" s="20" t="n">
        <v>45689</v>
      </c>
      <c r="C105" s="7" t="s">
        <v>153</v>
      </c>
      <c r="D105" s="7" t="s">
        <v>3036</v>
      </c>
      <c r="E105" s="7" t="s">
        <v>3038</v>
      </c>
      <c r="F105" s="16" t="n">
        <v>70</v>
      </c>
      <c r="G105" s="22" t="n">
        <v>0</v>
      </c>
      <c r="H105" s="8" t="n">
        <v>0</v>
      </c>
      <c r="I105" s="7"/>
    </row>
    <row r="106" customFormat="false" ht="15" hidden="false" customHeight="false" outlineLevel="0" collapsed="false">
      <c r="A106" s="7" t="s">
        <v>137</v>
      </c>
      <c r="B106" s="20" t="n">
        <v>45717</v>
      </c>
      <c r="C106" s="7" t="s">
        <v>149</v>
      </c>
      <c r="D106" s="7" t="s">
        <v>3036</v>
      </c>
      <c r="E106" s="7" t="s">
        <v>3037</v>
      </c>
      <c r="F106" s="16" t="n">
        <v>20</v>
      </c>
      <c r="G106" s="22" t="n">
        <v>0</v>
      </c>
      <c r="H106" s="8" t="n">
        <v>0</v>
      </c>
      <c r="I106" s="7"/>
    </row>
    <row r="107" customFormat="false" ht="15" hidden="false" customHeight="false" outlineLevel="0" collapsed="false">
      <c r="A107" s="7" t="s">
        <v>137</v>
      </c>
      <c r="B107" s="20" t="n">
        <v>45717</v>
      </c>
      <c r="C107" s="7" t="s">
        <v>153</v>
      </c>
      <c r="D107" s="7" t="s">
        <v>3036</v>
      </c>
      <c r="E107" s="7" t="s">
        <v>3038</v>
      </c>
      <c r="F107" s="16" t="n">
        <v>70</v>
      </c>
      <c r="G107" s="22" t="n">
        <v>0</v>
      </c>
      <c r="H107" s="8" t="n">
        <v>0</v>
      </c>
      <c r="I107" s="7"/>
    </row>
    <row r="108" customFormat="false" ht="15" hidden="false" customHeight="false" outlineLevel="0" collapsed="false">
      <c r="A108" s="7" t="s">
        <v>137</v>
      </c>
      <c r="B108" s="20" t="n">
        <v>45748</v>
      </c>
      <c r="C108" s="7" t="s">
        <v>149</v>
      </c>
      <c r="D108" s="7" t="s">
        <v>3036</v>
      </c>
      <c r="E108" s="7" t="s">
        <v>3037</v>
      </c>
      <c r="F108" s="16" t="n">
        <v>20</v>
      </c>
      <c r="G108" s="22" t="n">
        <v>0</v>
      </c>
      <c r="H108" s="8" t="n">
        <v>0</v>
      </c>
      <c r="I108" s="7"/>
    </row>
    <row r="109" customFormat="false" ht="15" hidden="false" customHeight="false" outlineLevel="0" collapsed="false">
      <c r="A109" s="7" t="s">
        <v>137</v>
      </c>
      <c r="B109" s="20" t="n">
        <v>45748</v>
      </c>
      <c r="C109" s="7" t="s">
        <v>153</v>
      </c>
      <c r="D109" s="7" t="s">
        <v>3036</v>
      </c>
      <c r="E109" s="7" t="s">
        <v>3038</v>
      </c>
      <c r="F109" s="16" t="n">
        <v>150</v>
      </c>
      <c r="G109" s="22" t="n">
        <v>0</v>
      </c>
      <c r="H109" s="8" t="n">
        <v>0</v>
      </c>
      <c r="I109" s="7"/>
    </row>
    <row r="110" customFormat="false" ht="15" hidden="false" customHeight="false" outlineLevel="0" collapsed="false">
      <c r="A110" s="7" t="s">
        <v>137</v>
      </c>
      <c r="B110" s="20" t="n">
        <v>45778</v>
      </c>
      <c r="C110" s="7" t="s">
        <v>149</v>
      </c>
      <c r="D110" s="7" t="s">
        <v>3036</v>
      </c>
      <c r="E110" s="7" t="s">
        <v>3037</v>
      </c>
      <c r="F110" s="16" t="n">
        <v>20</v>
      </c>
      <c r="G110" s="22" t="n">
        <v>0</v>
      </c>
      <c r="H110" s="8" t="n">
        <v>0</v>
      </c>
      <c r="I110" s="7"/>
    </row>
    <row r="111" customFormat="false" ht="15" hidden="false" customHeight="false" outlineLevel="0" collapsed="false">
      <c r="A111" s="7" t="s">
        <v>137</v>
      </c>
      <c r="B111" s="20" t="n">
        <v>45778</v>
      </c>
      <c r="C111" s="7" t="s">
        <v>153</v>
      </c>
      <c r="D111" s="7" t="s">
        <v>3036</v>
      </c>
      <c r="E111" s="7" t="s">
        <v>3038</v>
      </c>
      <c r="F111" s="16" t="n">
        <v>150</v>
      </c>
      <c r="G111" s="22" t="n">
        <v>0</v>
      </c>
      <c r="H111" s="8" t="n">
        <v>0</v>
      </c>
      <c r="I111" s="7"/>
    </row>
    <row r="112" customFormat="false" ht="15" hidden="false" customHeight="false" outlineLevel="0" collapsed="false">
      <c r="A112" s="7" t="s">
        <v>137</v>
      </c>
      <c r="B112" s="20" t="n">
        <v>45809</v>
      </c>
      <c r="C112" s="7" t="s">
        <v>149</v>
      </c>
      <c r="D112" s="7" t="s">
        <v>3036</v>
      </c>
      <c r="E112" s="7" t="s">
        <v>3037</v>
      </c>
      <c r="F112" s="16" t="n">
        <v>200</v>
      </c>
      <c r="G112" s="22" t="n">
        <v>0</v>
      </c>
      <c r="H112" s="8" t="n">
        <v>0</v>
      </c>
      <c r="I112" s="7"/>
    </row>
    <row r="113" customFormat="false" ht="15" hidden="false" customHeight="false" outlineLevel="0" collapsed="false">
      <c r="A113" s="7" t="s">
        <v>137</v>
      </c>
      <c r="B113" s="20" t="n">
        <v>45809</v>
      </c>
      <c r="C113" s="7" t="s">
        <v>153</v>
      </c>
      <c r="D113" s="7" t="s">
        <v>3036</v>
      </c>
      <c r="E113" s="7" t="s">
        <v>3038</v>
      </c>
      <c r="F113" s="16" t="n">
        <v>150</v>
      </c>
      <c r="G113" s="22" t="n">
        <v>0</v>
      </c>
      <c r="H113" s="8" t="n">
        <v>0</v>
      </c>
      <c r="I113" s="7"/>
    </row>
    <row r="114" customFormat="false" ht="15" hidden="false" customHeight="false" outlineLevel="0" collapsed="false">
      <c r="A114" s="7" t="s">
        <v>137</v>
      </c>
      <c r="B114" s="20" t="n">
        <v>45839</v>
      </c>
      <c r="C114" s="7" t="s">
        <v>149</v>
      </c>
      <c r="D114" s="7" t="s">
        <v>3036</v>
      </c>
      <c r="E114" s="7" t="s">
        <v>3037</v>
      </c>
      <c r="F114" s="16" t="n">
        <v>200</v>
      </c>
      <c r="G114" s="22" t="n">
        <v>0</v>
      </c>
      <c r="H114" s="8" t="n">
        <v>0</v>
      </c>
      <c r="I114" s="7"/>
    </row>
    <row r="115" customFormat="false" ht="15" hidden="false" customHeight="false" outlineLevel="0" collapsed="false">
      <c r="A115" s="7" t="s">
        <v>137</v>
      </c>
      <c r="B115" s="20" t="n">
        <v>45839</v>
      </c>
      <c r="C115" s="7" t="s">
        <v>153</v>
      </c>
      <c r="D115" s="7" t="s">
        <v>3036</v>
      </c>
      <c r="E115" s="7" t="s">
        <v>3038</v>
      </c>
      <c r="F115" s="16" t="n">
        <v>70</v>
      </c>
      <c r="G115" s="22" t="n">
        <v>0</v>
      </c>
      <c r="H115" s="8" t="n">
        <v>0</v>
      </c>
      <c r="I115" s="7"/>
    </row>
    <row r="116" customFormat="false" ht="15" hidden="false" customHeight="false" outlineLevel="0" collapsed="false">
      <c r="A116" s="7" t="s">
        <v>137</v>
      </c>
      <c r="B116" s="20" t="n">
        <v>45870</v>
      </c>
      <c r="C116" s="7" t="s">
        <v>149</v>
      </c>
      <c r="D116" s="7" t="s">
        <v>3036</v>
      </c>
      <c r="E116" s="7" t="s">
        <v>3037</v>
      </c>
      <c r="F116" s="16" t="n">
        <v>20</v>
      </c>
      <c r="G116" s="22" t="n">
        <v>0</v>
      </c>
      <c r="H116" s="8" t="n">
        <v>0</v>
      </c>
      <c r="I116" s="7"/>
    </row>
    <row r="117" customFormat="false" ht="15" hidden="false" customHeight="false" outlineLevel="0" collapsed="false">
      <c r="A117" s="7" t="s">
        <v>137</v>
      </c>
      <c r="B117" s="20" t="n">
        <v>45870</v>
      </c>
      <c r="C117" s="7" t="s">
        <v>153</v>
      </c>
      <c r="D117" s="7" t="s">
        <v>3036</v>
      </c>
      <c r="E117" s="7" t="s">
        <v>3038</v>
      </c>
      <c r="F117" s="16" t="n">
        <v>70</v>
      </c>
      <c r="G117" s="22" t="n">
        <v>0</v>
      </c>
      <c r="H117" s="8" t="n">
        <v>0</v>
      </c>
      <c r="I117" s="7"/>
    </row>
    <row r="118" customFormat="false" ht="15" hidden="false" customHeight="false" outlineLevel="0" collapsed="false">
      <c r="A118" s="7" t="s">
        <v>137</v>
      </c>
      <c r="B118" s="20" t="n">
        <v>45901</v>
      </c>
      <c r="C118" s="7" t="s">
        <v>149</v>
      </c>
      <c r="D118" s="7" t="s">
        <v>3036</v>
      </c>
      <c r="E118" s="7" t="s">
        <v>3037</v>
      </c>
      <c r="F118" s="16" t="n">
        <v>200</v>
      </c>
      <c r="G118" s="22" t="n">
        <v>0</v>
      </c>
      <c r="H118" s="8" t="n">
        <v>0</v>
      </c>
      <c r="I118" s="7"/>
    </row>
    <row r="119" customFormat="false" ht="15" hidden="false" customHeight="false" outlineLevel="0" collapsed="false">
      <c r="A119" s="7" t="s">
        <v>137</v>
      </c>
      <c r="B119" s="20" t="n">
        <v>45901</v>
      </c>
      <c r="C119" s="7" t="s">
        <v>153</v>
      </c>
      <c r="D119" s="7" t="s">
        <v>3036</v>
      </c>
      <c r="E119" s="7" t="s">
        <v>3038</v>
      </c>
      <c r="F119" s="16" t="n">
        <v>150</v>
      </c>
      <c r="G119" s="22" t="n">
        <v>0</v>
      </c>
      <c r="H119" s="8" t="n">
        <v>0</v>
      </c>
      <c r="I119" s="7"/>
    </row>
    <row r="120" customFormat="false" ht="15" hidden="false" customHeight="false" outlineLevel="0" collapsed="false">
      <c r="A120" s="7" t="s">
        <v>137</v>
      </c>
      <c r="B120" s="20" t="n">
        <v>45931</v>
      </c>
      <c r="C120" s="7" t="s">
        <v>149</v>
      </c>
      <c r="D120" s="7" t="s">
        <v>3036</v>
      </c>
      <c r="E120" s="7" t="s">
        <v>3037</v>
      </c>
      <c r="F120" s="16" t="n">
        <v>200</v>
      </c>
      <c r="G120" s="22" t="n">
        <v>0</v>
      </c>
      <c r="H120" s="8" t="n">
        <v>0</v>
      </c>
      <c r="I120" s="7"/>
    </row>
    <row r="121" customFormat="false" ht="15" hidden="false" customHeight="false" outlineLevel="0" collapsed="false">
      <c r="A121" s="7" t="s">
        <v>137</v>
      </c>
      <c r="B121" s="20" t="n">
        <v>45931</v>
      </c>
      <c r="C121" s="7" t="s">
        <v>153</v>
      </c>
      <c r="D121" s="7" t="s">
        <v>3036</v>
      </c>
      <c r="E121" s="7" t="s">
        <v>3038</v>
      </c>
      <c r="F121" s="16" t="n">
        <v>150</v>
      </c>
      <c r="G121" s="22" t="n">
        <v>0</v>
      </c>
      <c r="H121" s="8" t="n">
        <v>0</v>
      </c>
      <c r="I121" s="7"/>
    </row>
    <row r="122" customFormat="false" ht="15" hidden="false" customHeight="false" outlineLevel="0" collapsed="false">
      <c r="A122" s="7" t="s">
        <v>137</v>
      </c>
      <c r="B122" s="20" t="n">
        <v>45962</v>
      </c>
      <c r="C122" s="7" t="s">
        <v>149</v>
      </c>
      <c r="D122" s="7" t="s">
        <v>3036</v>
      </c>
      <c r="E122" s="7" t="s">
        <v>3037</v>
      </c>
      <c r="F122" s="16" t="n">
        <v>200</v>
      </c>
      <c r="G122" s="22" t="n">
        <v>0</v>
      </c>
      <c r="H122" s="8" t="n">
        <v>0</v>
      </c>
      <c r="I122" s="7"/>
    </row>
    <row r="123" customFormat="false" ht="15" hidden="false" customHeight="false" outlineLevel="0" collapsed="false">
      <c r="A123" s="7" t="s">
        <v>137</v>
      </c>
      <c r="B123" s="20" t="n">
        <v>45962</v>
      </c>
      <c r="C123" s="7" t="s">
        <v>153</v>
      </c>
      <c r="D123" s="7" t="s">
        <v>3036</v>
      </c>
      <c r="E123" s="7" t="s">
        <v>3038</v>
      </c>
      <c r="F123" s="16" t="n">
        <v>70</v>
      </c>
      <c r="G123" s="22" t="n">
        <v>0</v>
      </c>
      <c r="H123" s="8" t="n">
        <v>0</v>
      </c>
      <c r="I123" s="7"/>
    </row>
    <row r="124" customFormat="false" ht="15" hidden="false" customHeight="false" outlineLevel="0" collapsed="false">
      <c r="A124" s="7" t="s">
        <v>137</v>
      </c>
      <c r="B124" s="20" t="n">
        <v>45992</v>
      </c>
      <c r="C124" s="7" t="s">
        <v>149</v>
      </c>
      <c r="D124" s="7" t="s">
        <v>3036</v>
      </c>
      <c r="E124" s="7" t="s">
        <v>3037</v>
      </c>
      <c r="F124" s="16" t="n">
        <v>20</v>
      </c>
      <c r="G124" s="22" t="n">
        <v>0</v>
      </c>
      <c r="H124" s="8" t="n">
        <v>0</v>
      </c>
      <c r="I124" s="7"/>
    </row>
    <row r="125" customFormat="false" ht="15" hidden="false" customHeight="false" outlineLevel="0" collapsed="false">
      <c r="A125" s="7" t="s">
        <v>137</v>
      </c>
      <c r="B125" s="20" t="n">
        <v>45992</v>
      </c>
      <c r="C125" s="7" t="s">
        <v>153</v>
      </c>
      <c r="D125" s="7" t="s">
        <v>3036</v>
      </c>
      <c r="E125" s="7" t="s">
        <v>3038</v>
      </c>
      <c r="F125" s="16" t="n">
        <v>70</v>
      </c>
      <c r="G125" s="22" t="n">
        <v>0</v>
      </c>
      <c r="H125" s="8" t="n">
        <v>0</v>
      </c>
      <c r="I125" s="7"/>
    </row>
    <row r="126" customFormat="false" ht="15" hidden="false" customHeight="false" outlineLevel="0" collapsed="false">
      <c r="A126" s="7" t="s">
        <v>137</v>
      </c>
      <c r="B126" s="20" t="n">
        <v>46023</v>
      </c>
      <c r="C126" s="7" t="s">
        <v>149</v>
      </c>
      <c r="D126" s="7" t="s">
        <v>3036</v>
      </c>
      <c r="E126" s="7" t="s">
        <v>3037</v>
      </c>
      <c r="F126" s="16" t="n">
        <v>20</v>
      </c>
      <c r="G126" s="22" t="n">
        <v>0</v>
      </c>
      <c r="H126" s="8" t="n">
        <v>0</v>
      </c>
      <c r="I126" s="7"/>
    </row>
    <row r="127" customFormat="false" ht="15" hidden="false" customHeight="false" outlineLevel="0" collapsed="false">
      <c r="A127" s="7" t="s">
        <v>137</v>
      </c>
      <c r="B127" s="20" t="n">
        <v>46023</v>
      </c>
      <c r="C127" s="7" t="s">
        <v>153</v>
      </c>
      <c r="D127" s="7" t="s">
        <v>3036</v>
      </c>
      <c r="E127" s="7" t="s">
        <v>3038</v>
      </c>
      <c r="F127" s="16" t="n">
        <v>70</v>
      </c>
      <c r="G127" s="22" t="n">
        <v>0</v>
      </c>
      <c r="H127" s="8" t="n">
        <v>0</v>
      </c>
      <c r="I127" s="7"/>
    </row>
    <row r="128" customFormat="false" ht="15" hidden="false" customHeight="false" outlineLevel="0" collapsed="false">
      <c r="A128" s="7" t="s">
        <v>137</v>
      </c>
      <c r="B128" s="20" t="n">
        <v>46054</v>
      </c>
      <c r="C128" s="7" t="s">
        <v>149</v>
      </c>
      <c r="D128" s="7" t="s">
        <v>3036</v>
      </c>
      <c r="E128" s="7" t="s">
        <v>3037</v>
      </c>
      <c r="F128" s="16" t="n">
        <v>20</v>
      </c>
      <c r="G128" s="22" t="n">
        <v>0</v>
      </c>
      <c r="H128" s="8" t="n">
        <v>0</v>
      </c>
      <c r="I128" s="7"/>
    </row>
    <row r="129" customFormat="false" ht="15" hidden="false" customHeight="false" outlineLevel="0" collapsed="false">
      <c r="A129" s="7" t="s">
        <v>137</v>
      </c>
      <c r="B129" s="20" t="n">
        <v>46054</v>
      </c>
      <c r="C129" s="7" t="s">
        <v>153</v>
      </c>
      <c r="D129" s="7" t="s">
        <v>3036</v>
      </c>
      <c r="E129" s="7" t="s">
        <v>3038</v>
      </c>
      <c r="F129" s="16" t="n">
        <v>70</v>
      </c>
      <c r="G129" s="22" t="n">
        <v>0</v>
      </c>
      <c r="H129" s="8" t="n">
        <v>0</v>
      </c>
      <c r="I129" s="7"/>
    </row>
    <row r="130" customFormat="false" ht="15" hidden="false" customHeight="false" outlineLevel="0" collapsed="false">
      <c r="A130" s="7" t="s">
        <v>137</v>
      </c>
      <c r="B130" s="20" t="n">
        <v>46082</v>
      </c>
      <c r="C130" s="7" t="s">
        <v>149</v>
      </c>
      <c r="D130" s="7" t="s">
        <v>3036</v>
      </c>
      <c r="E130" s="7" t="s">
        <v>3037</v>
      </c>
      <c r="F130" s="16" t="n">
        <v>20</v>
      </c>
      <c r="G130" s="22" t="n">
        <v>0</v>
      </c>
      <c r="H130" s="8" t="n">
        <v>0</v>
      </c>
      <c r="I130" s="7"/>
    </row>
    <row r="131" customFormat="false" ht="15" hidden="false" customHeight="false" outlineLevel="0" collapsed="false">
      <c r="A131" s="7" t="s">
        <v>137</v>
      </c>
      <c r="B131" s="20" t="n">
        <v>46082</v>
      </c>
      <c r="C131" s="7" t="s">
        <v>153</v>
      </c>
      <c r="D131" s="7" t="s">
        <v>3036</v>
      </c>
      <c r="E131" s="7" t="s">
        <v>3038</v>
      </c>
      <c r="F131" s="16" t="n">
        <v>70</v>
      </c>
      <c r="G131" s="22" t="n">
        <v>0</v>
      </c>
      <c r="H131" s="8" t="n">
        <v>0</v>
      </c>
      <c r="I131" s="7"/>
    </row>
    <row r="132" customFormat="false" ht="15" hidden="false" customHeight="false" outlineLevel="0" collapsed="false">
      <c r="A132" s="7" t="s">
        <v>137</v>
      </c>
      <c r="B132" s="20" t="n">
        <v>46113</v>
      </c>
      <c r="C132" s="7" t="s">
        <v>149</v>
      </c>
      <c r="D132" s="7" t="s">
        <v>3036</v>
      </c>
      <c r="E132" s="7" t="s">
        <v>3037</v>
      </c>
      <c r="F132" s="16" t="n">
        <v>20</v>
      </c>
      <c r="G132" s="22" t="n">
        <v>0</v>
      </c>
      <c r="H132" s="8" t="n">
        <v>0</v>
      </c>
      <c r="I132" s="7"/>
    </row>
    <row r="133" customFormat="false" ht="15" hidden="false" customHeight="false" outlineLevel="0" collapsed="false">
      <c r="A133" s="7" t="s">
        <v>137</v>
      </c>
      <c r="B133" s="20" t="n">
        <v>46113</v>
      </c>
      <c r="C133" s="7" t="s">
        <v>153</v>
      </c>
      <c r="D133" s="7" t="s">
        <v>3036</v>
      </c>
      <c r="E133" s="7" t="s">
        <v>3038</v>
      </c>
      <c r="F133" s="16" t="n">
        <v>150</v>
      </c>
      <c r="G133" s="22" t="n">
        <v>0</v>
      </c>
      <c r="H133" s="8" t="n">
        <v>0</v>
      </c>
      <c r="I133" s="7"/>
    </row>
    <row r="134" customFormat="false" ht="15" hidden="false" customHeight="false" outlineLevel="0" collapsed="false">
      <c r="A134" s="7" t="s">
        <v>137</v>
      </c>
      <c r="B134" s="20" t="n">
        <v>46143</v>
      </c>
      <c r="C134" s="7" t="s">
        <v>149</v>
      </c>
      <c r="D134" s="7" t="s">
        <v>3036</v>
      </c>
      <c r="E134" s="7" t="s">
        <v>3037</v>
      </c>
      <c r="F134" s="16" t="n">
        <v>20</v>
      </c>
      <c r="G134" s="22" t="n">
        <v>0</v>
      </c>
      <c r="H134" s="8" t="n">
        <v>0</v>
      </c>
      <c r="I134" s="7"/>
    </row>
    <row r="135" customFormat="false" ht="15" hidden="false" customHeight="false" outlineLevel="0" collapsed="false">
      <c r="A135" s="7" t="s">
        <v>137</v>
      </c>
      <c r="B135" s="20" t="n">
        <v>46143</v>
      </c>
      <c r="C135" s="7" t="s">
        <v>153</v>
      </c>
      <c r="D135" s="7" t="s">
        <v>3036</v>
      </c>
      <c r="E135" s="7" t="s">
        <v>3038</v>
      </c>
      <c r="F135" s="16" t="n">
        <v>150</v>
      </c>
      <c r="G135" s="22" t="n">
        <v>0</v>
      </c>
      <c r="H135" s="8" t="n">
        <v>0</v>
      </c>
      <c r="I135" s="7"/>
    </row>
    <row r="136" customFormat="false" ht="15" hidden="false" customHeight="false" outlineLevel="0" collapsed="false">
      <c r="A136" s="7" t="s">
        <v>137</v>
      </c>
      <c r="B136" s="20" t="n">
        <v>46174</v>
      </c>
      <c r="C136" s="7" t="s">
        <v>149</v>
      </c>
      <c r="D136" s="7" t="s">
        <v>3036</v>
      </c>
      <c r="E136" s="7" t="s">
        <v>3037</v>
      </c>
      <c r="F136" s="16" t="n">
        <v>200</v>
      </c>
      <c r="G136" s="22" t="n">
        <v>0</v>
      </c>
      <c r="H136" s="8" t="n">
        <v>0</v>
      </c>
      <c r="I136" s="7"/>
    </row>
    <row r="137" customFormat="false" ht="15" hidden="false" customHeight="false" outlineLevel="0" collapsed="false">
      <c r="A137" s="7" t="s">
        <v>137</v>
      </c>
      <c r="B137" s="20" t="n">
        <v>46174</v>
      </c>
      <c r="C137" s="7" t="s">
        <v>153</v>
      </c>
      <c r="D137" s="7" t="s">
        <v>3036</v>
      </c>
      <c r="E137" s="7" t="s">
        <v>3038</v>
      </c>
      <c r="F137" s="16" t="n">
        <v>150</v>
      </c>
      <c r="G137" s="22" t="n">
        <v>0</v>
      </c>
      <c r="H137" s="8" t="n">
        <v>0</v>
      </c>
      <c r="I137" s="7"/>
    </row>
    <row r="138" customFormat="false" ht="15" hidden="false" customHeight="false" outlineLevel="0" collapsed="false">
      <c r="A138" s="7" t="s">
        <v>137</v>
      </c>
      <c r="B138" s="20" t="n">
        <v>46204</v>
      </c>
      <c r="C138" s="7" t="s">
        <v>149</v>
      </c>
      <c r="D138" s="7" t="s">
        <v>3036</v>
      </c>
      <c r="E138" s="7" t="s">
        <v>3037</v>
      </c>
      <c r="F138" s="16" t="n">
        <v>200</v>
      </c>
      <c r="G138" s="22" t="n">
        <v>0</v>
      </c>
      <c r="H138" s="8" t="n">
        <v>0</v>
      </c>
      <c r="I138" s="7"/>
    </row>
    <row r="139" customFormat="false" ht="15" hidden="false" customHeight="false" outlineLevel="0" collapsed="false">
      <c r="A139" s="7" t="s">
        <v>137</v>
      </c>
      <c r="B139" s="20" t="n">
        <v>46204</v>
      </c>
      <c r="C139" s="7" t="s">
        <v>153</v>
      </c>
      <c r="D139" s="7" t="s">
        <v>3036</v>
      </c>
      <c r="E139" s="7" t="s">
        <v>3038</v>
      </c>
      <c r="F139" s="16" t="n">
        <v>70</v>
      </c>
      <c r="G139" s="22" t="n">
        <v>0</v>
      </c>
      <c r="H139" s="8" t="n">
        <v>0</v>
      </c>
      <c r="I139" s="7"/>
    </row>
    <row r="140" customFormat="false" ht="15" hidden="false" customHeight="false" outlineLevel="0" collapsed="false">
      <c r="A140" s="7" t="s">
        <v>137</v>
      </c>
      <c r="B140" s="20" t="n">
        <v>46235</v>
      </c>
      <c r="C140" s="7" t="s">
        <v>149</v>
      </c>
      <c r="D140" s="7" t="s">
        <v>3036</v>
      </c>
      <c r="E140" s="7" t="s">
        <v>3037</v>
      </c>
      <c r="F140" s="16" t="n">
        <v>20</v>
      </c>
      <c r="G140" s="22" t="n">
        <v>0</v>
      </c>
      <c r="H140" s="8" t="n">
        <v>0</v>
      </c>
      <c r="I140" s="7"/>
    </row>
    <row r="141" customFormat="false" ht="15" hidden="false" customHeight="false" outlineLevel="0" collapsed="false">
      <c r="A141" s="7" t="s">
        <v>137</v>
      </c>
      <c r="B141" s="20" t="n">
        <v>46235</v>
      </c>
      <c r="C141" s="7" t="s">
        <v>153</v>
      </c>
      <c r="D141" s="7" t="s">
        <v>3036</v>
      </c>
      <c r="E141" s="7" t="s">
        <v>3038</v>
      </c>
      <c r="F141" s="16" t="n">
        <v>70</v>
      </c>
      <c r="G141" s="22" t="n">
        <v>0</v>
      </c>
      <c r="H141" s="8" t="n">
        <v>0</v>
      </c>
      <c r="I141" s="7"/>
    </row>
    <row r="142" customFormat="false" ht="15" hidden="false" customHeight="false" outlineLevel="0" collapsed="false">
      <c r="A142" s="7" t="s">
        <v>137</v>
      </c>
      <c r="B142" s="20" t="n">
        <v>46266</v>
      </c>
      <c r="C142" s="7" t="s">
        <v>149</v>
      </c>
      <c r="D142" s="7" t="s">
        <v>3036</v>
      </c>
      <c r="E142" s="7" t="s">
        <v>3037</v>
      </c>
      <c r="F142" s="16" t="n">
        <v>200</v>
      </c>
      <c r="G142" s="22" t="n">
        <v>0</v>
      </c>
      <c r="H142" s="8" t="n">
        <v>0</v>
      </c>
      <c r="I142" s="7"/>
    </row>
    <row r="143" customFormat="false" ht="15" hidden="false" customHeight="false" outlineLevel="0" collapsed="false">
      <c r="A143" s="7" t="s">
        <v>137</v>
      </c>
      <c r="B143" s="20" t="n">
        <v>46266</v>
      </c>
      <c r="C143" s="7" t="s">
        <v>153</v>
      </c>
      <c r="D143" s="7" t="s">
        <v>3036</v>
      </c>
      <c r="E143" s="7" t="s">
        <v>3038</v>
      </c>
      <c r="F143" s="16" t="n">
        <v>150</v>
      </c>
      <c r="G143" s="22" t="n">
        <v>0</v>
      </c>
      <c r="H143" s="8" t="n">
        <v>0</v>
      </c>
      <c r="I143" s="7"/>
    </row>
  </sheetData>
  <autoFilter ref="A1:I1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41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6" min="6" style="0" width="33"/>
    <col collapsed="false" customWidth="true" hidden="false" outlineLevel="0" max="7" min="7" style="0" width="50"/>
  </cols>
  <sheetData>
    <row r="1" customFormat="false" ht="23.85" hidden="false" customHeight="false" outlineLevel="0" collapsed="false">
      <c r="A1" s="11" t="s">
        <v>2675</v>
      </c>
      <c r="B1" s="11" t="s">
        <v>131</v>
      </c>
      <c r="C1" s="11" t="s">
        <v>3039</v>
      </c>
      <c r="D1" s="11" t="s">
        <v>3040</v>
      </c>
      <c r="E1" s="11" t="s">
        <v>3041</v>
      </c>
      <c r="F1" s="11" t="s">
        <v>2812</v>
      </c>
      <c r="G1" s="11" t="s">
        <v>135</v>
      </c>
    </row>
    <row r="2" customFormat="false" ht="15" hidden="false" customHeight="false" outlineLevel="0" collapsed="false">
      <c r="A2" s="7" t="s">
        <v>549</v>
      </c>
      <c r="B2" s="7" t="s">
        <v>137</v>
      </c>
      <c r="C2" s="7" t="s">
        <v>3042</v>
      </c>
      <c r="D2" s="7" t="s">
        <v>3043</v>
      </c>
      <c r="E2" s="16" t="n">
        <v>0</v>
      </c>
      <c r="F2" s="7" t="s">
        <v>3044</v>
      </c>
      <c r="G2" s="7"/>
    </row>
    <row r="3" customFormat="false" ht="15" hidden="false" customHeight="false" outlineLevel="0" collapsed="false">
      <c r="A3" s="7" t="s">
        <v>566</v>
      </c>
      <c r="B3" s="7" t="s">
        <v>137</v>
      </c>
      <c r="C3" s="7" t="s">
        <v>3045</v>
      </c>
      <c r="D3" s="7" t="s">
        <v>3046</v>
      </c>
      <c r="E3" s="16" t="n">
        <v>0</v>
      </c>
      <c r="F3" s="7" t="s">
        <v>3047</v>
      </c>
      <c r="G3" s="7"/>
    </row>
    <row r="4" customFormat="false" ht="15" hidden="false" customHeight="false" outlineLevel="0" collapsed="false">
      <c r="A4" s="7" t="s">
        <v>1283</v>
      </c>
      <c r="B4" s="7" t="s">
        <v>137</v>
      </c>
      <c r="C4" s="7" t="s">
        <v>3048</v>
      </c>
      <c r="D4" s="7" t="s">
        <v>3049</v>
      </c>
      <c r="E4" s="16" t="n">
        <v>0</v>
      </c>
      <c r="F4" s="7"/>
      <c r="G4" s="7"/>
    </row>
    <row r="5" customFormat="false" ht="15" hidden="false" customHeight="false" outlineLevel="0" collapsed="false">
      <c r="A5" s="7" t="s">
        <v>626</v>
      </c>
      <c r="B5" s="7" t="s">
        <v>137</v>
      </c>
      <c r="C5" s="7" t="s">
        <v>3050</v>
      </c>
      <c r="D5" s="7" t="s">
        <v>3051</v>
      </c>
      <c r="E5" s="16" t="n">
        <v>0</v>
      </c>
      <c r="F5" s="7" t="s">
        <v>3052</v>
      </c>
      <c r="G5" s="7"/>
    </row>
    <row r="6" customFormat="false" ht="15" hidden="false" customHeight="false" outlineLevel="0" collapsed="false">
      <c r="A6" s="7" t="s">
        <v>551</v>
      </c>
      <c r="B6" s="7" t="s">
        <v>137</v>
      </c>
      <c r="C6" s="7" t="s">
        <v>3053</v>
      </c>
      <c r="D6" s="7" t="s">
        <v>3054</v>
      </c>
      <c r="E6" s="16" t="n">
        <v>0</v>
      </c>
      <c r="F6" s="7"/>
      <c r="G6" s="7"/>
    </row>
    <row r="7" customFormat="false" ht="15" hidden="false" customHeight="false" outlineLevel="0" collapsed="false">
      <c r="A7" s="7" t="s">
        <v>583</v>
      </c>
      <c r="B7" s="7" t="s">
        <v>137</v>
      </c>
      <c r="C7" s="7" t="s">
        <v>3055</v>
      </c>
      <c r="D7" s="7" t="s">
        <v>3056</v>
      </c>
      <c r="E7" s="16" t="n">
        <v>30</v>
      </c>
      <c r="F7" s="7" t="s">
        <v>3057</v>
      </c>
      <c r="G7" s="7"/>
    </row>
    <row r="8" customFormat="false" ht="15" hidden="false" customHeight="false" outlineLevel="0" collapsed="false">
      <c r="A8" s="7" t="s">
        <v>1010</v>
      </c>
      <c r="B8" s="7" t="s">
        <v>137</v>
      </c>
      <c r="C8" s="7" t="s">
        <v>3058</v>
      </c>
      <c r="D8" s="7" t="s">
        <v>3056</v>
      </c>
      <c r="E8" s="16" t="n">
        <v>30</v>
      </c>
      <c r="F8" s="7" t="s">
        <v>3057</v>
      </c>
      <c r="G8" s="7" t="s">
        <v>3059</v>
      </c>
    </row>
    <row r="9" customFormat="false" ht="15" hidden="false" customHeight="false" outlineLevel="0" collapsed="false">
      <c r="A9" s="7" t="s">
        <v>600</v>
      </c>
      <c r="B9" s="7" t="s">
        <v>137</v>
      </c>
      <c r="C9" s="7" t="s">
        <v>3060</v>
      </c>
      <c r="D9" s="7" t="s">
        <v>3056</v>
      </c>
      <c r="E9" s="16" t="n">
        <v>30</v>
      </c>
      <c r="F9" s="7" t="s">
        <v>3057</v>
      </c>
      <c r="G9" s="7" t="s">
        <v>3061</v>
      </c>
    </row>
    <row r="10" customFormat="false" ht="15" hidden="false" customHeight="false" outlineLevel="0" collapsed="false">
      <c r="A10" s="7" t="s">
        <v>603</v>
      </c>
      <c r="B10" s="7" t="s">
        <v>137</v>
      </c>
      <c r="C10" s="7" t="s">
        <v>3062</v>
      </c>
      <c r="D10" s="7" t="s">
        <v>3056</v>
      </c>
      <c r="E10" s="16" t="n">
        <v>30</v>
      </c>
      <c r="F10" s="7" t="s">
        <v>3057</v>
      </c>
      <c r="G10" s="7"/>
    </row>
    <row r="11" customFormat="false" ht="15" hidden="false" customHeight="false" outlineLevel="0" collapsed="false">
      <c r="A11" s="7" t="s">
        <v>593</v>
      </c>
      <c r="B11" s="7" t="s">
        <v>137</v>
      </c>
      <c r="C11" s="7" t="s">
        <v>3063</v>
      </c>
      <c r="D11" s="7" t="s">
        <v>3056</v>
      </c>
      <c r="E11" s="16" t="n">
        <v>30</v>
      </c>
      <c r="F11" s="7" t="s">
        <v>3057</v>
      </c>
      <c r="G11" s="7"/>
    </row>
    <row r="12" customFormat="false" ht="15" hidden="false" customHeight="false" outlineLevel="0" collapsed="false">
      <c r="A12" s="7" t="s">
        <v>1016</v>
      </c>
      <c r="B12" s="7" t="s">
        <v>137</v>
      </c>
      <c r="C12" s="7" t="s">
        <v>3064</v>
      </c>
      <c r="D12" s="7" t="s">
        <v>3056</v>
      </c>
      <c r="E12" s="16" t="n">
        <v>30</v>
      </c>
      <c r="F12" s="7" t="s">
        <v>3057</v>
      </c>
      <c r="G12" s="7"/>
    </row>
    <row r="13" customFormat="false" ht="15" hidden="false" customHeight="false" outlineLevel="0" collapsed="false">
      <c r="A13" s="7" t="s">
        <v>606</v>
      </c>
      <c r="B13" s="7" t="s">
        <v>137</v>
      </c>
      <c r="C13" s="7" t="s">
        <v>3065</v>
      </c>
      <c r="D13" s="7" t="s">
        <v>3056</v>
      </c>
      <c r="E13" s="16" t="n">
        <v>30</v>
      </c>
      <c r="F13" s="7" t="s">
        <v>3057</v>
      </c>
      <c r="G13" s="7"/>
    </row>
    <row r="14" customFormat="false" ht="15" hidden="false" customHeight="false" outlineLevel="0" collapsed="false">
      <c r="A14" s="7" t="s">
        <v>614</v>
      </c>
      <c r="B14" s="7" t="s">
        <v>137</v>
      </c>
      <c r="C14" s="7" t="s">
        <v>3066</v>
      </c>
      <c r="D14" s="7" t="s">
        <v>3056</v>
      </c>
      <c r="E14" s="16" t="n">
        <v>30</v>
      </c>
      <c r="F14" s="7" t="s">
        <v>3057</v>
      </c>
      <c r="G14" s="7"/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11" t="s">
        <v>2687</v>
      </c>
      <c r="B1" s="11" t="s">
        <v>131</v>
      </c>
      <c r="C1" s="11" t="s">
        <v>3039</v>
      </c>
      <c r="D1" s="11" t="s">
        <v>50</v>
      </c>
      <c r="E1" s="11" t="s">
        <v>3041</v>
      </c>
      <c r="F1" s="11" t="s">
        <v>2812</v>
      </c>
      <c r="G1" s="11" t="s">
        <v>135</v>
      </c>
    </row>
    <row r="2" customFormat="false" ht="15" hidden="false" customHeight="false" outlineLevel="0" collapsed="false">
      <c r="A2" s="7" t="s">
        <v>563</v>
      </c>
      <c r="B2" s="7" t="s">
        <v>137</v>
      </c>
      <c r="C2" s="7" t="s">
        <v>3067</v>
      </c>
      <c r="D2" s="7" t="s">
        <v>3068</v>
      </c>
      <c r="E2" s="16" t="n">
        <v>30</v>
      </c>
      <c r="F2" s="7" t="s">
        <v>3044</v>
      </c>
      <c r="G2" s="7"/>
    </row>
    <row r="3" customFormat="false" ht="15" hidden="false" customHeight="false" outlineLevel="0" collapsed="false">
      <c r="A3" s="7" t="s">
        <v>628</v>
      </c>
      <c r="B3" s="7" t="s">
        <v>137</v>
      </c>
      <c r="C3" s="7" t="s">
        <v>3069</v>
      </c>
      <c r="D3" s="7" t="s">
        <v>3070</v>
      </c>
      <c r="E3" s="16" t="n">
        <v>0</v>
      </c>
      <c r="F3" s="7" t="s">
        <v>3071</v>
      </c>
      <c r="G3" s="7"/>
    </row>
    <row r="4" customFormat="false" ht="15" hidden="false" customHeight="false" outlineLevel="0" collapsed="false">
      <c r="A4" s="7" t="s">
        <v>589</v>
      </c>
      <c r="B4" s="7" t="s">
        <v>137</v>
      </c>
      <c r="C4" s="7" t="s">
        <v>3072</v>
      </c>
      <c r="D4" s="7" t="s">
        <v>3073</v>
      </c>
      <c r="E4" s="16" t="n">
        <v>30</v>
      </c>
      <c r="F4" s="7" t="s">
        <v>3074</v>
      </c>
      <c r="G4" s="7"/>
    </row>
    <row r="5" customFormat="false" ht="15" hidden="false" customHeight="false" outlineLevel="0" collapsed="false">
      <c r="A5" s="7" t="s">
        <v>1259</v>
      </c>
      <c r="B5" s="7" t="s">
        <v>137</v>
      </c>
      <c r="C5" s="7" t="s">
        <v>3075</v>
      </c>
      <c r="D5" s="7" t="s">
        <v>3076</v>
      </c>
      <c r="E5" s="16" t="n">
        <v>30</v>
      </c>
      <c r="F5" s="7" t="s">
        <v>3077</v>
      </c>
      <c r="G5" s="7"/>
    </row>
    <row r="6" customFormat="false" ht="15" hidden="false" customHeight="false" outlineLevel="0" collapsed="false">
      <c r="A6" s="7" t="s">
        <v>1278</v>
      </c>
      <c r="B6" s="7" t="s">
        <v>137</v>
      </c>
      <c r="C6" s="7" t="s">
        <v>3078</v>
      </c>
      <c r="D6" s="7" t="s">
        <v>3079</v>
      </c>
      <c r="E6" s="16" t="n">
        <v>30</v>
      </c>
      <c r="F6" s="7" t="s">
        <v>3080</v>
      </c>
      <c r="G6" s="7"/>
    </row>
    <row r="7" customFormat="false" ht="15" hidden="false" customHeight="false" outlineLevel="0" collapsed="false">
      <c r="A7" s="7" t="s">
        <v>591</v>
      </c>
      <c r="B7" s="7" t="s">
        <v>137</v>
      </c>
      <c r="C7" s="7" t="s">
        <v>3081</v>
      </c>
      <c r="D7" s="7" t="s">
        <v>3082</v>
      </c>
      <c r="E7" s="16" t="n">
        <v>30</v>
      </c>
      <c r="F7" s="7" t="s">
        <v>3083</v>
      </c>
      <c r="G7" s="7"/>
    </row>
    <row r="8" customFormat="false" ht="15" hidden="false" customHeight="false" outlineLevel="0" collapsed="false">
      <c r="A8" s="7" t="s">
        <v>609</v>
      </c>
      <c r="B8" s="7" t="s">
        <v>137</v>
      </c>
      <c r="C8" s="7" t="s">
        <v>2992</v>
      </c>
      <c r="D8" s="7" t="s">
        <v>3084</v>
      </c>
      <c r="E8" s="16" t="n">
        <v>0</v>
      </c>
      <c r="F8" s="7"/>
      <c r="G8" s="7"/>
    </row>
    <row r="9" customFormat="false" ht="15" hidden="false" customHeight="false" outlineLevel="0" collapsed="false">
      <c r="A9" s="7" t="s">
        <v>778</v>
      </c>
      <c r="B9" s="7" t="s">
        <v>137</v>
      </c>
      <c r="C9" s="7" t="s">
        <v>2998</v>
      </c>
      <c r="D9" s="7" t="s">
        <v>3085</v>
      </c>
      <c r="E9" s="16" t="n">
        <v>0</v>
      </c>
      <c r="F9" s="7"/>
      <c r="G9" s="7"/>
    </row>
    <row r="10" customFormat="false" ht="15" hidden="false" customHeight="false" outlineLevel="0" collapsed="false">
      <c r="A10" s="7" t="s">
        <v>556</v>
      </c>
      <c r="B10" s="7" t="s">
        <v>137</v>
      </c>
      <c r="C10" s="7" t="s">
        <v>3004</v>
      </c>
      <c r="D10" s="7" t="s">
        <v>3086</v>
      </c>
      <c r="E10" s="16" t="n">
        <v>0</v>
      </c>
      <c r="F10" s="7"/>
      <c r="G10" s="7"/>
    </row>
    <row r="11" customFormat="false" ht="15" hidden="false" customHeight="false" outlineLevel="0" collapsed="false">
      <c r="A11" s="7" t="s">
        <v>768</v>
      </c>
      <c r="B11" s="7" t="s">
        <v>137</v>
      </c>
      <c r="C11" s="7" t="s">
        <v>3008</v>
      </c>
      <c r="D11" s="7" t="s">
        <v>3087</v>
      </c>
      <c r="E11" s="16" t="n">
        <v>0</v>
      </c>
      <c r="F11" s="7"/>
      <c r="G11" s="7"/>
    </row>
    <row r="12" customFormat="false" ht="15" hidden="false" customHeight="false" outlineLevel="0" collapsed="false">
      <c r="A12" s="7" t="s">
        <v>840</v>
      </c>
      <c r="B12" s="7" t="s">
        <v>137</v>
      </c>
      <c r="C12" s="7" t="s">
        <v>3088</v>
      </c>
      <c r="D12" s="7" t="s">
        <v>257</v>
      </c>
      <c r="E12" s="16" t="n">
        <v>0</v>
      </c>
      <c r="F12" s="7"/>
      <c r="G12" s="7"/>
    </row>
    <row r="13" customFormat="false" ht="15" hidden="false" customHeight="false" outlineLevel="0" collapsed="false">
      <c r="A13" s="7" t="s">
        <v>792</v>
      </c>
      <c r="B13" s="7" t="s">
        <v>137</v>
      </c>
      <c r="C13" s="7" t="s">
        <v>3089</v>
      </c>
      <c r="D13" s="7" t="s">
        <v>3090</v>
      </c>
      <c r="E13" s="16" t="n">
        <v>0</v>
      </c>
      <c r="F13" s="7"/>
      <c r="G13" s="7"/>
    </row>
    <row r="14" customFormat="false" ht="15" hidden="false" customHeight="false" outlineLevel="0" collapsed="false">
      <c r="A14" s="7" t="s">
        <v>538</v>
      </c>
      <c r="B14" s="7" t="s">
        <v>137</v>
      </c>
      <c r="C14" s="7" t="s">
        <v>3091</v>
      </c>
      <c r="D14" s="7" t="s">
        <v>3092</v>
      </c>
      <c r="E14" s="16" t="n">
        <v>30</v>
      </c>
      <c r="F14" s="7" t="s">
        <v>3093</v>
      </c>
      <c r="G14" s="7"/>
    </row>
    <row r="15" customFormat="false" ht="15" hidden="false" customHeight="false" outlineLevel="0" collapsed="false">
      <c r="A15" s="7" t="s">
        <v>633</v>
      </c>
      <c r="B15" s="7" t="s">
        <v>137</v>
      </c>
      <c r="C15" s="7" t="s">
        <v>3094</v>
      </c>
      <c r="D15" s="7" t="s">
        <v>3095</v>
      </c>
      <c r="E15" s="16" t="n">
        <v>0</v>
      </c>
      <c r="F15" s="7"/>
      <c r="G15" s="7"/>
    </row>
    <row r="16" customFormat="false" ht="15" hidden="false" customHeight="false" outlineLevel="0" collapsed="false">
      <c r="A16" s="7" t="s">
        <v>755</v>
      </c>
      <c r="B16" s="7" t="s">
        <v>137</v>
      </c>
      <c r="C16" s="7" t="s">
        <v>3096</v>
      </c>
      <c r="D16" s="7" t="s">
        <v>3097</v>
      </c>
      <c r="E16" s="16" t="n">
        <v>0</v>
      </c>
      <c r="F16" s="7"/>
      <c r="G16" s="7"/>
    </row>
    <row r="17" customFormat="false" ht="15" hidden="false" customHeight="false" outlineLevel="0" collapsed="false">
      <c r="A17" s="7" t="s">
        <v>547</v>
      </c>
      <c r="B17" s="7" t="s">
        <v>137</v>
      </c>
      <c r="C17" s="7" t="s">
        <v>3098</v>
      </c>
      <c r="D17" s="7" t="s">
        <v>3099</v>
      </c>
      <c r="E17" s="16" t="n">
        <v>15</v>
      </c>
      <c r="F17" s="7"/>
      <c r="G17" s="7"/>
    </row>
    <row r="18" customFormat="false" ht="15" hidden="false" customHeight="false" outlineLevel="0" collapsed="false">
      <c r="A18" s="7" t="s">
        <v>541</v>
      </c>
      <c r="B18" s="7" t="s">
        <v>137</v>
      </c>
      <c r="C18" s="7" t="s">
        <v>3100</v>
      </c>
      <c r="D18" s="7" t="s">
        <v>369</v>
      </c>
      <c r="E18" s="16" t="n">
        <v>0</v>
      </c>
      <c r="F18" s="7"/>
      <c r="G18" s="7"/>
    </row>
    <row r="19" customFormat="false" ht="15" hidden="false" customHeight="false" outlineLevel="0" collapsed="false">
      <c r="A19" s="7" t="s">
        <v>1114</v>
      </c>
      <c r="B19" s="7" t="s">
        <v>137</v>
      </c>
      <c r="C19" s="7" t="s">
        <v>3101</v>
      </c>
      <c r="D19" s="7" t="s">
        <v>3102</v>
      </c>
      <c r="E19" s="16" t="n">
        <v>0</v>
      </c>
      <c r="F19" s="7"/>
      <c r="G19" s="7"/>
    </row>
    <row r="20" customFormat="false" ht="15" hidden="false" customHeight="false" outlineLevel="0" collapsed="false">
      <c r="A20" s="7" t="s">
        <v>820</v>
      </c>
      <c r="B20" s="7" t="s">
        <v>137</v>
      </c>
      <c r="C20" s="7" t="s">
        <v>3103</v>
      </c>
      <c r="D20" s="7" t="s">
        <v>3104</v>
      </c>
      <c r="E20" s="16" t="n">
        <v>0</v>
      </c>
      <c r="F20" s="7"/>
      <c r="G20" s="7"/>
    </row>
    <row r="21" customFormat="false" ht="15" hidden="false" customHeight="false" outlineLevel="0" collapsed="false">
      <c r="A21" s="7" t="s">
        <v>3105</v>
      </c>
      <c r="B21" s="7" t="s">
        <v>137</v>
      </c>
      <c r="C21" s="7" t="s">
        <v>3106</v>
      </c>
      <c r="D21" s="7" t="s">
        <v>3107</v>
      </c>
      <c r="E21" s="16" t="n">
        <v>0</v>
      </c>
      <c r="F21" s="7"/>
      <c r="G21" s="7"/>
    </row>
    <row r="22" customFormat="false" ht="15" hidden="false" customHeight="false" outlineLevel="0" collapsed="false">
      <c r="A22" s="7" t="s">
        <v>805</v>
      </c>
      <c r="B22" s="7" t="s">
        <v>137</v>
      </c>
      <c r="C22" s="7" t="s">
        <v>3108</v>
      </c>
      <c r="D22" s="7" t="s">
        <v>3109</v>
      </c>
      <c r="E22" s="16" t="n">
        <v>0</v>
      </c>
      <c r="F22" s="7"/>
      <c r="G22" s="7"/>
    </row>
    <row r="23" customFormat="false" ht="15" hidden="false" customHeight="false" outlineLevel="0" collapsed="false">
      <c r="A23" s="7" t="s">
        <v>1559</v>
      </c>
      <c r="B23" s="7" t="s">
        <v>137</v>
      </c>
      <c r="C23" s="7" t="s">
        <v>3110</v>
      </c>
      <c r="D23" s="7" t="s">
        <v>3111</v>
      </c>
      <c r="E23" s="16" t="n">
        <v>0</v>
      </c>
      <c r="F23" s="7"/>
      <c r="G23" s="7"/>
    </row>
  </sheetData>
  <autoFilter ref="A1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31"/>
    <col collapsed="false" customWidth="true" hidden="false" outlineLevel="0" max="5" min="5" style="0" width="42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11" t="s">
        <v>216</v>
      </c>
      <c r="B1" s="11" t="s">
        <v>217</v>
      </c>
      <c r="C1" s="11" t="s">
        <v>214</v>
      </c>
      <c r="D1" s="11" t="s">
        <v>728</v>
      </c>
      <c r="E1" s="11" t="s">
        <v>3112</v>
      </c>
      <c r="F1" s="11" t="s">
        <v>3113</v>
      </c>
    </row>
    <row r="2" customFormat="false" ht="15" hidden="false" customHeight="false" outlineLevel="0" collapsed="false">
      <c r="A2" s="7" t="s">
        <v>250</v>
      </c>
      <c r="B2" s="7" t="s">
        <v>251</v>
      </c>
      <c r="C2" s="7" t="s">
        <v>248</v>
      </c>
      <c r="D2" s="7" t="s">
        <v>249</v>
      </c>
      <c r="E2" s="7" t="s">
        <v>3114</v>
      </c>
      <c r="F2" s="7" t="s">
        <v>349</v>
      </c>
    </row>
    <row r="3" customFormat="false" ht="15" hidden="false" customHeight="false" outlineLevel="0" collapsed="false">
      <c r="A3" s="7" t="s">
        <v>292</v>
      </c>
      <c r="B3" s="7" t="s">
        <v>293</v>
      </c>
      <c r="C3" s="7" t="s">
        <v>248</v>
      </c>
      <c r="D3" s="7" t="s">
        <v>249</v>
      </c>
      <c r="E3" s="7" t="s">
        <v>3114</v>
      </c>
      <c r="F3" s="7" t="s">
        <v>349</v>
      </c>
    </row>
    <row r="4" customFormat="false" ht="15" hidden="false" customHeight="false" outlineLevel="0" collapsed="false">
      <c r="A4" s="7" t="s">
        <v>294</v>
      </c>
      <c r="B4" s="7" t="s">
        <v>295</v>
      </c>
      <c r="C4" s="7" t="s">
        <v>248</v>
      </c>
      <c r="D4" s="7" t="s">
        <v>249</v>
      </c>
      <c r="E4" s="7" t="s">
        <v>3114</v>
      </c>
      <c r="F4" s="7" t="s">
        <v>349</v>
      </c>
    </row>
    <row r="5" customFormat="false" ht="15" hidden="false" customHeight="false" outlineLevel="0" collapsed="false">
      <c r="A5" s="7" t="s">
        <v>3115</v>
      </c>
      <c r="B5" s="7" t="s">
        <v>3116</v>
      </c>
      <c r="C5" s="7" t="s">
        <v>248</v>
      </c>
      <c r="D5" s="7" t="s">
        <v>249</v>
      </c>
      <c r="E5" s="7" t="s">
        <v>3114</v>
      </c>
      <c r="F5" s="7" t="s">
        <v>349</v>
      </c>
    </row>
    <row r="6" customFormat="false" ht="15" hidden="false" customHeight="false" outlineLevel="0" collapsed="false">
      <c r="A6" s="7" t="s">
        <v>3117</v>
      </c>
      <c r="B6" s="7" t="s">
        <v>3118</v>
      </c>
      <c r="C6" s="7" t="s">
        <v>248</v>
      </c>
      <c r="D6" s="7" t="s">
        <v>249</v>
      </c>
      <c r="E6" s="7" t="s">
        <v>3114</v>
      </c>
      <c r="F6" s="7" t="s">
        <v>351</v>
      </c>
    </row>
    <row r="7" customFormat="false" ht="15" hidden="false" customHeight="false" outlineLevel="0" collapsed="false">
      <c r="A7" s="7" t="s">
        <v>3119</v>
      </c>
      <c r="B7" s="7" t="s">
        <v>3120</v>
      </c>
      <c r="C7" s="7" t="s">
        <v>248</v>
      </c>
      <c r="D7" s="7" t="s">
        <v>3121</v>
      </c>
      <c r="E7" s="7" t="s">
        <v>3114</v>
      </c>
      <c r="F7" s="7" t="s">
        <v>351</v>
      </c>
    </row>
    <row r="8" customFormat="false" ht="15" hidden="false" customHeight="false" outlineLevel="0" collapsed="false">
      <c r="A8" s="7" t="s">
        <v>3122</v>
      </c>
      <c r="B8" s="7" t="s">
        <v>3123</v>
      </c>
      <c r="C8" s="7" t="s">
        <v>248</v>
      </c>
      <c r="D8" s="7" t="s">
        <v>3124</v>
      </c>
      <c r="E8" s="7" t="s">
        <v>3114</v>
      </c>
      <c r="F8" s="7" t="s">
        <v>351</v>
      </c>
    </row>
    <row r="9" customFormat="false" ht="15" hidden="false" customHeight="false" outlineLevel="0" collapsed="false">
      <c r="A9" s="7" t="s">
        <v>3125</v>
      </c>
      <c r="B9" s="7" t="s">
        <v>3126</v>
      </c>
      <c r="C9" s="7" t="s">
        <v>248</v>
      </c>
      <c r="D9" s="7" t="s">
        <v>3124</v>
      </c>
      <c r="E9" s="7" t="s">
        <v>3114</v>
      </c>
      <c r="F9" s="7" t="s">
        <v>351</v>
      </c>
    </row>
    <row r="10" customFormat="false" ht="15" hidden="false" customHeight="false" outlineLevel="0" collapsed="false">
      <c r="A10" s="7" t="s">
        <v>3127</v>
      </c>
      <c r="B10" s="7" t="s">
        <v>3128</v>
      </c>
      <c r="C10" s="7" t="s">
        <v>248</v>
      </c>
      <c r="D10" s="7" t="s">
        <v>3129</v>
      </c>
      <c r="E10" s="7" t="s">
        <v>3114</v>
      </c>
      <c r="F10" s="7" t="s">
        <v>361</v>
      </c>
    </row>
    <row r="11" customFormat="false" ht="15" hidden="false" customHeight="false" outlineLevel="0" collapsed="false">
      <c r="A11" s="7" t="s">
        <v>3130</v>
      </c>
      <c r="B11" s="7" t="s">
        <v>3131</v>
      </c>
      <c r="C11" s="7" t="s">
        <v>248</v>
      </c>
      <c r="D11" s="7" t="s">
        <v>3129</v>
      </c>
      <c r="E11" s="7" t="s">
        <v>3114</v>
      </c>
      <c r="F11" s="7" t="s">
        <v>361</v>
      </c>
    </row>
    <row r="12" customFormat="false" ht="15" hidden="false" customHeight="false" outlineLevel="0" collapsed="false">
      <c r="A12" s="7" t="s">
        <v>3132</v>
      </c>
      <c r="B12" s="7" t="s">
        <v>3133</v>
      </c>
      <c r="C12" s="7" t="s">
        <v>248</v>
      </c>
      <c r="D12" s="7" t="s">
        <v>3129</v>
      </c>
      <c r="E12" s="7" t="s">
        <v>3114</v>
      </c>
      <c r="F12" s="7" t="s">
        <v>361</v>
      </c>
    </row>
    <row r="13" customFormat="false" ht="15" hidden="false" customHeight="false" outlineLevel="0" collapsed="false">
      <c r="A13" s="7" t="s">
        <v>3134</v>
      </c>
      <c r="B13" s="7" t="s">
        <v>3135</v>
      </c>
      <c r="C13" s="7" t="s">
        <v>248</v>
      </c>
      <c r="D13" s="7" t="s">
        <v>3129</v>
      </c>
      <c r="E13" s="7" t="s">
        <v>3114</v>
      </c>
      <c r="F13" s="7" t="s">
        <v>361</v>
      </c>
    </row>
    <row r="14" customFormat="false" ht="15" hidden="false" customHeight="false" outlineLevel="0" collapsed="false">
      <c r="A14" s="7" t="s">
        <v>3136</v>
      </c>
      <c r="B14" s="7" t="s">
        <v>3137</v>
      </c>
      <c r="C14" s="7" t="s">
        <v>248</v>
      </c>
      <c r="D14" s="7" t="s">
        <v>3129</v>
      </c>
      <c r="E14" s="7" t="s">
        <v>3114</v>
      </c>
      <c r="F14" s="7" t="s">
        <v>361</v>
      </c>
    </row>
    <row r="15" customFormat="false" ht="15" hidden="false" customHeight="false" outlineLevel="0" collapsed="false">
      <c r="A15" s="7" t="s">
        <v>3138</v>
      </c>
      <c r="B15" s="7" t="s">
        <v>3139</v>
      </c>
      <c r="C15" s="7" t="s">
        <v>248</v>
      </c>
      <c r="D15" s="7" t="s">
        <v>3140</v>
      </c>
      <c r="E15" s="7" t="s">
        <v>3114</v>
      </c>
      <c r="F15" s="7" t="s">
        <v>351</v>
      </c>
    </row>
    <row r="16" customFormat="false" ht="15" hidden="false" customHeight="false" outlineLevel="0" collapsed="false">
      <c r="A16" s="7" t="s">
        <v>279</v>
      </c>
      <c r="B16" s="7" t="s">
        <v>280</v>
      </c>
      <c r="C16" s="7" t="s">
        <v>248</v>
      </c>
      <c r="D16" s="7" t="s">
        <v>278</v>
      </c>
      <c r="E16" s="7" t="s">
        <v>3114</v>
      </c>
      <c r="F16" s="7" t="s">
        <v>351</v>
      </c>
    </row>
    <row r="17" customFormat="false" ht="15" hidden="false" customHeight="false" outlineLevel="0" collapsed="false">
      <c r="A17" s="7" t="s">
        <v>281</v>
      </c>
      <c r="B17" s="7" t="s">
        <v>282</v>
      </c>
      <c r="C17" s="7" t="s">
        <v>248</v>
      </c>
      <c r="D17" s="7" t="s">
        <v>278</v>
      </c>
      <c r="E17" s="7" t="s">
        <v>3114</v>
      </c>
      <c r="F17" s="7" t="s">
        <v>351</v>
      </c>
    </row>
    <row r="18" customFormat="false" ht="15" hidden="false" customHeight="false" outlineLevel="0" collapsed="false">
      <c r="A18" s="7" t="s">
        <v>3141</v>
      </c>
      <c r="B18" s="7" t="s">
        <v>3142</v>
      </c>
      <c r="C18" s="7" t="s">
        <v>248</v>
      </c>
      <c r="D18" s="7" t="s">
        <v>3143</v>
      </c>
      <c r="E18" s="7" t="s">
        <v>3114</v>
      </c>
      <c r="F18" s="7" t="s">
        <v>359</v>
      </c>
    </row>
    <row r="19" customFormat="false" ht="15" hidden="false" customHeight="false" outlineLevel="0" collapsed="false">
      <c r="A19" s="7" t="s">
        <v>3144</v>
      </c>
      <c r="B19" s="7" t="s">
        <v>3145</v>
      </c>
      <c r="C19" s="7" t="s">
        <v>248</v>
      </c>
      <c r="D19" s="7" t="s">
        <v>3143</v>
      </c>
      <c r="E19" s="7" t="s">
        <v>3114</v>
      </c>
      <c r="F19" s="7" t="s">
        <v>359</v>
      </c>
    </row>
    <row r="20" customFormat="false" ht="15" hidden="false" customHeight="false" outlineLevel="0" collapsed="false">
      <c r="A20" s="7" t="s">
        <v>287</v>
      </c>
      <c r="B20" s="7" t="s">
        <v>288</v>
      </c>
      <c r="C20" s="7" t="s">
        <v>248</v>
      </c>
      <c r="D20" s="7" t="s">
        <v>286</v>
      </c>
      <c r="E20" s="7" t="s">
        <v>3114</v>
      </c>
      <c r="F20" s="7" t="s">
        <v>358</v>
      </c>
    </row>
    <row r="21" customFormat="false" ht="15" hidden="false" customHeight="false" outlineLevel="0" collapsed="false">
      <c r="A21" s="7" t="s">
        <v>303</v>
      </c>
      <c r="B21" s="7" t="s">
        <v>304</v>
      </c>
      <c r="C21" s="7" t="s">
        <v>248</v>
      </c>
      <c r="D21" s="7" t="s">
        <v>286</v>
      </c>
      <c r="E21" s="7" t="s">
        <v>3114</v>
      </c>
      <c r="F21" s="7" t="s">
        <v>358</v>
      </c>
    </row>
    <row r="22" customFormat="false" ht="15" hidden="false" customHeight="false" outlineLevel="0" collapsed="false">
      <c r="A22" s="7" t="s">
        <v>3146</v>
      </c>
      <c r="B22" s="7" t="s">
        <v>3147</v>
      </c>
      <c r="C22" s="7" t="s">
        <v>248</v>
      </c>
      <c r="D22" s="7" t="s">
        <v>3148</v>
      </c>
      <c r="E22" s="7" t="s">
        <v>3114</v>
      </c>
      <c r="F22" s="7" t="s">
        <v>366</v>
      </c>
    </row>
    <row r="23" customFormat="false" ht="15" hidden="false" customHeight="false" outlineLevel="0" collapsed="false">
      <c r="A23" s="7" t="s">
        <v>3149</v>
      </c>
      <c r="B23" s="7" t="s">
        <v>3150</v>
      </c>
      <c r="C23" s="7" t="s">
        <v>248</v>
      </c>
      <c r="D23" s="7" t="s">
        <v>3148</v>
      </c>
      <c r="E23" s="7" t="s">
        <v>3114</v>
      </c>
      <c r="F23" s="7" t="s">
        <v>366</v>
      </c>
    </row>
    <row r="24" customFormat="false" ht="15" hidden="false" customHeight="false" outlineLevel="0" collapsed="false">
      <c r="A24" s="7" t="s">
        <v>3151</v>
      </c>
      <c r="B24" s="7" t="s">
        <v>3152</v>
      </c>
      <c r="C24" s="7" t="s">
        <v>3153</v>
      </c>
      <c r="D24" s="7" t="s">
        <v>3154</v>
      </c>
      <c r="E24" s="7" t="s">
        <v>3155</v>
      </c>
      <c r="F24" s="7" t="s">
        <v>3156</v>
      </c>
    </row>
    <row r="25" customFormat="false" ht="15" hidden="false" customHeight="false" outlineLevel="0" collapsed="false">
      <c r="A25" s="7" t="s">
        <v>266</v>
      </c>
      <c r="B25" s="7" t="s">
        <v>265</v>
      </c>
      <c r="C25" s="7" t="s">
        <v>221</v>
      </c>
      <c r="D25" s="7" t="s">
        <v>265</v>
      </c>
      <c r="E25" s="7" t="s">
        <v>3114</v>
      </c>
      <c r="F25" s="7" t="s">
        <v>372</v>
      </c>
    </row>
    <row r="26" customFormat="false" ht="15" hidden="false" customHeight="false" outlineLevel="0" collapsed="false">
      <c r="A26" s="7" t="s">
        <v>255</v>
      </c>
      <c r="B26" s="7" t="s">
        <v>256</v>
      </c>
      <c r="C26" s="7" t="s">
        <v>221</v>
      </c>
      <c r="D26" s="7" t="s">
        <v>254</v>
      </c>
      <c r="E26" s="7" t="s">
        <v>3114</v>
      </c>
      <c r="F26" s="7" t="s">
        <v>356</v>
      </c>
    </row>
    <row r="27" customFormat="false" ht="15" hidden="false" customHeight="false" outlineLevel="0" collapsed="false">
      <c r="A27" s="7" t="s">
        <v>264</v>
      </c>
      <c r="B27" s="7" t="s">
        <v>263</v>
      </c>
      <c r="C27" s="7" t="s">
        <v>221</v>
      </c>
      <c r="D27" s="7" t="s">
        <v>263</v>
      </c>
      <c r="E27" s="7" t="s">
        <v>3114</v>
      </c>
      <c r="F27" s="7" t="s">
        <v>348</v>
      </c>
    </row>
    <row r="28" customFormat="false" ht="15" hidden="false" customHeight="false" outlineLevel="0" collapsed="false">
      <c r="A28" s="7" t="s">
        <v>258</v>
      </c>
      <c r="B28" s="7" t="s">
        <v>259</v>
      </c>
      <c r="C28" s="7" t="s">
        <v>221</v>
      </c>
      <c r="D28" s="7" t="s">
        <v>257</v>
      </c>
      <c r="E28" s="7" t="s">
        <v>3114</v>
      </c>
      <c r="F28" s="7" t="s">
        <v>230</v>
      </c>
    </row>
    <row r="29" customFormat="false" ht="15" hidden="false" customHeight="false" outlineLevel="0" collapsed="false">
      <c r="A29" s="7" t="s">
        <v>223</v>
      </c>
      <c r="B29" s="7" t="s">
        <v>224</v>
      </c>
      <c r="C29" s="7" t="s">
        <v>221</v>
      </c>
      <c r="D29" s="7" t="s">
        <v>222</v>
      </c>
      <c r="E29" s="7" t="s">
        <v>3114</v>
      </c>
      <c r="F29" s="7" t="s">
        <v>350</v>
      </c>
    </row>
    <row r="30" customFormat="false" ht="15" hidden="false" customHeight="false" outlineLevel="0" collapsed="false">
      <c r="A30" s="7" t="s">
        <v>290</v>
      </c>
      <c r="B30" s="7" t="s">
        <v>291</v>
      </c>
      <c r="C30" s="7" t="s">
        <v>221</v>
      </c>
      <c r="D30" s="7" t="s">
        <v>289</v>
      </c>
      <c r="E30" s="7" t="s">
        <v>3114</v>
      </c>
      <c r="F30" s="7" t="s">
        <v>350</v>
      </c>
    </row>
    <row r="31" customFormat="false" ht="15" hidden="false" customHeight="false" outlineLevel="0" collapsed="false">
      <c r="A31" s="7" t="s">
        <v>296</v>
      </c>
      <c r="B31" s="7" t="s">
        <v>297</v>
      </c>
      <c r="C31" s="7" t="s">
        <v>221</v>
      </c>
      <c r="D31" s="7" t="s">
        <v>289</v>
      </c>
      <c r="E31" s="7" t="s">
        <v>3114</v>
      </c>
      <c r="F31" s="7" t="s">
        <v>350</v>
      </c>
    </row>
    <row r="32" customFormat="false" ht="15" hidden="false" customHeight="false" outlineLevel="0" collapsed="false">
      <c r="A32" s="7" t="s">
        <v>3157</v>
      </c>
      <c r="B32" s="7" t="s">
        <v>3158</v>
      </c>
      <c r="C32" s="7" t="s">
        <v>221</v>
      </c>
      <c r="D32" s="7" t="s">
        <v>3159</v>
      </c>
      <c r="E32" s="7" t="s">
        <v>3114</v>
      </c>
      <c r="F32" s="7" t="s">
        <v>355</v>
      </c>
    </row>
    <row r="33" customFormat="false" ht="15" hidden="false" customHeight="false" outlineLevel="0" collapsed="false">
      <c r="A33" s="7" t="s">
        <v>3160</v>
      </c>
      <c r="B33" s="7" t="s">
        <v>3161</v>
      </c>
      <c r="C33" s="7" t="s">
        <v>221</v>
      </c>
      <c r="D33" s="7" t="s">
        <v>3159</v>
      </c>
      <c r="E33" s="7" t="s">
        <v>3114</v>
      </c>
      <c r="F33" s="7" t="s">
        <v>355</v>
      </c>
    </row>
    <row r="34" customFormat="false" ht="15" hidden="false" customHeight="false" outlineLevel="0" collapsed="false">
      <c r="A34" s="7" t="s">
        <v>3162</v>
      </c>
      <c r="B34" s="7" t="s">
        <v>3163</v>
      </c>
      <c r="C34" s="7" t="s">
        <v>221</v>
      </c>
      <c r="D34" s="7" t="s">
        <v>3159</v>
      </c>
      <c r="E34" s="7" t="s">
        <v>3114</v>
      </c>
      <c r="F34" s="7" t="s">
        <v>355</v>
      </c>
    </row>
    <row r="35" customFormat="false" ht="15" hidden="false" customHeight="false" outlineLevel="0" collapsed="false">
      <c r="A35" s="7" t="s">
        <v>3164</v>
      </c>
      <c r="B35" s="7" t="s">
        <v>3165</v>
      </c>
      <c r="C35" s="7" t="s">
        <v>221</v>
      </c>
      <c r="D35" s="7" t="s">
        <v>3166</v>
      </c>
      <c r="E35" s="7" t="s">
        <v>3114</v>
      </c>
      <c r="F35" s="7" t="s">
        <v>375</v>
      </c>
    </row>
    <row r="36" customFormat="false" ht="15" hidden="false" customHeight="false" outlineLevel="0" collapsed="false">
      <c r="A36" s="7" t="s">
        <v>3167</v>
      </c>
      <c r="B36" s="7" t="s">
        <v>3168</v>
      </c>
      <c r="C36" s="7" t="s">
        <v>221</v>
      </c>
      <c r="D36" s="7" t="s">
        <v>3169</v>
      </c>
      <c r="E36" s="7" t="s">
        <v>3114</v>
      </c>
      <c r="F36" s="7" t="s">
        <v>375</v>
      </c>
    </row>
    <row r="37" customFormat="false" ht="15" hidden="false" customHeight="false" outlineLevel="0" collapsed="false">
      <c r="A37" s="7" t="s">
        <v>3170</v>
      </c>
      <c r="B37" s="7" t="s">
        <v>3171</v>
      </c>
      <c r="C37" s="7" t="s">
        <v>221</v>
      </c>
      <c r="D37" s="7" t="s">
        <v>3169</v>
      </c>
      <c r="E37" s="7" t="s">
        <v>3114</v>
      </c>
      <c r="F37" s="7" t="s">
        <v>375</v>
      </c>
    </row>
    <row r="38" customFormat="false" ht="15" hidden="false" customHeight="false" outlineLevel="0" collapsed="false">
      <c r="A38" s="7" t="s">
        <v>3172</v>
      </c>
      <c r="B38" s="7" t="s">
        <v>360</v>
      </c>
      <c r="C38" s="7" t="s">
        <v>221</v>
      </c>
      <c r="D38" s="7" t="s">
        <v>360</v>
      </c>
      <c r="E38" s="7" t="s">
        <v>3114</v>
      </c>
      <c r="F38" s="7" t="s">
        <v>360</v>
      </c>
    </row>
    <row r="39" customFormat="false" ht="15" hidden="false" customHeight="false" outlineLevel="0" collapsed="false">
      <c r="A39" s="7" t="s">
        <v>3173</v>
      </c>
      <c r="B39" s="7" t="s">
        <v>3174</v>
      </c>
      <c r="C39" s="7" t="s">
        <v>221</v>
      </c>
      <c r="D39" s="7" t="s">
        <v>521</v>
      </c>
      <c r="E39" s="7" t="s">
        <v>3114</v>
      </c>
      <c r="F39" s="7" t="s">
        <v>370</v>
      </c>
    </row>
    <row r="40" customFormat="false" ht="15" hidden="false" customHeight="false" outlineLevel="0" collapsed="false">
      <c r="A40" s="7" t="s">
        <v>3175</v>
      </c>
      <c r="B40" s="7" t="s">
        <v>3176</v>
      </c>
      <c r="C40" s="7" t="s">
        <v>221</v>
      </c>
      <c r="D40" s="7" t="s">
        <v>3177</v>
      </c>
      <c r="E40" s="7" t="s">
        <v>3114</v>
      </c>
      <c r="F40" s="7" t="s">
        <v>365</v>
      </c>
    </row>
    <row r="41" customFormat="false" ht="15" hidden="false" customHeight="false" outlineLevel="0" collapsed="false">
      <c r="A41" s="7" t="s">
        <v>3178</v>
      </c>
      <c r="B41" s="7" t="s">
        <v>3179</v>
      </c>
      <c r="C41" s="7" t="s">
        <v>221</v>
      </c>
      <c r="D41" s="7" t="s">
        <v>3169</v>
      </c>
      <c r="E41" s="7" t="s">
        <v>3114</v>
      </c>
      <c r="F41" s="7" t="s">
        <v>357</v>
      </c>
    </row>
    <row r="42" customFormat="false" ht="15" hidden="false" customHeight="false" outlineLevel="0" collapsed="false">
      <c r="A42" s="7" t="s">
        <v>3180</v>
      </c>
      <c r="B42" s="7" t="s">
        <v>3181</v>
      </c>
      <c r="C42" s="7" t="s">
        <v>221</v>
      </c>
      <c r="D42" s="7" t="s">
        <v>3169</v>
      </c>
      <c r="E42" s="7" t="s">
        <v>3114</v>
      </c>
      <c r="F42" s="7" t="s">
        <v>357</v>
      </c>
    </row>
    <row r="43" customFormat="false" ht="15" hidden="false" customHeight="false" outlineLevel="0" collapsed="false">
      <c r="A43" s="7" t="s">
        <v>3182</v>
      </c>
      <c r="B43" s="7" t="s">
        <v>3183</v>
      </c>
      <c r="C43" s="7" t="s">
        <v>221</v>
      </c>
      <c r="D43" s="7" t="s">
        <v>3177</v>
      </c>
      <c r="E43" s="7" t="s">
        <v>3114</v>
      </c>
      <c r="F43" s="7" t="s">
        <v>365</v>
      </c>
    </row>
    <row r="44" customFormat="false" ht="15" hidden="false" customHeight="false" outlineLevel="0" collapsed="false">
      <c r="A44" s="7" t="s">
        <v>271</v>
      </c>
      <c r="B44" s="7" t="s">
        <v>272</v>
      </c>
      <c r="C44" s="7" t="s">
        <v>221</v>
      </c>
      <c r="D44" s="7" t="s">
        <v>270</v>
      </c>
      <c r="E44" s="7" t="s">
        <v>3114</v>
      </c>
      <c r="F44" s="7" t="s">
        <v>369</v>
      </c>
    </row>
    <row r="45" customFormat="false" ht="15" hidden="false" customHeight="false" outlineLevel="0" collapsed="false">
      <c r="A45" s="7" t="s">
        <v>273</v>
      </c>
      <c r="B45" s="7" t="s">
        <v>274</v>
      </c>
      <c r="C45" s="7" t="s">
        <v>221</v>
      </c>
      <c r="D45" s="7" t="s">
        <v>270</v>
      </c>
      <c r="E45" s="7" t="s">
        <v>3114</v>
      </c>
      <c r="F45" s="7" t="s">
        <v>369</v>
      </c>
    </row>
    <row r="46" customFormat="false" ht="15" hidden="false" customHeight="false" outlineLevel="0" collapsed="false">
      <c r="A46" s="7" t="s">
        <v>268</v>
      </c>
      <c r="B46" s="7" t="s">
        <v>269</v>
      </c>
      <c r="C46" s="7" t="s">
        <v>221</v>
      </c>
      <c r="D46" s="7" t="s">
        <v>267</v>
      </c>
      <c r="E46" s="7" t="s">
        <v>3114</v>
      </c>
      <c r="F46" s="7" t="s">
        <v>267</v>
      </c>
    </row>
    <row r="47" customFormat="false" ht="15" hidden="false" customHeight="false" outlineLevel="0" collapsed="false">
      <c r="A47" s="7" t="s">
        <v>261</v>
      </c>
      <c r="B47" s="7" t="s">
        <v>262</v>
      </c>
      <c r="C47" s="7" t="s">
        <v>221</v>
      </c>
      <c r="D47" s="7" t="s">
        <v>260</v>
      </c>
      <c r="E47" s="7" t="s">
        <v>3114</v>
      </c>
      <c r="F47" s="7" t="s">
        <v>371</v>
      </c>
    </row>
    <row r="48" customFormat="false" ht="15" hidden="false" customHeight="false" outlineLevel="0" collapsed="false">
      <c r="A48" s="7" t="s">
        <v>276</v>
      </c>
      <c r="B48" s="7" t="s">
        <v>277</v>
      </c>
      <c r="C48" s="7" t="s">
        <v>221</v>
      </c>
      <c r="D48" s="7" t="s">
        <v>275</v>
      </c>
      <c r="E48" s="7" t="s">
        <v>3114</v>
      </c>
      <c r="F48" s="7" t="s">
        <v>365</v>
      </c>
    </row>
    <row r="49" customFormat="false" ht="15" hidden="false" customHeight="false" outlineLevel="0" collapsed="false">
      <c r="A49" s="7" t="s">
        <v>3184</v>
      </c>
      <c r="B49" s="7" t="s">
        <v>3185</v>
      </c>
      <c r="C49" s="7" t="s">
        <v>221</v>
      </c>
      <c r="D49" s="7" t="s">
        <v>3186</v>
      </c>
      <c r="E49" s="7" t="s">
        <v>3114</v>
      </c>
      <c r="F49" s="7" t="s">
        <v>365</v>
      </c>
    </row>
    <row r="50" customFormat="false" ht="15" hidden="false" customHeight="false" outlineLevel="0" collapsed="false">
      <c r="A50" s="7" t="s">
        <v>3187</v>
      </c>
      <c r="B50" s="7" t="s">
        <v>3188</v>
      </c>
      <c r="C50" s="7" t="s">
        <v>221</v>
      </c>
      <c r="D50" s="7" t="s">
        <v>3186</v>
      </c>
      <c r="E50" s="7" t="s">
        <v>3114</v>
      </c>
      <c r="F50" s="7" t="s">
        <v>365</v>
      </c>
    </row>
    <row r="51" customFormat="false" ht="15" hidden="false" customHeight="false" outlineLevel="0" collapsed="false">
      <c r="A51" s="7" t="s">
        <v>284</v>
      </c>
      <c r="B51" s="7" t="s">
        <v>285</v>
      </c>
      <c r="C51" s="7" t="s">
        <v>221</v>
      </c>
      <c r="D51" s="7" t="s">
        <v>283</v>
      </c>
      <c r="E51" s="7" t="s">
        <v>3114</v>
      </c>
      <c r="F51" s="7" t="s">
        <v>365</v>
      </c>
    </row>
    <row r="52" customFormat="false" ht="15" hidden="false" customHeight="false" outlineLevel="0" collapsed="false">
      <c r="A52" s="7" t="s">
        <v>3189</v>
      </c>
      <c r="B52" s="7" t="s">
        <v>3190</v>
      </c>
      <c r="C52" s="7" t="s">
        <v>221</v>
      </c>
      <c r="D52" s="7" t="s">
        <v>3191</v>
      </c>
      <c r="E52" s="7" t="s">
        <v>3114</v>
      </c>
      <c r="F52" s="7" t="s">
        <v>365</v>
      </c>
    </row>
    <row r="53" customFormat="false" ht="15" hidden="false" customHeight="false" outlineLevel="0" collapsed="false">
      <c r="A53" s="7" t="s">
        <v>3192</v>
      </c>
      <c r="B53" s="7" t="s">
        <v>3193</v>
      </c>
      <c r="C53" s="7" t="s">
        <v>221</v>
      </c>
      <c r="D53" s="7" t="s">
        <v>3194</v>
      </c>
      <c r="E53" s="7" t="s">
        <v>3114</v>
      </c>
      <c r="F53" s="7" t="s">
        <v>350</v>
      </c>
    </row>
    <row r="54" customFormat="false" ht="15" hidden="false" customHeight="false" outlineLevel="0" collapsed="false">
      <c r="A54" s="7" t="s">
        <v>3195</v>
      </c>
      <c r="B54" s="7" t="s">
        <v>3196</v>
      </c>
      <c r="C54" s="7" t="s">
        <v>221</v>
      </c>
      <c r="D54" s="7" t="s">
        <v>3194</v>
      </c>
      <c r="E54" s="7" t="s">
        <v>3114</v>
      </c>
      <c r="F54" s="7" t="s">
        <v>365</v>
      </c>
    </row>
    <row r="55" customFormat="false" ht="15" hidden="false" customHeight="false" outlineLevel="0" collapsed="false">
      <c r="A55" s="7" t="s">
        <v>3197</v>
      </c>
      <c r="B55" s="7" t="s">
        <v>3198</v>
      </c>
      <c r="C55" s="7" t="s">
        <v>221</v>
      </c>
      <c r="D55" s="7" t="s">
        <v>521</v>
      </c>
      <c r="E55" s="7" t="s">
        <v>3114</v>
      </c>
      <c r="F55" s="7" t="s">
        <v>365</v>
      </c>
    </row>
    <row r="56" customFormat="false" ht="15" hidden="false" customHeight="false" outlineLevel="0" collapsed="false">
      <c r="A56" s="7" t="s">
        <v>3199</v>
      </c>
      <c r="B56" s="7" t="s">
        <v>3200</v>
      </c>
      <c r="C56" s="7" t="s">
        <v>3153</v>
      </c>
      <c r="D56" s="7" t="s">
        <v>3154</v>
      </c>
      <c r="E56" s="7" t="s">
        <v>3155</v>
      </c>
      <c r="F56" s="7" t="s">
        <v>3156</v>
      </c>
    </row>
    <row r="57" customFormat="false" ht="15" hidden="false" customHeight="false" outlineLevel="0" collapsed="false">
      <c r="A57" s="7" t="s">
        <v>231</v>
      </c>
      <c r="B57" s="7" t="s">
        <v>232</v>
      </c>
      <c r="C57" s="7" t="s">
        <v>229</v>
      </c>
      <c r="D57" s="7" t="s">
        <v>230</v>
      </c>
      <c r="E57" s="7" t="s">
        <v>3114</v>
      </c>
      <c r="F57" s="7" t="s">
        <v>230</v>
      </c>
    </row>
    <row r="58" customFormat="false" ht="15" hidden="false" customHeight="false" outlineLevel="0" collapsed="false">
      <c r="A58" s="7" t="s">
        <v>3201</v>
      </c>
      <c r="B58" s="7" t="s">
        <v>3202</v>
      </c>
      <c r="C58" s="7" t="s">
        <v>229</v>
      </c>
      <c r="D58" s="7" t="s">
        <v>230</v>
      </c>
      <c r="E58" s="7" t="s">
        <v>3114</v>
      </c>
      <c r="F58" s="7" t="s">
        <v>230</v>
      </c>
    </row>
    <row r="59" customFormat="false" ht="15" hidden="false" customHeight="false" outlineLevel="0" collapsed="false">
      <c r="A59" s="7" t="s">
        <v>299</v>
      </c>
      <c r="B59" s="7" t="s">
        <v>298</v>
      </c>
      <c r="C59" s="7" t="s">
        <v>229</v>
      </c>
      <c r="D59" s="7" t="s">
        <v>298</v>
      </c>
      <c r="E59" s="7" t="s">
        <v>3114</v>
      </c>
      <c r="F59" s="7" t="s">
        <v>373</v>
      </c>
    </row>
    <row r="60" customFormat="false" ht="15" hidden="false" customHeight="false" outlineLevel="0" collapsed="false">
      <c r="A60" s="7" t="s">
        <v>240</v>
      </c>
      <c r="B60" s="7" t="s">
        <v>239</v>
      </c>
      <c r="C60" s="7" t="s">
        <v>229</v>
      </c>
      <c r="D60" s="7" t="s">
        <v>239</v>
      </c>
      <c r="E60" s="7" t="s">
        <v>3114</v>
      </c>
      <c r="F60" s="7" t="s">
        <v>365</v>
      </c>
    </row>
    <row r="61" customFormat="false" ht="15" hidden="false" customHeight="false" outlineLevel="0" collapsed="false">
      <c r="A61" s="7" t="s">
        <v>3203</v>
      </c>
      <c r="B61" s="7" t="s">
        <v>3204</v>
      </c>
      <c r="C61" s="7" t="s">
        <v>229</v>
      </c>
      <c r="D61" s="7" t="s">
        <v>3205</v>
      </c>
      <c r="E61" s="7" t="s">
        <v>3114</v>
      </c>
      <c r="F61" s="7" t="s">
        <v>371</v>
      </c>
    </row>
    <row r="62" customFormat="false" ht="15" hidden="false" customHeight="false" outlineLevel="0" collapsed="false">
      <c r="A62" s="7" t="s">
        <v>242</v>
      </c>
      <c r="B62" s="7" t="s">
        <v>243</v>
      </c>
      <c r="C62" s="7" t="s">
        <v>229</v>
      </c>
      <c r="D62" s="7" t="s">
        <v>241</v>
      </c>
      <c r="E62" s="7" t="s">
        <v>3114</v>
      </c>
      <c r="F62" s="7" t="s">
        <v>365</v>
      </c>
    </row>
    <row r="63" customFormat="false" ht="15" hidden="false" customHeight="false" outlineLevel="0" collapsed="false">
      <c r="A63" s="7" t="s">
        <v>3206</v>
      </c>
      <c r="B63" s="7" t="s">
        <v>3207</v>
      </c>
      <c r="C63" s="7" t="s">
        <v>229</v>
      </c>
      <c r="D63" s="7" t="s">
        <v>3207</v>
      </c>
      <c r="E63" s="7" t="s">
        <v>3114</v>
      </c>
      <c r="F63" s="7" t="s">
        <v>365</v>
      </c>
    </row>
    <row r="64" customFormat="false" ht="15" hidden="false" customHeight="false" outlineLevel="0" collapsed="false">
      <c r="A64" s="7" t="s">
        <v>3208</v>
      </c>
      <c r="B64" s="7" t="s">
        <v>3209</v>
      </c>
      <c r="C64" s="7" t="s">
        <v>229</v>
      </c>
      <c r="D64" s="7" t="s">
        <v>3207</v>
      </c>
      <c r="E64" s="7" t="s">
        <v>3114</v>
      </c>
      <c r="F64" s="7" t="s">
        <v>365</v>
      </c>
    </row>
    <row r="65" customFormat="false" ht="15" hidden="false" customHeight="false" outlineLevel="0" collapsed="false">
      <c r="A65" s="7" t="s">
        <v>252</v>
      </c>
      <c r="B65" s="7" t="s">
        <v>253</v>
      </c>
      <c r="C65" s="7" t="s">
        <v>229</v>
      </c>
      <c r="D65" s="7" t="s">
        <v>233</v>
      </c>
      <c r="E65" s="7" t="s">
        <v>3114</v>
      </c>
      <c r="F65" s="7" t="s">
        <v>365</v>
      </c>
    </row>
    <row r="66" customFormat="false" ht="15" hidden="false" customHeight="false" outlineLevel="0" collapsed="false">
      <c r="A66" s="7" t="s">
        <v>234</v>
      </c>
      <c r="B66" s="7" t="s">
        <v>235</v>
      </c>
      <c r="C66" s="7" t="s">
        <v>229</v>
      </c>
      <c r="D66" s="7" t="s">
        <v>233</v>
      </c>
      <c r="E66" s="7" t="s">
        <v>3114</v>
      </c>
      <c r="F66" s="7" t="s">
        <v>365</v>
      </c>
    </row>
    <row r="67" customFormat="false" ht="15" hidden="false" customHeight="false" outlineLevel="0" collapsed="false">
      <c r="A67" s="7" t="s">
        <v>244</v>
      </c>
      <c r="B67" s="7" t="s">
        <v>245</v>
      </c>
      <c r="C67" s="7" t="s">
        <v>229</v>
      </c>
      <c r="D67" s="7" t="s">
        <v>233</v>
      </c>
      <c r="E67" s="7" t="s">
        <v>3114</v>
      </c>
      <c r="F67" s="7" t="s">
        <v>365</v>
      </c>
    </row>
    <row r="68" customFormat="false" ht="15" hidden="false" customHeight="false" outlineLevel="0" collapsed="false">
      <c r="A68" s="7" t="s">
        <v>3210</v>
      </c>
      <c r="B68" s="7" t="s">
        <v>3211</v>
      </c>
      <c r="C68" s="7" t="s">
        <v>229</v>
      </c>
      <c r="D68" s="7" t="s">
        <v>233</v>
      </c>
      <c r="E68" s="7" t="s">
        <v>3114</v>
      </c>
      <c r="F68" s="7" t="s">
        <v>365</v>
      </c>
    </row>
    <row r="69" customFormat="false" ht="15" hidden="false" customHeight="false" outlineLevel="0" collapsed="false">
      <c r="A69" s="7" t="s">
        <v>3212</v>
      </c>
      <c r="B69" s="7" t="s">
        <v>3213</v>
      </c>
      <c r="C69" s="7" t="s">
        <v>229</v>
      </c>
      <c r="D69" s="7" t="s">
        <v>3214</v>
      </c>
      <c r="E69" s="7" t="s">
        <v>3114</v>
      </c>
      <c r="F69" s="7" t="s">
        <v>365</v>
      </c>
    </row>
    <row r="70" customFormat="false" ht="15" hidden="false" customHeight="false" outlineLevel="0" collapsed="false">
      <c r="A70" s="7" t="s">
        <v>3215</v>
      </c>
      <c r="B70" s="7" t="s">
        <v>3216</v>
      </c>
      <c r="C70" s="7" t="s">
        <v>229</v>
      </c>
      <c r="D70" s="7" t="s">
        <v>3217</v>
      </c>
      <c r="E70" s="7" t="s">
        <v>3114</v>
      </c>
      <c r="F70" s="7" t="s">
        <v>365</v>
      </c>
    </row>
    <row r="71" customFormat="false" ht="15" hidden="false" customHeight="false" outlineLevel="0" collapsed="false">
      <c r="A71" s="7" t="s">
        <v>3218</v>
      </c>
      <c r="B71" s="7" t="s">
        <v>3219</v>
      </c>
      <c r="C71" s="7" t="s">
        <v>229</v>
      </c>
      <c r="D71" s="7" t="s">
        <v>3217</v>
      </c>
      <c r="E71" s="7" t="s">
        <v>3114</v>
      </c>
      <c r="F71" s="7" t="s">
        <v>365</v>
      </c>
    </row>
    <row r="72" customFormat="false" ht="15" hidden="false" customHeight="false" outlineLevel="0" collapsed="false">
      <c r="A72" s="7" t="s">
        <v>220</v>
      </c>
      <c r="B72" s="7" t="s">
        <v>187</v>
      </c>
      <c r="C72" s="7" t="s">
        <v>219</v>
      </c>
      <c r="D72" s="7" t="s">
        <v>187</v>
      </c>
      <c r="E72" s="7" t="s">
        <v>3114</v>
      </c>
      <c r="F72" s="7" t="s">
        <v>3156</v>
      </c>
    </row>
    <row r="73" customFormat="false" ht="15" hidden="false" customHeight="false" outlineLevel="0" collapsed="false">
      <c r="A73" s="7" t="s">
        <v>237</v>
      </c>
      <c r="B73" s="7" t="s">
        <v>238</v>
      </c>
      <c r="C73" s="7" t="s">
        <v>236</v>
      </c>
      <c r="D73" s="7" t="s">
        <v>189</v>
      </c>
      <c r="E73" s="7" t="s">
        <v>3114</v>
      </c>
      <c r="F73" s="7" t="s">
        <v>352</v>
      </c>
    </row>
    <row r="74" customFormat="false" ht="15" hidden="false" customHeight="false" outlineLevel="0" collapsed="false">
      <c r="A74" s="7" t="s">
        <v>246</v>
      </c>
      <c r="B74" s="7" t="s">
        <v>247</v>
      </c>
      <c r="C74" s="7" t="s">
        <v>236</v>
      </c>
      <c r="D74" s="7" t="s">
        <v>189</v>
      </c>
      <c r="E74" s="7" t="s">
        <v>3114</v>
      </c>
      <c r="F74" s="7" t="s">
        <v>352</v>
      </c>
    </row>
    <row r="75" customFormat="false" ht="15" hidden="false" customHeight="false" outlineLevel="0" collapsed="false">
      <c r="A75" s="7" t="s">
        <v>3220</v>
      </c>
      <c r="B75" s="7" t="s">
        <v>3221</v>
      </c>
      <c r="C75" s="7" t="s">
        <v>236</v>
      </c>
      <c r="D75" s="7" t="s">
        <v>189</v>
      </c>
      <c r="E75" s="7" t="s">
        <v>3114</v>
      </c>
      <c r="F75" s="7" t="s">
        <v>352</v>
      </c>
    </row>
    <row r="76" customFormat="false" ht="15" hidden="false" customHeight="false" outlineLevel="0" collapsed="false">
      <c r="A76" s="7" t="s">
        <v>301</v>
      </c>
      <c r="B76" s="7" t="s">
        <v>302</v>
      </c>
      <c r="C76" s="7" t="s">
        <v>300</v>
      </c>
      <c r="D76" s="7" t="s">
        <v>190</v>
      </c>
      <c r="E76" s="7" t="s">
        <v>3114</v>
      </c>
      <c r="F76" s="7" t="s">
        <v>3156</v>
      </c>
    </row>
    <row r="77" customFormat="false" ht="15" hidden="false" customHeight="false" outlineLevel="0" collapsed="false">
      <c r="A77" s="7" t="s">
        <v>227</v>
      </c>
      <c r="B77" s="7" t="s">
        <v>228</v>
      </c>
      <c r="C77" s="7" t="s">
        <v>225</v>
      </c>
      <c r="D77" s="7" t="s">
        <v>226</v>
      </c>
      <c r="E77" s="7" t="s">
        <v>3114</v>
      </c>
      <c r="F77" s="7" t="s">
        <v>3156</v>
      </c>
    </row>
    <row r="78" customFormat="false" ht="15" hidden="false" customHeight="false" outlineLevel="0" collapsed="false">
      <c r="A78" s="7" t="s">
        <v>3222</v>
      </c>
      <c r="B78" s="7" t="s">
        <v>3223</v>
      </c>
      <c r="C78" s="7" t="s">
        <v>3224</v>
      </c>
      <c r="D78" s="7" t="s">
        <v>193</v>
      </c>
      <c r="E78" s="7" t="s">
        <v>3114</v>
      </c>
      <c r="F78" s="7" t="s">
        <v>3156</v>
      </c>
    </row>
    <row r="79" customFormat="false" ht="15" hidden="false" customHeight="false" outlineLevel="0" collapsed="false">
      <c r="A79" s="7" t="s">
        <v>1549</v>
      </c>
      <c r="B79" s="7" t="s">
        <v>529</v>
      </c>
      <c r="C79" s="7" t="s">
        <v>761</v>
      </c>
      <c r="D79" s="7" t="s">
        <v>772</v>
      </c>
      <c r="E79" s="7" t="s">
        <v>3225</v>
      </c>
      <c r="F79" s="7" t="s">
        <v>362</v>
      </c>
    </row>
    <row r="80" customFormat="false" ht="15" hidden="false" customHeight="false" outlineLevel="0" collapsed="false">
      <c r="A80" s="7" t="s">
        <v>559</v>
      </c>
      <c r="B80" s="7" t="s">
        <v>771</v>
      </c>
      <c r="C80" s="7" t="s">
        <v>761</v>
      </c>
      <c r="D80" s="7" t="s">
        <v>772</v>
      </c>
      <c r="E80" s="7" t="s">
        <v>3225</v>
      </c>
      <c r="F80" s="7" t="s">
        <v>353</v>
      </c>
    </row>
    <row r="81" customFormat="false" ht="15" hidden="false" customHeight="false" outlineLevel="0" collapsed="false">
      <c r="A81" s="7" t="s">
        <v>561</v>
      </c>
      <c r="B81" s="7" t="s">
        <v>363</v>
      </c>
      <c r="C81" s="7" t="s">
        <v>761</v>
      </c>
      <c r="D81" s="7" t="s">
        <v>772</v>
      </c>
      <c r="E81" s="7" t="s">
        <v>3225</v>
      </c>
      <c r="F81" s="7" t="s">
        <v>363</v>
      </c>
    </row>
    <row r="82" customFormat="false" ht="15" hidden="false" customHeight="false" outlineLevel="0" collapsed="false">
      <c r="A82" s="7" t="s">
        <v>574</v>
      </c>
      <c r="B82" s="7" t="s">
        <v>364</v>
      </c>
      <c r="C82" s="7" t="s">
        <v>761</v>
      </c>
      <c r="D82" s="7" t="s">
        <v>772</v>
      </c>
      <c r="E82" s="7" t="s">
        <v>3225</v>
      </c>
      <c r="F82" s="7" t="s">
        <v>364</v>
      </c>
    </row>
    <row r="83" customFormat="false" ht="15" hidden="false" customHeight="false" outlineLevel="0" collapsed="false">
      <c r="A83" s="7" t="s">
        <v>1555</v>
      </c>
      <c r="B83" s="7" t="s">
        <v>1556</v>
      </c>
      <c r="C83" s="7" t="s">
        <v>761</v>
      </c>
      <c r="D83" s="7" t="s">
        <v>1557</v>
      </c>
      <c r="E83" s="7" t="s">
        <v>3225</v>
      </c>
      <c r="F83" s="7" t="s">
        <v>354</v>
      </c>
    </row>
    <row r="84" customFormat="false" ht="15" hidden="false" customHeight="false" outlineLevel="0" collapsed="false">
      <c r="A84" s="7" t="s">
        <v>1585</v>
      </c>
      <c r="B84" s="7" t="s">
        <v>1586</v>
      </c>
      <c r="C84" s="7" t="s">
        <v>761</v>
      </c>
      <c r="D84" s="7" t="s">
        <v>1557</v>
      </c>
      <c r="E84" s="7" t="s">
        <v>3225</v>
      </c>
      <c r="F84" s="7" t="s">
        <v>347</v>
      </c>
    </row>
    <row r="85" customFormat="false" ht="15" hidden="false" customHeight="false" outlineLevel="0" collapsed="false">
      <c r="A85" s="7" t="s">
        <v>3226</v>
      </c>
      <c r="B85" s="7" t="s">
        <v>367</v>
      </c>
      <c r="C85" s="7" t="s">
        <v>761</v>
      </c>
      <c r="D85" s="7" t="s">
        <v>762</v>
      </c>
      <c r="E85" s="7" t="s">
        <v>3225</v>
      </c>
      <c r="F85" s="7" t="s">
        <v>367</v>
      </c>
    </row>
    <row r="86" customFormat="false" ht="15" hidden="false" customHeight="false" outlineLevel="0" collapsed="false">
      <c r="A86" s="7" t="s">
        <v>545</v>
      </c>
      <c r="B86" s="7" t="s">
        <v>760</v>
      </c>
      <c r="C86" s="7" t="s">
        <v>761</v>
      </c>
      <c r="D86" s="7" t="s">
        <v>762</v>
      </c>
      <c r="E86" s="7" t="s">
        <v>3225</v>
      </c>
      <c r="F86" s="7" t="s">
        <v>368</v>
      </c>
    </row>
    <row r="87" customFormat="false" ht="15" hidden="false" customHeight="false" outlineLevel="0" collapsed="false">
      <c r="A87" s="7" t="s">
        <v>786</v>
      </c>
      <c r="B87" s="7" t="s">
        <v>787</v>
      </c>
      <c r="C87" s="7" t="s">
        <v>761</v>
      </c>
      <c r="D87" s="7" t="s">
        <v>762</v>
      </c>
      <c r="E87" s="7" t="s">
        <v>3225</v>
      </c>
      <c r="F87" s="7" t="s">
        <v>374</v>
      </c>
    </row>
  </sheetData>
  <autoFilter ref="A1:F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2026-10-04T20:05:24Z</dcterms:created>
  <dc:creator>openpyxl</dc:creator>
  <dc:description/>
  <dc:language>en-US</dc:language>
  <cp:lastModifiedBy/>
  <dcterms:modified xsi:type="dcterms:W3CDTF">2026-10-04T20:05:24Z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